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38640" windowHeight="21240"/>
  </bookViews>
  <sheets>
    <sheet name="Лист1" sheetId="1" r:id="rId1"/>
    <sheet name="Расчет" sheetId="4" r:id="rId2"/>
    <sheet name="Лист2" sheetId="5" r:id="rId3"/>
    <sheet name="Ветер СП" sheetId="2" r:id="rId4"/>
    <sheet name="Ветер по СП РК EN" sheetId="3" r:id="rId5"/>
    <sheet name="типы окон" sheetId="6" r:id="rId6"/>
  </sheets>
  <externalReferences>
    <externalReference r:id="rId7"/>
  </externalReferences>
  <definedNames>
    <definedName name="_xlnm.Print_Area" localSheetId="0">Лист1!$A$1:$Z$47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" i="4" l="1"/>
  <c r="B5" i="3"/>
  <c r="B8" i="3"/>
  <c r="B7" i="3"/>
  <c r="Q14" i="1" l="1"/>
  <c r="F8" i="1" l="1"/>
  <c r="AT2" i="4"/>
  <c r="J18" i="1" l="1"/>
  <c r="K35" i="1" l="1"/>
  <c r="C8" i="2" l="1"/>
  <c r="C7" i="2"/>
  <c r="C6" i="2"/>
  <c r="AN2" i="4" l="1"/>
  <c r="D17" i="4"/>
  <c r="D18" i="4"/>
  <c r="Q15" i="1"/>
  <c r="Q13" i="1"/>
  <c r="D17" i="1" s="1"/>
  <c r="D8" i="4" s="1"/>
  <c r="AK2" i="4" l="1"/>
  <c r="AH268" i="4"/>
  <c r="AH273" i="4"/>
  <c r="AH278" i="4"/>
  <c r="AH283" i="4"/>
  <c r="AH288" i="4"/>
  <c r="AH293" i="4"/>
  <c r="AH298" i="4"/>
  <c r="AH303" i="4"/>
  <c r="AH308" i="4"/>
  <c r="AH313" i="4"/>
  <c r="AH318" i="4"/>
  <c r="AH323" i="4"/>
  <c r="AH328" i="4"/>
  <c r="AH333" i="4"/>
  <c r="AH338" i="4"/>
  <c r="AH343" i="4"/>
  <c r="AH348" i="4"/>
  <c r="AH353" i="4"/>
  <c r="AH358" i="4"/>
  <c r="AH363" i="4"/>
  <c r="AH368" i="4"/>
  <c r="AH373" i="4"/>
  <c r="AH378" i="4"/>
  <c r="AH383" i="4"/>
  <c r="AH388" i="4"/>
  <c r="AH393" i="4"/>
  <c r="AH398" i="4"/>
  <c r="AH403" i="4"/>
  <c r="AH408" i="4"/>
  <c r="AH413" i="4"/>
  <c r="AH280" i="4"/>
  <c r="AH275" i="4"/>
  <c r="AH269" i="4"/>
  <c r="AH274" i="4"/>
  <c r="AH279" i="4"/>
  <c r="AH284" i="4"/>
  <c r="AH289" i="4"/>
  <c r="AH294" i="4"/>
  <c r="AH299" i="4"/>
  <c r="AH304" i="4"/>
  <c r="AH309" i="4"/>
  <c r="AH314" i="4"/>
  <c r="AH319" i="4"/>
  <c r="AH324" i="4"/>
  <c r="AH329" i="4"/>
  <c r="AH334" i="4"/>
  <c r="AH339" i="4"/>
  <c r="AH344" i="4"/>
  <c r="AH349" i="4"/>
  <c r="AH354" i="4"/>
  <c r="AH359" i="4"/>
  <c r="AH364" i="4"/>
  <c r="AH369" i="4"/>
  <c r="AH374" i="4"/>
  <c r="AH379" i="4"/>
  <c r="AH384" i="4"/>
  <c r="AH389" i="4"/>
  <c r="AH394" i="4"/>
  <c r="AH399" i="4"/>
  <c r="AH404" i="4"/>
  <c r="AH409" i="4"/>
  <c r="AH270" i="4"/>
  <c r="AH285" i="4"/>
  <c r="AH290" i="4"/>
  <c r="AH295" i="4"/>
  <c r="AH300" i="4"/>
  <c r="AH305" i="4"/>
  <c r="AH310" i="4"/>
  <c r="AH315" i="4"/>
  <c r="AH325" i="4"/>
  <c r="AH335" i="4"/>
  <c r="AH340" i="4"/>
  <c r="AH320" i="4"/>
  <c r="AH347" i="4"/>
  <c r="AH366" i="4"/>
  <c r="AH281" i="4"/>
  <c r="AH311" i="4"/>
  <c r="AH331" i="4"/>
  <c r="AH292" i="4"/>
  <c r="AH351" i="4"/>
  <c r="AH377" i="4"/>
  <c r="AH411" i="4"/>
  <c r="AH322" i="4"/>
  <c r="AH332" i="4"/>
  <c r="AH380" i="4"/>
  <c r="AH405" i="4"/>
  <c r="AH276" i="4"/>
  <c r="AH316" i="4"/>
  <c r="AH372" i="4"/>
  <c r="AH287" i="4"/>
  <c r="AH330" i="4"/>
  <c r="AH291" i="4"/>
  <c r="AH376" i="4"/>
  <c r="AH401" i="4"/>
  <c r="AH341" i="4"/>
  <c r="AH272" i="4"/>
  <c r="AH312" i="4"/>
  <c r="AH395" i="4"/>
  <c r="AH361" i="4"/>
  <c r="AH352" i="4"/>
  <c r="AH387" i="4"/>
  <c r="AH306" i="4"/>
  <c r="AH355" i="4"/>
  <c r="AH397" i="4"/>
  <c r="AH365" i="4"/>
  <c r="AH277" i="4"/>
  <c r="AH317" i="4"/>
  <c r="AH327" i="4"/>
  <c r="AH356" i="4"/>
  <c r="AH337" i="4"/>
  <c r="AH357" i="4"/>
  <c r="AH271" i="4"/>
  <c r="AH301" i="4"/>
  <c r="AH350" i="4"/>
  <c r="AH385" i="4"/>
  <c r="AH392" i="4"/>
  <c r="AH410" i="4"/>
  <c r="AH321" i="4"/>
  <c r="AH367" i="4"/>
  <c r="AH360" i="4"/>
  <c r="AH302" i="4"/>
  <c r="AH370" i="4"/>
  <c r="AH402" i="4"/>
  <c r="AH396" i="4"/>
  <c r="AH286" i="4"/>
  <c r="AH336" i="4"/>
  <c r="AH390" i="4"/>
  <c r="AH346" i="4"/>
  <c r="AH297" i="4"/>
  <c r="AH282" i="4"/>
  <c r="AH386" i="4"/>
  <c r="AH342" i="4"/>
  <c r="AH371" i="4"/>
  <c r="AH412" i="4"/>
  <c r="AH345" i="4"/>
  <c r="AH296" i="4"/>
  <c r="AH362" i="4"/>
  <c r="AH326" i="4"/>
  <c r="AH381" i="4"/>
  <c r="AH406" i="4"/>
  <c r="AH307" i="4"/>
  <c r="AH375" i="4"/>
  <c r="AH382" i="4"/>
  <c r="AH391" i="4"/>
  <c r="AH400" i="4"/>
  <c r="AH407" i="4"/>
  <c r="AH4" i="4"/>
  <c r="F8" i="4"/>
  <c r="O6" i="4" l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O110" i="4" s="1"/>
  <c r="O111" i="4" s="1"/>
  <c r="O112" i="4" s="1"/>
  <c r="O113" i="4" s="1"/>
  <c r="O114" i="4" s="1"/>
  <c r="O115" i="4" s="1"/>
  <c r="O116" i="4" s="1"/>
  <c r="O117" i="4" s="1"/>
  <c r="O118" i="4" s="1"/>
  <c r="O119" i="4" s="1"/>
  <c r="O120" i="4" s="1"/>
  <c r="O121" i="4" s="1"/>
  <c r="O122" i="4" s="1"/>
  <c r="O123" i="4" s="1"/>
  <c r="O124" i="4" s="1"/>
  <c r="O125" i="4" s="1"/>
  <c r="O126" i="4" s="1"/>
  <c r="O127" i="4" s="1"/>
  <c r="O128" i="4" s="1"/>
  <c r="O129" i="4" s="1"/>
  <c r="O130" i="4" s="1"/>
  <c r="O131" i="4" s="1"/>
  <c r="O132" i="4" s="1"/>
  <c r="O133" i="4" s="1"/>
  <c r="O134" i="4" s="1"/>
  <c r="O135" i="4" s="1"/>
  <c r="O136" i="4" s="1"/>
  <c r="O137" i="4" s="1"/>
  <c r="O138" i="4" s="1"/>
  <c r="O139" i="4" s="1"/>
  <c r="O140" i="4" s="1"/>
  <c r="O141" i="4" s="1"/>
  <c r="O142" i="4" s="1"/>
  <c r="O143" i="4" s="1"/>
  <c r="O144" i="4" s="1"/>
  <c r="O145" i="4" s="1"/>
  <c r="O146" i="4" s="1"/>
  <c r="O147" i="4" s="1"/>
  <c r="O148" i="4" s="1"/>
  <c r="O149" i="4" s="1"/>
  <c r="O150" i="4" s="1"/>
  <c r="O151" i="4" s="1"/>
  <c r="O152" i="4" s="1"/>
  <c r="O153" i="4" s="1"/>
  <c r="O154" i="4" s="1"/>
  <c r="O155" i="4" s="1"/>
  <c r="O156" i="4" s="1"/>
  <c r="O157" i="4" s="1"/>
  <c r="O158" i="4" s="1"/>
  <c r="O159" i="4" s="1"/>
  <c r="O160" i="4" s="1"/>
  <c r="O161" i="4" s="1"/>
  <c r="O162" i="4" s="1"/>
  <c r="O163" i="4" s="1"/>
  <c r="O164" i="4" s="1"/>
  <c r="O165" i="4" s="1"/>
  <c r="O166" i="4" s="1"/>
  <c r="O167" i="4" s="1"/>
  <c r="O168" i="4" s="1"/>
  <c r="O169" i="4" s="1"/>
  <c r="O170" i="4" s="1"/>
  <c r="O171" i="4" s="1"/>
  <c r="O172" i="4" s="1"/>
  <c r="O173" i="4" s="1"/>
  <c r="O174" i="4" s="1"/>
  <c r="O175" i="4" s="1"/>
  <c r="O176" i="4" s="1"/>
  <c r="O177" i="4" s="1"/>
  <c r="O178" i="4" s="1"/>
  <c r="O179" i="4" s="1"/>
  <c r="O180" i="4" s="1"/>
  <c r="O181" i="4" s="1"/>
  <c r="O182" i="4" s="1"/>
  <c r="O183" i="4" s="1"/>
  <c r="O184" i="4" s="1"/>
  <c r="O185" i="4" s="1"/>
  <c r="O186" i="4" s="1"/>
  <c r="O187" i="4" s="1"/>
  <c r="O188" i="4" s="1"/>
  <c r="O189" i="4" s="1"/>
  <c r="O190" i="4" s="1"/>
  <c r="O191" i="4" s="1"/>
  <c r="O192" i="4" s="1"/>
  <c r="O193" i="4" s="1"/>
  <c r="O194" i="4" s="1"/>
  <c r="O195" i="4" s="1"/>
  <c r="O196" i="4" s="1"/>
  <c r="O197" i="4" s="1"/>
  <c r="O198" i="4" s="1"/>
  <c r="O199" i="4" s="1"/>
  <c r="O200" i="4" s="1"/>
  <c r="O201" i="4" s="1"/>
  <c r="O202" i="4" s="1"/>
  <c r="O203" i="4" s="1"/>
  <c r="O204" i="4" s="1"/>
  <c r="O205" i="4" s="1"/>
  <c r="O206" i="4" s="1"/>
  <c r="O207" i="4" s="1"/>
  <c r="O208" i="4" s="1"/>
  <c r="O209" i="4" s="1"/>
  <c r="O210" i="4" s="1"/>
  <c r="O211" i="4" s="1"/>
  <c r="O212" i="4" s="1"/>
  <c r="O213" i="4" s="1"/>
  <c r="O214" i="4" s="1"/>
  <c r="O215" i="4" s="1"/>
  <c r="O216" i="4" s="1"/>
  <c r="O217" i="4" s="1"/>
  <c r="O218" i="4" s="1"/>
  <c r="O219" i="4" s="1"/>
  <c r="O220" i="4" s="1"/>
  <c r="O221" i="4" s="1"/>
  <c r="O222" i="4" s="1"/>
  <c r="O223" i="4" s="1"/>
  <c r="O224" i="4" s="1"/>
  <c r="O225" i="4" s="1"/>
  <c r="O226" i="4" s="1"/>
  <c r="O227" i="4" s="1"/>
  <c r="O228" i="4" s="1"/>
  <c r="O229" i="4" s="1"/>
  <c r="O230" i="4" s="1"/>
  <c r="O231" i="4" s="1"/>
  <c r="O232" i="4" s="1"/>
  <c r="O233" i="4" s="1"/>
  <c r="O234" i="4" s="1"/>
  <c r="O235" i="4" s="1"/>
  <c r="O236" i="4" s="1"/>
  <c r="O237" i="4" s="1"/>
  <c r="O238" i="4" s="1"/>
  <c r="O239" i="4" s="1"/>
  <c r="O240" i="4" s="1"/>
  <c r="O241" i="4" s="1"/>
  <c r="O242" i="4" s="1"/>
  <c r="O243" i="4" s="1"/>
  <c r="O244" i="4" s="1"/>
  <c r="O245" i="4" s="1"/>
  <c r="O246" i="4" s="1"/>
  <c r="O247" i="4" s="1"/>
  <c r="O248" i="4" s="1"/>
  <c r="O249" i="4" s="1"/>
  <c r="O250" i="4" s="1"/>
  <c r="O251" i="4" s="1"/>
  <c r="O252" i="4" s="1"/>
  <c r="O253" i="4" s="1"/>
  <c r="O254" i="4" s="1"/>
  <c r="O255" i="4" s="1"/>
  <c r="O256" i="4" s="1"/>
  <c r="O257" i="4" s="1"/>
  <c r="O258" i="4" s="1"/>
  <c r="O259" i="4" s="1"/>
  <c r="O260" i="4" s="1"/>
  <c r="O261" i="4" s="1"/>
  <c r="O262" i="4" s="1"/>
  <c r="O263" i="4" s="1"/>
  <c r="O264" i="4" s="1"/>
  <c r="O265" i="4" s="1"/>
  <c r="O266" i="4" s="1"/>
  <c r="O267" i="4" s="1"/>
  <c r="O268" i="4" s="1"/>
  <c r="O269" i="4" s="1"/>
  <c r="O270" i="4" s="1"/>
  <c r="O271" i="4" s="1"/>
  <c r="O272" i="4" s="1"/>
  <c r="O273" i="4" s="1"/>
  <c r="O274" i="4" s="1"/>
  <c r="O275" i="4" s="1"/>
  <c r="O276" i="4" s="1"/>
  <c r="O277" i="4" s="1"/>
  <c r="O278" i="4" s="1"/>
  <c r="O279" i="4" s="1"/>
  <c r="O280" i="4" s="1"/>
  <c r="O281" i="4" s="1"/>
  <c r="O282" i="4" s="1"/>
  <c r="O283" i="4" s="1"/>
  <c r="O284" i="4" s="1"/>
  <c r="O285" i="4" s="1"/>
  <c r="O286" i="4" s="1"/>
  <c r="O287" i="4" s="1"/>
  <c r="O288" i="4" s="1"/>
  <c r="O289" i="4" s="1"/>
  <c r="O290" i="4" s="1"/>
  <c r="O291" i="4" s="1"/>
  <c r="O292" i="4" s="1"/>
  <c r="O293" i="4" s="1"/>
  <c r="O294" i="4" s="1"/>
  <c r="O295" i="4" s="1"/>
  <c r="O296" i="4" s="1"/>
  <c r="O297" i="4" s="1"/>
  <c r="O298" i="4" s="1"/>
  <c r="O299" i="4" s="1"/>
  <c r="O300" i="4" s="1"/>
  <c r="O301" i="4" s="1"/>
  <c r="O302" i="4" s="1"/>
  <c r="O303" i="4" s="1"/>
  <c r="O304" i="4" s="1"/>
  <c r="O305" i="4" s="1"/>
  <c r="O306" i="4" s="1"/>
  <c r="O307" i="4" s="1"/>
  <c r="O308" i="4" s="1"/>
  <c r="O309" i="4" s="1"/>
  <c r="O310" i="4" s="1"/>
  <c r="O311" i="4" s="1"/>
  <c r="O312" i="4" s="1"/>
  <c r="O313" i="4" s="1"/>
  <c r="O314" i="4" s="1"/>
  <c r="O315" i="4" s="1"/>
  <c r="O316" i="4" s="1"/>
  <c r="O317" i="4" s="1"/>
  <c r="O318" i="4" s="1"/>
  <c r="O319" i="4" s="1"/>
  <c r="O320" i="4" s="1"/>
  <c r="O321" i="4" s="1"/>
  <c r="O322" i="4" s="1"/>
  <c r="O323" i="4" s="1"/>
  <c r="O324" i="4" s="1"/>
  <c r="O325" i="4" s="1"/>
  <c r="O326" i="4" s="1"/>
  <c r="O327" i="4" s="1"/>
  <c r="O328" i="4" s="1"/>
  <c r="O329" i="4" s="1"/>
  <c r="O330" i="4" s="1"/>
  <c r="O331" i="4" s="1"/>
  <c r="O332" i="4" s="1"/>
  <c r="O333" i="4" s="1"/>
  <c r="O334" i="4" s="1"/>
  <c r="O335" i="4" s="1"/>
  <c r="O336" i="4" s="1"/>
  <c r="O337" i="4" s="1"/>
  <c r="O338" i="4" s="1"/>
  <c r="O339" i="4" s="1"/>
  <c r="O340" i="4" s="1"/>
  <c r="O341" i="4" s="1"/>
  <c r="O342" i="4" s="1"/>
  <c r="O343" i="4" s="1"/>
  <c r="O344" i="4" s="1"/>
  <c r="O345" i="4" s="1"/>
  <c r="O346" i="4" s="1"/>
  <c r="O347" i="4" s="1"/>
  <c r="O348" i="4" s="1"/>
  <c r="O349" i="4" s="1"/>
  <c r="O350" i="4" s="1"/>
  <c r="O351" i="4" s="1"/>
  <c r="O352" i="4" s="1"/>
  <c r="O353" i="4" s="1"/>
  <c r="O354" i="4" s="1"/>
  <c r="O355" i="4" s="1"/>
  <c r="O356" i="4" s="1"/>
  <c r="O357" i="4" s="1"/>
  <c r="O358" i="4" s="1"/>
  <c r="O359" i="4" s="1"/>
  <c r="O360" i="4" s="1"/>
  <c r="O361" i="4" s="1"/>
  <c r="O362" i="4" s="1"/>
  <c r="O363" i="4" s="1"/>
  <c r="O364" i="4" s="1"/>
  <c r="O365" i="4" s="1"/>
  <c r="O366" i="4" s="1"/>
  <c r="O367" i="4" s="1"/>
  <c r="O368" i="4" s="1"/>
  <c r="O369" i="4" s="1"/>
  <c r="O370" i="4" s="1"/>
  <c r="O371" i="4" s="1"/>
  <c r="O372" i="4" s="1"/>
  <c r="O373" i="4" s="1"/>
  <c r="O374" i="4" s="1"/>
  <c r="O375" i="4" s="1"/>
  <c r="O376" i="4" s="1"/>
  <c r="O377" i="4" s="1"/>
  <c r="O378" i="4" s="1"/>
  <c r="O379" i="4" s="1"/>
  <c r="O380" i="4" s="1"/>
  <c r="O381" i="4" s="1"/>
  <c r="O382" i="4" s="1"/>
  <c r="O383" i="4" s="1"/>
  <c r="O384" i="4" s="1"/>
  <c r="O385" i="4" s="1"/>
  <c r="O386" i="4" s="1"/>
  <c r="O387" i="4" s="1"/>
  <c r="O388" i="4" s="1"/>
  <c r="O389" i="4" s="1"/>
  <c r="O390" i="4" s="1"/>
  <c r="O391" i="4" s="1"/>
  <c r="O392" i="4" s="1"/>
  <c r="O393" i="4" s="1"/>
  <c r="O394" i="4" s="1"/>
  <c r="O395" i="4" s="1"/>
  <c r="O396" i="4" s="1"/>
  <c r="O397" i="4" s="1"/>
  <c r="O398" i="4" s="1"/>
  <c r="O399" i="4" s="1"/>
  <c r="O400" i="4" s="1"/>
  <c r="O401" i="4" s="1"/>
  <c r="O402" i="4" s="1"/>
  <c r="O403" i="4" s="1"/>
  <c r="O404" i="4" s="1"/>
  <c r="O405" i="4" s="1"/>
  <c r="O406" i="4" s="1"/>
  <c r="O407" i="4" s="1"/>
  <c r="O408" i="4" s="1"/>
  <c r="O409" i="4" s="1"/>
  <c r="O410" i="4" s="1"/>
  <c r="O411" i="4" s="1"/>
  <c r="O412" i="4" s="1"/>
  <c r="O413" i="4" s="1"/>
  <c r="AH6" i="4" l="1"/>
  <c r="AH12" i="4"/>
  <c r="AH15" i="4"/>
  <c r="AH16" i="4"/>
  <c r="AH11" i="4"/>
  <c r="AH14" i="4"/>
  <c r="AH9" i="4"/>
  <c r="AH18" i="4"/>
  <c r="AH7" i="4"/>
  <c r="AH13" i="4"/>
  <c r="AH34" i="4"/>
  <c r="AH17" i="4"/>
  <c r="AH19" i="4"/>
  <c r="AH21" i="4"/>
  <c r="AH29" i="4"/>
  <c r="AH37" i="4"/>
  <c r="AH28" i="4"/>
  <c r="AH31" i="4"/>
  <c r="AH25" i="4"/>
  <c r="AH30" i="4"/>
  <c r="AH40" i="4"/>
  <c r="AH62" i="4"/>
  <c r="AH39" i="4"/>
  <c r="AH63" i="4"/>
  <c r="AH43" i="4"/>
  <c r="AH36" i="4"/>
  <c r="AH46" i="4"/>
  <c r="AH33" i="4"/>
  <c r="AH45" i="4"/>
  <c r="AH57" i="4"/>
  <c r="AH22" i="4"/>
  <c r="AH24" i="4"/>
  <c r="AH69" i="4"/>
  <c r="AH82" i="4"/>
  <c r="AH102" i="4"/>
  <c r="AH72" i="4"/>
  <c r="AH83" i="4"/>
  <c r="AH103" i="4"/>
  <c r="AH60" i="4"/>
  <c r="AH20" i="4"/>
  <c r="AH41" i="4"/>
  <c r="AH59" i="4"/>
  <c r="AH61" i="4"/>
  <c r="AH23" i="4"/>
  <c r="AH32" i="4"/>
  <c r="AH54" i="4"/>
  <c r="AH64" i="4"/>
  <c r="AH51" i="4"/>
  <c r="AH48" i="4"/>
  <c r="AH66" i="4"/>
  <c r="AH80" i="4"/>
  <c r="AH86" i="4"/>
  <c r="AH67" i="4"/>
  <c r="AH89" i="4"/>
  <c r="AH35" i="4"/>
  <c r="AH65" i="4"/>
  <c r="AH81" i="4"/>
  <c r="AH73" i="4"/>
  <c r="AH97" i="4"/>
  <c r="AH10" i="4"/>
  <c r="AH47" i="4"/>
  <c r="AH90" i="4"/>
  <c r="AH26" i="4"/>
  <c r="AH75" i="4"/>
  <c r="AH111" i="4"/>
  <c r="AH123" i="4"/>
  <c r="AH42" i="4"/>
  <c r="AH50" i="4"/>
  <c r="AH91" i="4"/>
  <c r="AH114" i="4"/>
  <c r="AH124" i="4"/>
  <c r="AH93" i="4"/>
  <c r="AH105" i="4"/>
  <c r="AH56" i="4"/>
  <c r="AH70" i="4"/>
  <c r="AH108" i="4"/>
  <c r="AH99" i="4"/>
  <c r="AH104" i="4"/>
  <c r="AH107" i="4"/>
  <c r="AH88" i="4"/>
  <c r="AH5" i="4"/>
  <c r="AH27" i="4"/>
  <c r="AH76" i="4"/>
  <c r="AH94" i="4"/>
  <c r="AH125" i="4"/>
  <c r="AH85" i="4"/>
  <c r="AH100" i="4"/>
  <c r="AH112" i="4"/>
  <c r="AH129" i="4"/>
  <c r="AH109" i="4"/>
  <c r="AH128" i="4"/>
  <c r="AH44" i="4"/>
  <c r="AH79" i="4"/>
  <c r="AH117" i="4"/>
  <c r="AH49" i="4"/>
  <c r="AH53" i="4"/>
  <c r="AH126" i="4"/>
  <c r="AH118" i="4"/>
  <c r="AH120" i="4"/>
  <c r="AH68" i="4"/>
  <c r="AH95" i="4"/>
  <c r="AH38" i="4"/>
  <c r="AH92" i="4"/>
  <c r="AH127" i="4"/>
  <c r="AH132" i="4"/>
  <c r="AH139" i="4"/>
  <c r="AH78" i="4"/>
  <c r="AH140" i="4"/>
  <c r="AH113" i="4"/>
  <c r="AH133" i="4"/>
  <c r="AH135" i="4"/>
  <c r="AH119" i="4"/>
  <c r="AH131" i="4"/>
  <c r="AH158" i="4"/>
  <c r="AH96" i="4"/>
  <c r="AH8" i="4"/>
  <c r="AH71" i="4"/>
  <c r="AH141" i="4"/>
  <c r="AH87" i="4"/>
  <c r="AH147" i="4"/>
  <c r="AH157" i="4"/>
  <c r="AH77" i="4"/>
  <c r="AH106" i="4"/>
  <c r="AH142" i="4"/>
  <c r="AH145" i="4"/>
  <c r="AH160" i="4"/>
  <c r="AH52" i="4"/>
  <c r="AH101" i="4"/>
  <c r="AH178" i="4"/>
  <c r="AH198" i="4"/>
  <c r="AH218" i="4"/>
  <c r="AH238" i="4"/>
  <c r="AH143" i="4"/>
  <c r="AH153" i="4"/>
  <c r="AH179" i="4"/>
  <c r="AH199" i="4"/>
  <c r="AH219" i="4"/>
  <c r="AH239" i="4"/>
  <c r="AH98" i="4"/>
  <c r="AH121" i="4"/>
  <c r="AH161" i="4"/>
  <c r="AH191" i="4"/>
  <c r="AH217" i="4"/>
  <c r="AH223" i="4"/>
  <c r="AH169" i="4"/>
  <c r="AH208" i="4"/>
  <c r="AH177" i="4"/>
  <c r="AH185" i="4"/>
  <c r="AH201" i="4"/>
  <c r="AH136" i="4"/>
  <c r="AH159" i="4"/>
  <c r="AH193" i="4"/>
  <c r="AH209" i="4"/>
  <c r="AH74" i="4"/>
  <c r="AH162" i="4"/>
  <c r="AH170" i="4"/>
  <c r="AH186" i="4"/>
  <c r="AH194" i="4"/>
  <c r="AH110" i="4"/>
  <c r="AH151" i="4"/>
  <c r="AH171" i="4"/>
  <c r="AH210" i="4"/>
  <c r="AH226" i="4"/>
  <c r="AH249" i="4"/>
  <c r="AH265" i="4"/>
  <c r="AH115" i="4"/>
  <c r="AH156" i="4"/>
  <c r="AH224" i="4"/>
  <c r="AH225" i="4"/>
  <c r="AH243" i="4"/>
  <c r="AH138" i="4"/>
  <c r="AH175" i="4"/>
  <c r="AH181" i="4"/>
  <c r="AH222" i="4"/>
  <c r="AH251" i="4"/>
  <c r="AH154" i="4"/>
  <c r="AH221" i="4"/>
  <c r="AH244" i="4"/>
  <c r="AH116" i="4"/>
  <c r="AH155" i="4"/>
  <c r="AH187" i="4"/>
  <c r="AH197" i="4"/>
  <c r="AH252" i="4"/>
  <c r="AH130" i="4"/>
  <c r="AH215" i="4"/>
  <c r="AH245" i="4"/>
  <c r="AH176" i="4"/>
  <c r="AH182" i="4"/>
  <c r="AH192" i="4"/>
  <c r="AH253" i="4"/>
  <c r="AH261" i="4"/>
  <c r="AH146" i="4"/>
  <c r="AH166" i="4"/>
  <c r="AH206" i="4"/>
  <c r="AH255" i="4"/>
  <c r="AH259" i="4"/>
  <c r="AH148" i="4"/>
  <c r="AH150" i="4"/>
  <c r="AH165" i="4"/>
  <c r="AH214" i="4"/>
  <c r="AH241" i="4"/>
  <c r="AH172" i="4"/>
  <c r="AH230" i="4"/>
  <c r="AH58" i="4"/>
  <c r="AH200" i="4"/>
  <c r="AH247" i="4"/>
  <c r="AH202" i="4"/>
  <c r="AH207" i="4"/>
  <c r="AH233" i="4"/>
  <c r="AH236" i="4"/>
  <c r="AH122" i="4"/>
  <c r="AH184" i="4"/>
  <c r="AH190" i="4"/>
  <c r="AH196" i="4"/>
  <c r="AH242" i="4"/>
  <c r="AH256" i="4"/>
  <c r="AH263" i="4"/>
  <c r="AH213" i="4"/>
  <c r="AH228" i="4"/>
  <c r="AH267" i="4"/>
  <c r="AH137" i="4"/>
  <c r="AH183" i="4"/>
  <c r="AH167" i="4"/>
  <c r="AH168" i="4"/>
  <c r="AH212" i="4"/>
  <c r="AH216" i="4"/>
  <c r="AH204" i="4"/>
  <c r="AH205" i="4"/>
  <c r="AH229" i="4"/>
  <c r="AH237" i="4"/>
  <c r="AH235" i="4"/>
  <c r="AH248" i="4"/>
  <c r="AH203" i="4"/>
  <c r="AH227" i="4"/>
  <c r="AH262" i="4"/>
  <c r="AH144" i="4"/>
  <c r="AH134" i="4"/>
  <c r="AH149" i="4"/>
  <c r="AH231" i="4"/>
  <c r="AH234" i="4"/>
  <c r="AH211" i="4"/>
  <c r="AH240" i="4"/>
  <c r="AH55" i="4"/>
  <c r="AH84" i="4"/>
  <c r="AH152" i="4"/>
  <c r="AH232" i="4"/>
  <c r="AH246" i="4"/>
  <c r="AH173" i="4"/>
  <c r="AH250" i="4"/>
  <c r="AH264" i="4"/>
  <c r="AH189" i="4"/>
  <c r="AH266" i="4"/>
  <c r="AH188" i="4"/>
  <c r="AH258" i="4"/>
  <c r="AH163" i="4"/>
  <c r="AH254" i="4"/>
  <c r="AH180" i="4"/>
  <c r="AH257" i="4"/>
  <c r="AH260" i="4"/>
  <c r="AH164" i="4"/>
  <c r="AH220" i="4"/>
  <c r="AH195" i="4"/>
  <c r="AH174" i="4"/>
  <c r="K18" i="1" l="1"/>
  <c r="J19" i="1" s="1"/>
  <c r="B15" i="1" s="1"/>
  <c r="B3" i="3" s="1"/>
  <c r="B4" i="3" s="1"/>
  <c r="B2" i="3" l="1"/>
  <c r="Z19" i="3" s="1"/>
  <c r="C4" i="2"/>
  <c r="F52" i="2"/>
  <c r="J30" i="2"/>
  <c r="J40" i="2"/>
  <c r="J27" i="2"/>
  <c r="AC34" i="3"/>
  <c r="Z34" i="3"/>
  <c r="AC33" i="3"/>
  <c r="Z33" i="3"/>
  <c r="Z17" i="3"/>
  <c r="E13" i="3"/>
  <c r="E26" i="3"/>
  <c r="Z35" i="3" l="1"/>
  <c r="AC35" i="3"/>
  <c r="C9" i="2"/>
  <c r="K28" i="2"/>
  <c r="G14" i="3"/>
  <c r="G17" i="3" s="1"/>
  <c r="K41" i="2"/>
  <c r="G21" i="2" s="1"/>
  <c r="J26" i="2"/>
  <c r="E16" i="2" s="1"/>
  <c r="J28" i="2"/>
  <c r="K40" i="2"/>
  <c r="G20" i="2" s="1"/>
  <c r="J41" i="2"/>
  <c r="E21" i="2" s="1"/>
  <c r="G27" i="3"/>
  <c r="G29" i="3" s="1"/>
  <c r="E17" i="2"/>
  <c r="D17" i="2"/>
  <c r="J32" i="2"/>
  <c r="J31" i="2"/>
  <c r="C10" i="2"/>
  <c r="J39" i="2"/>
  <c r="K39" i="2"/>
  <c r="J43" i="2"/>
  <c r="K27" i="2"/>
  <c r="D19" i="2"/>
  <c r="K26" i="2"/>
  <c r="E19" i="2"/>
  <c r="Z21" i="3"/>
  <c r="Z25" i="3" s="1"/>
  <c r="Z30" i="3"/>
  <c r="Z18" i="3"/>
  <c r="F21" i="2" l="1"/>
  <c r="J21" i="2" s="1"/>
  <c r="K21" i="2"/>
  <c r="D16" i="2"/>
  <c r="G15" i="3"/>
  <c r="G28" i="3"/>
  <c r="G30" i="3"/>
  <c r="G16" i="3"/>
  <c r="D21" i="2"/>
  <c r="F20" i="2"/>
  <c r="Z22" i="3"/>
  <c r="D18" i="2"/>
  <c r="E18" i="2"/>
  <c r="F18" i="2"/>
  <c r="G18" i="2"/>
  <c r="J44" i="2"/>
  <c r="J45" i="2"/>
  <c r="X63" i="2"/>
  <c r="V60" i="2"/>
  <c r="O57" i="2"/>
  <c r="X53" i="2"/>
  <c r="W62" i="2"/>
  <c r="X55" i="2"/>
  <c r="N59" i="2"/>
  <c r="W55" i="2"/>
  <c r="O52" i="2"/>
  <c r="P55" i="2"/>
  <c r="X61" i="2"/>
  <c r="N55" i="2"/>
  <c r="V61" i="2"/>
  <c r="W54" i="2"/>
  <c r="V54" i="2"/>
  <c r="W57" i="2"/>
  <c r="O54" i="2"/>
  <c r="P57" i="2"/>
  <c r="W63" i="2"/>
  <c r="P60" i="2"/>
  <c r="N57" i="2"/>
  <c r="W53" i="2"/>
  <c r="P59" i="2"/>
  <c r="O59" i="2"/>
  <c r="P62" i="2"/>
  <c r="P52" i="2"/>
  <c r="O62" i="2"/>
  <c r="V55" i="2"/>
  <c r="W58" i="2"/>
  <c r="V58" i="2"/>
  <c r="P58" i="2"/>
  <c r="O58" i="2"/>
  <c r="N58" i="2"/>
  <c r="P54" i="2"/>
  <c r="V63" i="2"/>
  <c r="O60" i="2"/>
  <c r="X56" i="2"/>
  <c r="V53" i="2"/>
  <c r="P63" i="2"/>
  <c r="N60" i="2"/>
  <c r="W56" i="2"/>
  <c r="P53" i="2"/>
  <c r="O63" i="2"/>
  <c r="X59" i="2"/>
  <c r="V56" i="2"/>
  <c r="O53" i="2"/>
  <c r="P56" i="2"/>
  <c r="X62" i="2"/>
  <c r="O56" i="2"/>
  <c r="X52" i="2"/>
  <c r="W52" i="2"/>
  <c r="N62" i="2"/>
  <c r="N52" i="2"/>
  <c r="X54" i="2"/>
  <c r="X57" i="2"/>
  <c r="V57" i="2"/>
  <c r="W60" i="2"/>
  <c r="N54" i="2"/>
  <c r="N63" i="2"/>
  <c r="W59" i="2"/>
  <c r="N53" i="2"/>
  <c r="V59" i="2"/>
  <c r="N56" i="2"/>
  <c r="V62" i="2"/>
  <c r="V52" i="2"/>
  <c r="X58" i="2"/>
  <c r="O55" i="2"/>
  <c r="W61" i="2"/>
  <c r="P61" i="2"/>
  <c r="O61" i="2"/>
  <c r="N61" i="2"/>
  <c r="X60" i="2"/>
  <c r="E20" i="2"/>
  <c r="D20" i="2"/>
  <c r="F16" i="2"/>
  <c r="J16" i="2" s="1"/>
  <c r="G16" i="2"/>
  <c r="G17" i="2"/>
  <c r="F17" i="2"/>
  <c r="H17" i="2" s="1"/>
  <c r="G19" i="2"/>
  <c r="I19" i="2" s="1"/>
  <c r="F19" i="2"/>
  <c r="J19" i="2" s="1"/>
  <c r="Z31" i="3"/>
  <c r="H21" i="2" l="1"/>
  <c r="L21" i="2" s="1"/>
  <c r="I16" i="2"/>
  <c r="Z23" i="3"/>
  <c r="Z26" i="3" s="1"/>
  <c r="Z27" i="3" s="1"/>
  <c r="B6" i="3" s="1"/>
  <c r="I21" i="2"/>
  <c r="M21" i="2" s="1"/>
  <c r="H16" i="2"/>
  <c r="L16" i="2" s="1"/>
  <c r="C12" i="2"/>
  <c r="C11" i="2"/>
  <c r="E33" i="2" s="1"/>
  <c r="H19" i="2"/>
  <c r="L19" i="2" s="1"/>
  <c r="K19" i="2"/>
  <c r="M19" i="2" s="1"/>
  <c r="J18" i="2"/>
  <c r="K18" i="2"/>
  <c r="H18" i="2"/>
  <c r="I18" i="2"/>
  <c r="K16" i="2"/>
  <c r="J17" i="2"/>
  <c r="L17" i="2" s="1"/>
  <c r="K17" i="2"/>
  <c r="I17" i="2"/>
  <c r="I20" i="2"/>
  <c r="H20" i="2"/>
  <c r="J20" i="2"/>
  <c r="K20" i="2"/>
  <c r="AC32" i="3"/>
  <c r="Z32" i="3"/>
  <c r="Z36" i="3" l="1"/>
  <c r="Z37" i="3" s="1"/>
  <c r="Q21" i="2"/>
  <c r="L41" i="2" s="1"/>
  <c r="M16" i="2"/>
  <c r="Q16" i="2" s="1"/>
  <c r="L26" i="2" s="1"/>
  <c r="AC36" i="3"/>
  <c r="AC37" i="3" s="1"/>
  <c r="E42" i="2"/>
  <c r="E39" i="2"/>
  <c r="E41" i="2"/>
  <c r="E46" i="2"/>
  <c r="E43" i="2"/>
  <c r="E28" i="2"/>
  <c r="E29" i="2"/>
  <c r="E31" i="2"/>
  <c r="M20" i="2"/>
  <c r="E35" i="2"/>
  <c r="E25" i="2"/>
  <c r="E34" i="2"/>
  <c r="Q19" i="2"/>
  <c r="L39" i="2" s="1"/>
  <c r="L20" i="2"/>
  <c r="E38" i="2"/>
  <c r="E32" i="2"/>
  <c r="E26" i="2"/>
  <c r="L18" i="2"/>
  <c r="E27" i="2"/>
  <c r="E44" i="2"/>
  <c r="E40" i="2"/>
  <c r="E30" i="2"/>
  <c r="E45" i="2"/>
  <c r="M18" i="2"/>
  <c r="M17" i="2"/>
  <c r="Q17" i="2" s="1"/>
  <c r="L27" i="2" s="1"/>
  <c r="F45" i="2" l="1"/>
  <c r="G45" i="2" s="1"/>
  <c r="Z38" i="3"/>
  <c r="Z40" i="3" s="1"/>
  <c r="Z39" i="3"/>
  <c r="Z41" i="3" s="1"/>
  <c r="F44" i="2"/>
  <c r="G44" i="2" s="1"/>
  <c r="F46" i="2"/>
  <c r="G46" i="2" s="1"/>
  <c r="F43" i="2"/>
  <c r="G43" i="2" s="1"/>
  <c r="AC39" i="3"/>
  <c r="AC41" i="3" s="1"/>
  <c r="AC38" i="3"/>
  <c r="AC40" i="3" s="1"/>
  <c r="F42" i="2"/>
  <c r="G42" i="2" s="1"/>
  <c r="F29" i="2"/>
  <c r="G29" i="2" s="1"/>
  <c r="F28" i="2"/>
  <c r="G28" i="2" s="1"/>
  <c r="Q20" i="2"/>
  <c r="L40" i="2" s="1"/>
  <c r="F40" i="2" s="1"/>
  <c r="G40" i="2" s="1"/>
  <c r="Q18" i="2"/>
  <c r="L28" i="2" s="1"/>
  <c r="F34" i="2" s="1"/>
  <c r="G34" i="2" s="1"/>
  <c r="F41" i="2"/>
  <c r="G41" i="2" s="1"/>
  <c r="F25" i="2"/>
  <c r="G25" i="2" s="1"/>
  <c r="F35" i="2"/>
  <c r="G35" i="2" s="1"/>
  <c r="F27" i="2"/>
  <c r="G27" i="2" s="1"/>
  <c r="F26" i="2"/>
  <c r="G26" i="2" s="1"/>
  <c r="Z43" i="3" l="1"/>
  <c r="Z44" i="3" s="1"/>
  <c r="Z46" i="3" s="1"/>
  <c r="Z47" i="3" s="1"/>
  <c r="B9" i="3" s="1"/>
  <c r="Z48" i="3" s="1"/>
  <c r="D9" i="3" s="1"/>
  <c r="F39" i="2"/>
  <c r="G39" i="2" s="1"/>
  <c r="F33" i="2"/>
  <c r="G33" i="2" s="1"/>
  <c r="F31" i="2"/>
  <c r="G31" i="2" s="1"/>
  <c r="F38" i="2"/>
  <c r="G38" i="2" s="1"/>
  <c r="AC43" i="3"/>
  <c r="AC44" i="3" s="1"/>
  <c r="AC46" i="3" s="1"/>
  <c r="AC47" i="3" s="1"/>
  <c r="F32" i="2"/>
  <c r="G32" i="2" s="1"/>
  <c r="F30" i="2"/>
  <c r="G30" i="2" s="1"/>
  <c r="F9" i="4"/>
  <c r="D9" i="4"/>
  <c r="AQ3" i="4" s="1"/>
  <c r="AQ4" i="4" s="1"/>
  <c r="B10" i="3" l="1"/>
  <c r="AC48" i="3" s="1"/>
  <c r="D10" i="3" s="1"/>
  <c r="AT3" i="4"/>
  <c r="AK3" i="4"/>
  <c r="AN3" i="4"/>
  <c r="D19" i="3"/>
  <c r="C46" i="3"/>
  <c r="D20" i="3"/>
  <c r="C45" i="3"/>
  <c r="D21" i="3"/>
  <c r="D22" i="3"/>
  <c r="D23" i="3"/>
  <c r="D15" i="3"/>
  <c r="D16" i="3"/>
  <c r="D17" i="3"/>
  <c r="D18" i="3"/>
  <c r="AK352" i="4" l="1"/>
  <c r="AK67" i="4"/>
  <c r="D29" i="3"/>
  <c r="D28" i="3"/>
  <c r="D38" i="3"/>
  <c r="D36" i="3"/>
  <c r="D35" i="3"/>
  <c r="D34" i="3"/>
  <c r="D37" i="3"/>
  <c r="D32" i="3"/>
  <c r="D33" i="3"/>
  <c r="D40" i="3"/>
  <c r="D31" i="3"/>
  <c r="D30" i="3"/>
  <c r="D39" i="3"/>
  <c r="D41" i="3"/>
  <c r="AK8" i="4"/>
  <c r="AK213" i="4"/>
  <c r="AK380" i="4"/>
  <c r="AK384" i="4"/>
  <c r="AK203" i="4"/>
  <c r="AK153" i="4"/>
  <c r="AK132" i="4"/>
  <c r="AK197" i="4"/>
  <c r="AK93" i="4"/>
  <c r="AK192" i="4"/>
  <c r="AK139" i="4"/>
  <c r="AK61" i="4"/>
  <c r="AK195" i="4"/>
  <c r="AK60" i="4"/>
  <c r="AK143" i="4"/>
  <c r="AK135" i="4"/>
  <c r="AK163" i="4"/>
  <c r="AK121" i="4"/>
  <c r="AK206" i="4"/>
  <c r="AK190" i="4"/>
  <c r="AK5" i="4"/>
  <c r="AK130" i="4"/>
  <c r="AK86" i="4"/>
  <c r="AK184" i="4"/>
  <c r="AK405" i="4"/>
  <c r="AK172" i="4"/>
  <c r="AK25" i="4"/>
  <c r="AK110" i="4"/>
  <c r="AK46" i="4"/>
  <c r="AK148" i="4"/>
  <c r="AK100" i="4"/>
  <c r="AK223" i="4"/>
  <c r="AK157" i="4"/>
  <c r="AK97" i="4"/>
  <c r="AK175" i="4"/>
  <c r="AK37" i="4"/>
  <c r="AK64" i="4"/>
  <c r="AK48" i="4"/>
  <c r="AK353" i="4"/>
  <c r="AK26" i="4"/>
  <c r="AK119" i="4"/>
  <c r="AK101" i="4"/>
  <c r="AK237" i="4"/>
  <c r="AK66" i="4"/>
  <c r="AK70" i="4"/>
  <c r="AK63" i="4"/>
  <c r="AK125" i="4"/>
  <c r="AK170" i="4"/>
  <c r="AK239" i="4"/>
  <c r="AK244" i="4"/>
  <c r="AK83" i="4"/>
  <c r="AK232" i="4"/>
  <c r="AK71" i="4"/>
  <c r="AK57" i="4"/>
  <c r="AK212" i="4"/>
  <c r="AK36" i="4"/>
  <c r="AK217" i="4"/>
  <c r="AK34" i="4"/>
  <c r="AK31" i="4"/>
  <c r="AK40" i="4"/>
  <c r="AK140" i="4"/>
  <c r="AK285" i="4"/>
  <c r="AK55" i="4"/>
  <c r="AK267" i="4"/>
  <c r="AK92" i="4"/>
  <c r="AK250" i="4"/>
  <c r="AK18" i="4"/>
  <c r="AK403" i="4"/>
  <c r="AK107" i="4"/>
  <c r="AK131" i="4"/>
  <c r="AK259" i="4"/>
  <c r="AK162" i="4"/>
  <c r="AK185" i="4"/>
  <c r="AK50" i="4"/>
  <c r="AK29" i="4"/>
  <c r="AK77" i="4"/>
  <c r="AK42" i="4"/>
  <c r="AK303" i="4"/>
  <c r="AK210" i="4"/>
  <c r="AK59" i="4"/>
  <c r="AK183" i="4"/>
  <c r="AK75" i="4"/>
  <c r="AK65" i="4"/>
  <c r="AK72" i="4"/>
  <c r="AK136" i="4"/>
  <c r="AK182" i="4"/>
  <c r="AK176" i="4"/>
  <c r="AK261" i="4"/>
  <c r="AK44" i="4"/>
  <c r="AK360" i="4"/>
  <c r="AK257" i="4"/>
  <c r="AK30" i="4"/>
  <c r="AK28" i="4"/>
  <c r="AK224" i="4"/>
  <c r="AK94" i="4"/>
  <c r="AK333" i="4"/>
  <c r="AK295" i="4"/>
  <c r="AK56" i="4"/>
  <c r="AK19" i="4"/>
  <c r="AK105" i="4"/>
  <c r="AK168" i="4"/>
  <c r="AK231" i="4"/>
  <c r="AK240" i="4"/>
  <c r="AK160" i="4"/>
  <c r="AK174" i="4"/>
  <c r="AK187" i="4"/>
  <c r="AK23" i="4"/>
  <c r="AK14" i="4"/>
  <c r="AK51" i="4"/>
  <c r="AK156" i="4"/>
  <c r="AK89" i="4"/>
  <c r="AK154" i="4"/>
  <c r="AK201" i="4"/>
  <c r="AK35" i="4"/>
  <c r="AK249" i="4"/>
  <c r="AK278" i="4"/>
  <c r="AK270" i="4"/>
  <c r="AK180" i="4"/>
  <c r="AK115" i="4"/>
  <c r="AK177" i="4"/>
  <c r="AK126" i="4"/>
  <c r="AK252" i="4"/>
  <c r="AK137" i="4"/>
  <c r="AK149" i="4"/>
  <c r="AK95" i="4"/>
  <c r="AK221" i="4"/>
  <c r="AK364" i="4"/>
  <c r="AK335" i="4"/>
  <c r="AK45" i="4"/>
  <c r="AK254" i="4"/>
  <c r="AK235" i="4"/>
  <c r="AK111" i="4"/>
  <c r="AK218" i="4"/>
  <c r="AK69" i="4"/>
  <c r="AK62" i="4"/>
  <c r="AK193" i="4"/>
  <c r="AK238" i="4"/>
  <c r="AK222" i="4"/>
  <c r="AK27" i="4"/>
  <c r="AK17" i="4"/>
  <c r="AK208" i="4"/>
  <c r="AK22" i="4"/>
  <c r="AK230" i="4"/>
  <c r="AK90" i="4"/>
  <c r="AK9" i="4"/>
  <c r="AK178" i="4"/>
  <c r="AK81" i="4"/>
  <c r="AK151" i="4"/>
  <c r="AK144" i="4"/>
  <c r="AK84" i="4"/>
  <c r="AK247" i="4"/>
  <c r="AK199" i="4"/>
  <c r="AK161" i="4"/>
  <c r="AK21" i="4"/>
  <c r="AK297" i="4"/>
  <c r="AK290" i="4"/>
  <c r="AK32" i="4"/>
  <c r="AK158" i="4"/>
  <c r="AK242" i="4"/>
  <c r="AK47" i="4"/>
  <c r="AK264" i="4"/>
  <c r="AK159" i="4"/>
  <c r="AK260" i="4"/>
  <c r="AK7" i="4"/>
  <c r="AK87" i="4"/>
  <c r="AK128" i="4"/>
  <c r="AK118" i="4"/>
  <c r="AK228" i="4"/>
  <c r="AK214" i="4"/>
  <c r="AK117" i="4"/>
  <c r="AK196" i="4"/>
  <c r="AK33" i="4"/>
  <c r="AK123" i="4"/>
  <c r="AK85" i="4"/>
  <c r="AK258" i="4"/>
  <c r="AK116" i="4"/>
  <c r="AK49" i="4"/>
  <c r="AK256" i="4"/>
  <c r="AK73" i="4"/>
  <c r="AK133" i="4"/>
  <c r="AK186" i="4"/>
  <c r="AK124" i="4"/>
  <c r="AK82" i="4"/>
  <c r="AK262" i="4"/>
  <c r="AK281" i="4"/>
  <c r="AK359" i="4"/>
  <c r="AK289" i="4"/>
  <c r="AK343" i="4"/>
  <c r="AK152" i="4"/>
  <c r="AK198" i="4"/>
  <c r="AK80" i="4"/>
  <c r="AK76" i="4"/>
  <c r="AK41" i="4"/>
  <c r="AK211" i="4"/>
  <c r="AK243" i="4"/>
  <c r="AK253" i="4"/>
  <c r="AK171" i="4"/>
  <c r="AK99" i="4"/>
  <c r="AK142" i="4"/>
  <c r="AK194" i="4"/>
  <c r="AK167" i="4"/>
  <c r="AK204" i="4"/>
  <c r="AK165" i="4"/>
  <c r="AK109" i="4"/>
  <c r="AK13" i="4"/>
  <c r="AK234" i="4"/>
  <c r="AK226" i="4"/>
  <c r="AK79" i="4"/>
  <c r="AK141" i="4"/>
  <c r="AK219" i="4"/>
  <c r="AK146" i="4"/>
  <c r="AK202" i="4"/>
  <c r="AK20" i="4"/>
  <c r="AK68" i="4"/>
  <c r="AK88" i="4"/>
  <c r="AK266" i="4"/>
  <c r="AK313" i="4"/>
  <c r="AK372" i="4"/>
  <c r="AK362" i="4"/>
  <c r="AK369" i="4"/>
  <c r="AK104" i="4"/>
  <c r="AK127" i="4"/>
  <c r="AK91" i="4"/>
  <c r="AK216" i="4"/>
  <c r="AK53" i="4"/>
  <c r="AK188" i="4"/>
  <c r="AK155" i="4"/>
  <c r="AK164" i="4"/>
  <c r="AK11" i="4"/>
  <c r="AK112" i="4"/>
  <c r="AK52" i="4"/>
  <c r="AK248" i="4"/>
  <c r="AK54" i="4"/>
  <c r="AK191" i="4"/>
  <c r="AK227" i="4"/>
  <c r="AK145" i="4"/>
  <c r="AK166" i="4"/>
  <c r="AK205" i="4"/>
  <c r="AK209" i="4"/>
  <c r="AK181" i="4"/>
  <c r="AK207" i="4"/>
  <c r="AK10" i="4"/>
  <c r="AK129" i="4"/>
  <c r="AK251" i="4"/>
  <c r="AK24" i="4"/>
  <c r="AK96" i="4"/>
  <c r="AK43" i="4"/>
  <c r="AK108" i="4"/>
  <c r="AK324" i="4"/>
  <c r="AK325" i="4"/>
  <c r="AK275" i="4"/>
  <c r="AK6" i="4"/>
  <c r="AK120" i="4"/>
  <c r="AK150" i="4"/>
  <c r="AK114" i="4"/>
  <c r="AK15" i="4"/>
  <c r="AK102" i="4"/>
  <c r="AK147" i="4"/>
  <c r="AK173" i="4"/>
  <c r="AK98" i="4"/>
  <c r="AK189" i="4"/>
  <c r="AK122" i="4"/>
  <c r="AK236" i="4"/>
  <c r="AK225" i="4"/>
  <c r="AK321" i="4"/>
  <c r="AK179" i="4"/>
  <c r="AK255" i="4"/>
  <c r="AK12" i="4"/>
  <c r="AK39" i="4"/>
  <c r="AK103" i="4"/>
  <c r="AK245" i="4"/>
  <c r="AK233" i="4"/>
  <c r="AK58" i="4"/>
  <c r="AK220" i="4"/>
  <c r="AK74" i="4"/>
  <c r="AK263" i="4"/>
  <c r="AK113" i="4"/>
  <c r="AK200" i="4"/>
  <c r="AK351" i="4"/>
  <c r="AK265" i="4"/>
  <c r="AK246" i="4"/>
  <c r="AK215" i="4"/>
  <c r="AK16" i="4"/>
  <c r="AK78" i="4"/>
  <c r="AK134" i="4"/>
  <c r="AK409" i="4"/>
  <c r="AQ5" i="4"/>
  <c r="AQ205" i="4"/>
  <c r="AQ405" i="4"/>
  <c r="AQ227" i="4"/>
  <c r="AQ146" i="4"/>
  <c r="AV146" i="4" s="1"/>
  <c r="AQ346" i="4"/>
  <c r="AQ357" i="4"/>
  <c r="AQ329" i="4"/>
  <c r="AQ303" i="4"/>
  <c r="AQ130" i="4"/>
  <c r="AQ131" i="4"/>
  <c r="AQ53" i="4"/>
  <c r="AQ292" i="4"/>
  <c r="AQ112" i="4"/>
  <c r="AQ54" i="4"/>
  <c r="AQ80" i="4"/>
  <c r="AQ349" i="4"/>
  <c r="AQ179" i="4"/>
  <c r="AQ83" i="4"/>
  <c r="AQ298" i="4"/>
  <c r="AQ280" i="4"/>
  <c r="AQ121" i="4"/>
  <c r="AQ153" i="4"/>
  <c r="AQ180" i="4"/>
  <c r="AQ188" i="4"/>
  <c r="AQ55" i="4"/>
  <c r="AQ87" i="4"/>
  <c r="AQ196" i="4"/>
  <c r="AQ102" i="4"/>
  <c r="AQ330" i="4"/>
  <c r="AQ300" i="4"/>
  <c r="AQ33" i="4"/>
  <c r="AQ174" i="4"/>
  <c r="AQ258" i="4"/>
  <c r="AQ28" i="4"/>
  <c r="AQ265" i="4"/>
  <c r="AQ206" i="4"/>
  <c r="AQ222" i="4"/>
  <c r="AQ371" i="4"/>
  <c r="AQ94" i="4"/>
  <c r="AQ221" i="4"/>
  <c r="AQ333" i="4"/>
  <c r="AQ157" i="4"/>
  <c r="AQ216" i="4"/>
  <c r="AQ262" i="4"/>
  <c r="AQ64" i="4"/>
  <c r="AQ341" i="4"/>
  <c r="AQ374" i="4"/>
  <c r="AQ161" i="4"/>
  <c r="AQ285" i="4"/>
  <c r="AQ226" i="4"/>
  <c r="AQ89" i="4"/>
  <c r="AQ103" i="4"/>
  <c r="AQ93" i="4"/>
  <c r="AQ231" i="4"/>
  <c r="AQ281" i="4"/>
  <c r="AQ95" i="4"/>
  <c r="AQ36" i="4"/>
  <c r="AQ114" i="4"/>
  <c r="AQ118" i="4"/>
  <c r="AQ111" i="4"/>
  <c r="AQ252" i="4"/>
  <c r="AQ254" i="4"/>
  <c r="AQ305" i="4"/>
  <c r="AQ46" i="4"/>
  <c r="AQ129" i="4"/>
  <c r="AQ143" i="4"/>
  <c r="AQ132" i="4"/>
  <c r="AQ270" i="4"/>
  <c r="AQ293" i="4"/>
  <c r="AQ115" i="4"/>
  <c r="AQ277" i="4"/>
  <c r="AQ117" i="4"/>
  <c r="AQ9" i="4"/>
  <c r="AQ279" i="4"/>
  <c r="AQ14" i="4"/>
  <c r="AQ164" i="4"/>
  <c r="AQ351" i="4"/>
  <c r="AQ307" i="4"/>
  <c r="AQ137" i="4"/>
  <c r="AQ11" i="4"/>
  <c r="AQ348" i="4"/>
  <c r="AQ134" i="4"/>
  <c r="AQ233" i="4"/>
  <c r="AQ135" i="4"/>
  <c r="AQ76" i="4"/>
  <c r="AQ194" i="4"/>
  <c r="AQ343" i="4"/>
  <c r="AQ189" i="4"/>
  <c r="AQ19" i="4"/>
  <c r="AQ30" i="4"/>
  <c r="AQ367" i="4"/>
  <c r="AQ177" i="4"/>
  <c r="AQ62" i="4"/>
  <c r="AQ81" i="4"/>
  <c r="AQ173" i="4"/>
  <c r="AQ311" i="4"/>
  <c r="AQ155" i="4"/>
  <c r="AQ96" i="4"/>
  <c r="AQ234" i="4"/>
  <c r="AQ383" i="4"/>
  <c r="AQ244" i="4"/>
  <c r="AQ193" i="4"/>
  <c r="AQ334" i="4"/>
  <c r="AQ365" i="4"/>
  <c r="AQ306" i="4"/>
  <c r="AQ198" i="4"/>
  <c r="AQ144" i="4"/>
  <c r="AQ381" i="4"/>
  <c r="AQ404" i="4"/>
  <c r="AQ240" i="4"/>
  <c r="AQ107" i="4"/>
  <c r="AQ267" i="4"/>
  <c r="AQ22" i="4"/>
  <c r="AQ138" i="4"/>
  <c r="AQ230" i="4"/>
  <c r="AQ29" i="4"/>
  <c r="AQ185" i="4"/>
  <c r="AQ126" i="4"/>
  <c r="AQ15" i="4"/>
  <c r="AQ215" i="4"/>
  <c r="AQ7" i="4"/>
  <c r="AQ257" i="4"/>
  <c r="AQ156" i="4"/>
  <c r="AQ356" i="4"/>
  <c r="AQ377" i="4"/>
  <c r="AQ354" i="4"/>
  <c r="AQ318" i="4"/>
  <c r="AQ170" i="4"/>
  <c r="AQ171" i="4"/>
  <c r="AQ204" i="4"/>
  <c r="AQ328" i="4"/>
  <c r="AQ151" i="4"/>
  <c r="AQ283" i="4"/>
  <c r="AQ98" i="4"/>
  <c r="AQ388" i="4"/>
  <c r="AQ218" i="4"/>
  <c r="AQ123" i="4"/>
  <c r="AQ69" i="4"/>
  <c r="AQ44" i="4"/>
  <c r="AQ366" i="4"/>
  <c r="AQ407" i="4"/>
  <c r="AQ369" i="4"/>
  <c r="AQ10" i="4"/>
  <c r="AQ210" i="4"/>
  <c r="AQ211" i="4"/>
  <c r="AQ243" i="4"/>
  <c r="AQ42" i="4"/>
  <c r="AQ190" i="4"/>
  <c r="AQ301" i="4"/>
  <c r="AQ324" i="4"/>
  <c r="AQ100" i="4"/>
  <c r="AQ101" i="4"/>
  <c r="AQ313" i="4"/>
  <c r="AQ109" i="4"/>
  <c r="AQ88" i="4"/>
  <c r="AQ35" i="4"/>
  <c r="AQ235" i="4"/>
  <c r="AQ57" i="4"/>
  <c r="AQ317" i="4"/>
  <c r="AQ176" i="4"/>
  <c r="AV176" i="4" s="1"/>
  <c r="AQ376" i="4"/>
  <c r="AQ8" i="4"/>
  <c r="AQ394" i="4"/>
  <c r="AQ411" i="4"/>
  <c r="AQ250" i="4"/>
  <c r="AQ251" i="4"/>
  <c r="AQ261" i="4"/>
  <c r="AQ82" i="4"/>
  <c r="AV82" i="4" s="1"/>
  <c r="AQ229" i="4"/>
  <c r="AQ322" i="4"/>
  <c r="AQ59" i="4"/>
  <c r="AQ20" i="4"/>
  <c r="AQ141" i="4"/>
  <c r="AQ352" i="4"/>
  <c r="AV352" i="4" s="1"/>
  <c r="AQ149" i="4"/>
  <c r="AQ128" i="4"/>
  <c r="AQ45" i="4"/>
  <c r="AQ245" i="4"/>
  <c r="AQ77" i="4"/>
  <c r="AQ347" i="4"/>
  <c r="AQ186" i="4"/>
  <c r="AQ386" i="4"/>
  <c r="AQ21" i="4"/>
  <c r="AQ409" i="4"/>
  <c r="AQ39" i="4"/>
  <c r="AQ290" i="4"/>
  <c r="AQ291" i="4"/>
  <c r="AQ282" i="4"/>
  <c r="AQ268" i="4"/>
  <c r="AQ340" i="4"/>
  <c r="AQ68" i="4"/>
  <c r="AQ391" i="4"/>
  <c r="AQ178" i="4"/>
  <c r="AQ255" i="4"/>
  <c r="AQ387" i="4"/>
  <c r="AQ396" i="4"/>
  <c r="AQ34" i="4"/>
  <c r="AQ104" i="4"/>
  <c r="AV104" i="4" s="1"/>
  <c r="AQ331" i="4"/>
  <c r="AQ139" i="4"/>
  <c r="AQ379" i="4"/>
  <c r="AQ108" i="4"/>
  <c r="AQ43" i="4"/>
  <c r="AQ294" i="4"/>
  <c r="AQ127" i="4"/>
  <c r="AQ406" i="4"/>
  <c r="AQ119" i="4"/>
  <c r="AQ321" i="4"/>
  <c r="AQ323" i="4"/>
  <c r="AQ148" i="4"/>
  <c r="AQ160" i="4"/>
  <c r="AQ275" i="4"/>
  <c r="AQ16" i="4"/>
  <c r="AQ74" i="4"/>
  <c r="AQ410" i="4"/>
  <c r="AQ72" i="4"/>
  <c r="AQ213" i="4"/>
  <c r="AQ124" i="4"/>
  <c r="AQ85" i="4"/>
  <c r="AQ26" i="4"/>
  <c r="AQ302" i="4"/>
  <c r="AQ79" i="4"/>
  <c r="AQ362" i="4"/>
  <c r="AQ413" i="4"/>
  <c r="AQ200" i="4"/>
  <c r="AQ295" i="4"/>
  <c r="AQ236" i="4"/>
  <c r="AQ342" i="4"/>
  <c r="AQ159" i="4"/>
  <c r="AQ380" i="4"/>
  <c r="AQ353" i="4"/>
  <c r="AQ273" i="4"/>
  <c r="AQ105" i="4"/>
  <c r="AQ246" i="4"/>
  <c r="AV246" i="4" s="1"/>
  <c r="AQ382" i="4"/>
  <c r="AQ264" i="4"/>
  <c r="AQ401" i="4"/>
  <c r="AQ392" i="4"/>
  <c r="AQ312" i="4"/>
  <c r="AQ315" i="4"/>
  <c r="AQ56" i="4"/>
  <c r="AQ154" i="4"/>
  <c r="AQ319" i="4"/>
  <c r="AQ402" i="4"/>
  <c r="AQ113" i="4"/>
  <c r="AQ110" i="4"/>
  <c r="AQ125" i="4"/>
  <c r="AQ66" i="4"/>
  <c r="AQ169" i="4"/>
  <c r="AQ263" i="4"/>
  <c r="AQ168" i="4"/>
  <c r="AQ403" i="4"/>
  <c r="AQ368" i="4"/>
  <c r="AQ335" i="4"/>
  <c r="AQ276" i="4"/>
  <c r="AQ63" i="4"/>
  <c r="AQ384" i="4"/>
  <c r="AQ308" i="4"/>
  <c r="AQ242" i="4"/>
  <c r="AQ219" i="4"/>
  <c r="AQ345" i="4"/>
  <c r="AQ286" i="4"/>
  <c r="AQ78" i="4"/>
  <c r="AQ399" i="4"/>
  <c r="AQ40" i="4"/>
  <c r="AQ320" i="4"/>
  <c r="AQ162" i="4"/>
  <c r="AQ397" i="4"/>
  <c r="AQ207" i="4"/>
  <c r="AQ142" i="4"/>
  <c r="AQ99" i="4"/>
  <c r="AQ191" i="4"/>
  <c r="AQ350" i="4"/>
  <c r="AQ165" i="4"/>
  <c r="AQ106" i="4"/>
  <c r="AQ249" i="4"/>
  <c r="AQ398" i="4"/>
  <c r="AQ361" i="4"/>
  <c r="AQ214" i="4"/>
  <c r="AQ373" i="4"/>
  <c r="AQ375" i="4"/>
  <c r="AQ316" i="4"/>
  <c r="AQ223" i="4"/>
  <c r="AQ23" i="4"/>
  <c r="AV23" i="4" s="1"/>
  <c r="AQ400" i="4"/>
  <c r="AQ253" i="4"/>
  <c r="AQ412" i="4"/>
  <c r="AQ385" i="4"/>
  <c r="AQ25" i="4"/>
  <c r="AQ225" i="4"/>
  <c r="AQ37" i="4"/>
  <c r="AQ287" i="4"/>
  <c r="AQ166" i="4"/>
  <c r="AQ65" i="4"/>
  <c r="AQ6" i="4"/>
  <c r="AQ49" i="4"/>
  <c r="AQ370" i="4"/>
  <c r="AQ12" i="4"/>
  <c r="AQ192" i="4"/>
  <c r="AQ84" i="4"/>
  <c r="AQ75" i="4"/>
  <c r="AQ17" i="4"/>
  <c r="AQ199" i="4"/>
  <c r="AQ339" i="4"/>
  <c r="AQ133" i="4"/>
  <c r="AQ260" i="4"/>
  <c r="AQ372" i="4"/>
  <c r="AQ197" i="4"/>
  <c r="AQ47" i="4"/>
  <c r="AQ224" i="4"/>
  <c r="AQ360" i="4"/>
  <c r="AQ172" i="4"/>
  <c r="AQ299" i="4"/>
  <c r="AQ408" i="4"/>
  <c r="AQ217" i="4"/>
  <c r="AQ67" i="4"/>
  <c r="AQ239" i="4"/>
  <c r="AQ378" i="4"/>
  <c r="AQ208" i="4"/>
  <c r="AQ338" i="4"/>
  <c r="AQ259" i="4"/>
  <c r="AQ247" i="4"/>
  <c r="AQ97" i="4"/>
  <c r="AQ304" i="4"/>
  <c r="AQ284" i="4"/>
  <c r="AQ70" i="4"/>
  <c r="AQ256" i="4"/>
  <c r="AQ158" i="4"/>
  <c r="AQ150" i="4"/>
  <c r="AQ288" i="4"/>
  <c r="AQ332" i="4"/>
  <c r="AQ325" i="4"/>
  <c r="AQ266" i="4"/>
  <c r="AQ38" i="4"/>
  <c r="AQ359" i="4"/>
  <c r="AQ58" i="4"/>
  <c r="AQ203" i="4"/>
  <c r="AQ390" i="4"/>
  <c r="AQ337" i="4"/>
  <c r="AQ167" i="4"/>
  <c r="AQ52" i="4"/>
  <c r="AQ41" i="4"/>
  <c r="AQ152" i="4"/>
  <c r="AQ272" i="4"/>
  <c r="AQ145" i="4"/>
  <c r="AQ86" i="4"/>
  <c r="AQ209" i="4"/>
  <c r="AQ358" i="4"/>
  <c r="AQ228" i="4"/>
  <c r="AQ60" i="4"/>
  <c r="AQ61" i="4"/>
  <c r="AQ355" i="4"/>
  <c r="AQ296" i="4"/>
  <c r="AQ183" i="4"/>
  <c r="AQ24" i="4"/>
  <c r="AQ363" i="4"/>
  <c r="AQ393" i="4"/>
  <c r="AQ201" i="4"/>
  <c r="AQ27" i="4"/>
  <c r="AQ237" i="4"/>
  <c r="AQ182" i="4"/>
  <c r="AQ120" i="4"/>
  <c r="AQ212" i="4"/>
  <c r="AQ389" i="4"/>
  <c r="AQ175" i="4"/>
  <c r="AQ116" i="4"/>
  <c r="AQ274" i="4"/>
  <c r="AQ184" i="4"/>
  <c r="AQ18" i="4"/>
  <c r="AQ48" i="4"/>
  <c r="AQ163" i="4"/>
  <c r="AQ147" i="4"/>
  <c r="AQ195" i="4"/>
  <c r="AQ13" i="4"/>
  <c r="AQ73" i="4"/>
  <c r="AQ187" i="4"/>
  <c r="AQ136" i="4"/>
  <c r="AQ32" i="4"/>
  <c r="AQ248" i="4"/>
  <c r="AQ297" i="4"/>
  <c r="AQ327" i="4"/>
  <c r="AQ289" i="4"/>
  <c r="AQ140" i="4"/>
  <c r="AQ278" i="4"/>
  <c r="AQ181" i="4"/>
  <c r="AQ51" i="4"/>
  <c r="AQ241" i="4"/>
  <c r="AQ31" i="4"/>
  <c r="AQ232" i="4"/>
  <c r="AQ395" i="4"/>
  <c r="AQ309" i="4"/>
  <c r="AQ326" i="4"/>
  <c r="AQ269" i="4"/>
  <c r="AQ271" i="4"/>
  <c r="AQ92" i="4"/>
  <c r="AQ71" i="4"/>
  <c r="AQ50" i="4"/>
  <c r="AQ220" i="4"/>
  <c r="AQ91" i="4"/>
  <c r="AQ336" i="4"/>
  <c r="AQ310" i="4"/>
  <c r="AQ314" i="4"/>
  <c r="AQ238" i="4"/>
  <c r="AQ122" i="4"/>
  <c r="AQ90" i="4"/>
  <c r="AQ202" i="4"/>
  <c r="AQ344" i="4"/>
  <c r="AQ364" i="4"/>
  <c r="AK169" i="4"/>
  <c r="AK229" i="4"/>
  <c r="AK106" i="4"/>
  <c r="AK241" i="4"/>
  <c r="AK138" i="4"/>
  <c r="AK38" i="4"/>
  <c r="AK385" i="4"/>
  <c r="AT15" i="4"/>
  <c r="AT65" i="4"/>
  <c r="AT85" i="4"/>
  <c r="AT115" i="4"/>
  <c r="AT135" i="4"/>
  <c r="AT155" i="4"/>
  <c r="AT175" i="4"/>
  <c r="AT195" i="4"/>
  <c r="AT215" i="4"/>
  <c r="AT235" i="4"/>
  <c r="AT255" i="4"/>
  <c r="AT275" i="4"/>
  <c r="AT295" i="4"/>
  <c r="AT315" i="4"/>
  <c r="AT335" i="4"/>
  <c r="AT355" i="4"/>
  <c r="AT375" i="4"/>
  <c r="AT395" i="4"/>
  <c r="AT106" i="4"/>
  <c r="AT146" i="4"/>
  <c r="AT186" i="4"/>
  <c r="AT216" i="4"/>
  <c r="AT236" i="4"/>
  <c r="AT266" i="4"/>
  <c r="AT296" i="4"/>
  <c r="AT326" i="4"/>
  <c r="AT356" i="4"/>
  <c r="AT386" i="4"/>
  <c r="AT7" i="4"/>
  <c r="AT5" i="4"/>
  <c r="AT25" i="4"/>
  <c r="AT35" i="4"/>
  <c r="AT45" i="4"/>
  <c r="AT55" i="4"/>
  <c r="AT75" i="4"/>
  <c r="AT95" i="4"/>
  <c r="AT105" i="4"/>
  <c r="AT125" i="4"/>
  <c r="AT145" i="4"/>
  <c r="AT165" i="4"/>
  <c r="AT185" i="4"/>
  <c r="AT205" i="4"/>
  <c r="AT225" i="4"/>
  <c r="AT245" i="4"/>
  <c r="AT265" i="4"/>
  <c r="AT285" i="4"/>
  <c r="AT305" i="4"/>
  <c r="AT325" i="4"/>
  <c r="AT345" i="4"/>
  <c r="AT365" i="4"/>
  <c r="AT385" i="4"/>
  <c r="AT405" i="4"/>
  <c r="AT126" i="4"/>
  <c r="AT166" i="4"/>
  <c r="AT196" i="4"/>
  <c r="AT226" i="4"/>
  <c r="AT256" i="4"/>
  <c r="AT286" i="4"/>
  <c r="AT316" i="4"/>
  <c r="AT346" i="4"/>
  <c r="AT376" i="4"/>
  <c r="AT406" i="4"/>
  <c r="AT27" i="4"/>
  <c r="AT6" i="4"/>
  <c r="AT16" i="4"/>
  <c r="AT26" i="4"/>
  <c r="AT36" i="4"/>
  <c r="AT46" i="4"/>
  <c r="AT56" i="4"/>
  <c r="AT66" i="4"/>
  <c r="AT76" i="4"/>
  <c r="AT86" i="4"/>
  <c r="AT96" i="4"/>
  <c r="AT116" i="4"/>
  <c r="AT136" i="4"/>
  <c r="AT156" i="4"/>
  <c r="AT176" i="4"/>
  <c r="AT206" i="4"/>
  <c r="AT246" i="4"/>
  <c r="AT276" i="4"/>
  <c r="AT306" i="4"/>
  <c r="AT336" i="4"/>
  <c r="AT366" i="4"/>
  <c r="AT396" i="4"/>
  <c r="AT17" i="4"/>
  <c r="AT61" i="4"/>
  <c r="AT101" i="4"/>
  <c r="AT141" i="4"/>
  <c r="AT181" i="4"/>
  <c r="AT221" i="4"/>
  <c r="AT261" i="4"/>
  <c r="AT301" i="4"/>
  <c r="AT341" i="4"/>
  <c r="AT381" i="4"/>
  <c r="AT129" i="4"/>
  <c r="AT154" i="4"/>
  <c r="AT194" i="4"/>
  <c r="AT234" i="4"/>
  <c r="AT274" i="4"/>
  <c r="AT314" i="4"/>
  <c r="AT354" i="4"/>
  <c r="AT409" i="4"/>
  <c r="AT37" i="4"/>
  <c r="AT77" i="4"/>
  <c r="AT117" i="4"/>
  <c r="AT157" i="4"/>
  <c r="AT197" i="4"/>
  <c r="AT237" i="4"/>
  <c r="AT277" i="4"/>
  <c r="AT317" i="4"/>
  <c r="AT357" i="4"/>
  <c r="AT397" i="4"/>
  <c r="AT22" i="4"/>
  <c r="AT90" i="4"/>
  <c r="AT130" i="4"/>
  <c r="AT250" i="4"/>
  <c r="AT330" i="4"/>
  <c r="AT370" i="4"/>
  <c r="AT38" i="4"/>
  <c r="AT78" i="4"/>
  <c r="AT118" i="4"/>
  <c r="AT158" i="4"/>
  <c r="AT198" i="4"/>
  <c r="AT238" i="4"/>
  <c r="AT278" i="4"/>
  <c r="AT318" i="4"/>
  <c r="AT358" i="4"/>
  <c r="AT10" i="4"/>
  <c r="AT51" i="4"/>
  <c r="AT131" i="4"/>
  <c r="AT251" i="4"/>
  <c r="AT331" i="4"/>
  <c r="AT64" i="4"/>
  <c r="AT8" i="4"/>
  <c r="AT21" i="4"/>
  <c r="AT34" i="4"/>
  <c r="AT49" i="4"/>
  <c r="AT74" i="4"/>
  <c r="AT89" i="4"/>
  <c r="AT114" i="4"/>
  <c r="AT169" i="4"/>
  <c r="AT209" i="4"/>
  <c r="AT249" i="4"/>
  <c r="AT289" i="4"/>
  <c r="AT329" i="4"/>
  <c r="AT369" i="4"/>
  <c r="AT394" i="4"/>
  <c r="AT62" i="4"/>
  <c r="AT102" i="4"/>
  <c r="AT142" i="4"/>
  <c r="AT182" i="4"/>
  <c r="AT222" i="4"/>
  <c r="AT262" i="4"/>
  <c r="AT302" i="4"/>
  <c r="AT342" i="4"/>
  <c r="AT382" i="4"/>
  <c r="AT9" i="4"/>
  <c r="AT50" i="4"/>
  <c r="AT170" i="4"/>
  <c r="AT210" i="4"/>
  <c r="AT290" i="4"/>
  <c r="AT410" i="4"/>
  <c r="AT63" i="4"/>
  <c r="AT103" i="4"/>
  <c r="AT143" i="4"/>
  <c r="AT183" i="4"/>
  <c r="AT223" i="4"/>
  <c r="AT263" i="4"/>
  <c r="AT303" i="4"/>
  <c r="AT343" i="4"/>
  <c r="AT383" i="4"/>
  <c r="AT23" i="4"/>
  <c r="AT91" i="4"/>
  <c r="AT171" i="4"/>
  <c r="AT291" i="4"/>
  <c r="AT411" i="4"/>
  <c r="AT398" i="4"/>
  <c r="AT211" i="4"/>
  <c r="AT371" i="4"/>
  <c r="AT39" i="4"/>
  <c r="AT11" i="4"/>
  <c r="AT71" i="4"/>
  <c r="AT92" i="4"/>
  <c r="AT110" i="4"/>
  <c r="AT128" i="4"/>
  <c r="AT149" i="4"/>
  <c r="AT167" i="4"/>
  <c r="AT188" i="4"/>
  <c r="AT227" i="4"/>
  <c r="AT393" i="4"/>
  <c r="AT173" i="4"/>
  <c r="AT248" i="4"/>
  <c r="AT308" i="4"/>
  <c r="AT40" i="4"/>
  <c r="AT137" i="4"/>
  <c r="AT384" i="4"/>
  <c r="AT153" i="4"/>
  <c r="AT192" i="4"/>
  <c r="AT252" i="4"/>
  <c r="AT309" i="4"/>
  <c r="AT387" i="4"/>
  <c r="AT99" i="4"/>
  <c r="AT159" i="4"/>
  <c r="AT364" i="4"/>
  <c r="AT31" i="4"/>
  <c r="AT53" i="4"/>
  <c r="AT204" i="4"/>
  <c r="AT243" i="4"/>
  <c r="AT264" i="4"/>
  <c r="AT282" i="4"/>
  <c r="AT300" i="4"/>
  <c r="AT321" i="4"/>
  <c r="AT339" i="4"/>
  <c r="AT360" i="4"/>
  <c r="AT378" i="4"/>
  <c r="AT399" i="4"/>
  <c r="AT207" i="4"/>
  <c r="AT267" i="4"/>
  <c r="AT54" i="4"/>
  <c r="AT283" i="4"/>
  <c r="AT322" i="4"/>
  <c r="AT361" i="4"/>
  <c r="AT400" i="4"/>
  <c r="AT57" i="4"/>
  <c r="AT73" i="4"/>
  <c r="AT112" i="4"/>
  <c r="AT151" i="4"/>
  <c r="AT190" i="4"/>
  <c r="AT229" i="4"/>
  <c r="AT268" i="4"/>
  <c r="AT79" i="4"/>
  <c r="AT97" i="4"/>
  <c r="AT323" i="4"/>
  <c r="AT362" i="4"/>
  <c r="AT401" i="4"/>
  <c r="AT58" i="4"/>
  <c r="AT134" i="4"/>
  <c r="AT191" i="4"/>
  <c r="AT230" i="4"/>
  <c r="AT287" i="4"/>
  <c r="AT80" i="4"/>
  <c r="AT119" i="4"/>
  <c r="AT363" i="4"/>
  <c r="AT18" i="4"/>
  <c r="AT174" i="4"/>
  <c r="AT231" i="4"/>
  <c r="AT288" i="4"/>
  <c r="AT348" i="4"/>
  <c r="AT41" i="4"/>
  <c r="AT120" i="4"/>
  <c r="AT177" i="4"/>
  <c r="AT403" i="4"/>
  <c r="AT60" i="4"/>
  <c r="AT12" i="4"/>
  <c r="AT72" i="4"/>
  <c r="AT93" i="4"/>
  <c r="AT111" i="4"/>
  <c r="AT132" i="4"/>
  <c r="AT150" i="4"/>
  <c r="AT168" i="4"/>
  <c r="AT189" i="4"/>
  <c r="AT228" i="4"/>
  <c r="AT32" i="4"/>
  <c r="AT244" i="4"/>
  <c r="AT304" i="4"/>
  <c r="AT340" i="4"/>
  <c r="AT379" i="4"/>
  <c r="AT13" i="4"/>
  <c r="AT94" i="4"/>
  <c r="AT133" i="4"/>
  <c r="AT172" i="4"/>
  <c r="AT208" i="4"/>
  <c r="AT247" i="4"/>
  <c r="AT307" i="4"/>
  <c r="AT33" i="4"/>
  <c r="AT284" i="4"/>
  <c r="AT344" i="4"/>
  <c r="AT380" i="4"/>
  <c r="AT14" i="4"/>
  <c r="AT113" i="4"/>
  <c r="AT152" i="4"/>
  <c r="AT212" i="4"/>
  <c r="AT269" i="4"/>
  <c r="AT347" i="4"/>
  <c r="AT98" i="4"/>
  <c r="AT324" i="4"/>
  <c r="AT402" i="4"/>
  <c r="AT59" i="4"/>
  <c r="AT213" i="4"/>
  <c r="AT270" i="4"/>
  <c r="AT327" i="4"/>
  <c r="AT81" i="4"/>
  <c r="AT138" i="4"/>
  <c r="AT19" i="4"/>
  <c r="AT184" i="4"/>
  <c r="AT220" i="4"/>
  <c r="AT259" i="4"/>
  <c r="AT298" i="4"/>
  <c r="AT337" i="4"/>
  <c r="AT202" i="4"/>
  <c r="AT43" i="4"/>
  <c r="AT353" i="4"/>
  <c r="AT164" i="4"/>
  <c r="AT281" i="4"/>
  <c r="AT44" i="4"/>
  <c r="AT292" i="4"/>
  <c r="AT47" i="4"/>
  <c r="AT139" i="4"/>
  <c r="AT217" i="4"/>
  <c r="AT254" i="4"/>
  <c r="AT332" i="4"/>
  <c r="AT407" i="4"/>
  <c r="AT140" i="4"/>
  <c r="AT218" i="4"/>
  <c r="AT294" i="4"/>
  <c r="AT408" i="4"/>
  <c r="AT180" i="4"/>
  <c r="AT297" i="4"/>
  <c r="AT147" i="4"/>
  <c r="AT412" i="4"/>
  <c r="AT20" i="4"/>
  <c r="AT68" i="4"/>
  <c r="AT108" i="4"/>
  <c r="AT148" i="4"/>
  <c r="AT187" i="4"/>
  <c r="AT374" i="4"/>
  <c r="AT413" i="4"/>
  <c r="AT260" i="4"/>
  <c r="AT338" i="4"/>
  <c r="AT4" i="4"/>
  <c r="AT109" i="4"/>
  <c r="AT232" i="4"/>
  <c r="AT310" i="4"/>
  <c r="AT388" i="4"/>
  <c r="AT160" i="4"/>
  <c r="AT121" i="4"/>
  <c r="AT233" i="4"/>
  <c r="AT311" i="4"/>
  <c r="AT389" i="4"/>
  <c r="AT161" i="4"/>
  <c r="AT239" i="4"/>
  <c r="AT122" i="4"/>
  <c r="AT312" i="4"/>
  <c r="AT390" i="4"/>
  <c r="AT162" i="4"/>
  <c r="AT240" i="4"/>
  <c r="AT42" i="4"/>
  <c r="AT123" i="4"/>
  <c r="AT352" i="4"/>
  <c r="AT163" i="4"/>
  <c r="AT280" i="4"/>
  <c r="AT84" i="4"/>
  <c r="AT392" i="4"/>
  <c r="AT127" i="4"/>
  <c r="AT242" i="4"/>
  <c r="AT359" i="4"/>
  <c r="AT253" i="4"/>
  <c r="AT367" i="4"/>
  <c r="AT88" i="4"/>
  <c r="AT178" i="4"/>
  <c r="AT404" i="4"/>
  <c r="AT293" i="4"/>
  <c r="AT368" i="4"/>
  <c r="AT48" i="4"/>
  <c r="AT179" i="4"/>
  <c r="AT257" i="4"/>
  <c r="AT333" i="4"/>
  <c r="AT104" i="4"/>
  <c r="AT219" i="4"/>
  <c r="AT67" i="4"/>
  <c r="AT334" i="4"/>
  <c r="AT24" i="4"/>
  <c r="AT224" i="4"/>
  <c r="AT299" i="4"/>
  <c r="AT377" i="4"/>
  <c r="AT69" i="4"/>
  <c r="AT193" i="4"/>
  <c r="AT271" i="4"/>
  <c r="AT349" i="4"/>
  <c r="AT28" i="4"/>
  <c r="AT199" i="4"/>
  <c r="AT70" i="4"/>
  <c r="AT272" i="4"/>
  <c r="AT350" i="4"/>
  <c r="AT29" i="4"/>
  <c r="AT200" i="4"/>
  <c r="AT82" i="4"/>
  <c r="AT273" i="4"/>
  <c r="AT351" i="4"/>
  <c r="AT30" i="4"/>
  <c r="AT201" i="4"/>
  <c r="AT279" i="4"/>
  <c r="AT83" i="4"/>
  <c r="AT313" i="4"/>
  <c r="AT391" i="4"/>
  <c r="AT241" i="4"/>
  <c r="AT319" i="4"/>
  <c r="AT124" i="4"/>
  <c r="AT87" i="4"/>
  <c r="AT203" i="4"/>
  <c r="AT320" i="4"/>
  <c r="AT214" i="4"/>
  <c r="AT328" i="4"/>
  <c r="AT100" i="4"/>
  <c r="AT52" i="4"/>
  <c r="AT372" i="4"/>
  <c r="AT144" i="4"/>
  <c r="AT258" i="4"/>
  <c r="AT107" i="4"/>
  <c r="AT373" i="4"/>
  <c r="AK291" i="4"/>
  <c r="AK374" i="4"/>
  <c r="AK328" i="4"/>
  <c r="AK277" i="4"/>
  <c r="AK413" i="4"/>
  <c r="AK350" i="4"/>
  <c r="AK404" i="4"/>
  <c r="AK271" i="4"/>
  <c r="AK312" i="4"/>
  <c r="AK320" i="4"/>
  <c r="AK393" i="4"/>
  <c r="AK366" i="4"/>
  <c r="AK346" i="4"/>
  <c r="AK349" i="4"/>
  <c r="AV349" i="4" s="1"/>
  <c r="AK383" i="4"/>
  <c r="AK411" i="4"/>
  <c r="AK406" i="4"/>
  <c r="AK382" i="4"/>
  <c r="AK344" i="4"/>
  <c r="AK283" i="4"/>
  <c r="AK279" i="4"/>
  <c r="AK395" i="4"/>
  <c r="AK356" i="4"/>
  <c r="AK397" i="4"/>
  <c r="AK288" i="4"/>
  <c r="AK316" i="4"/>
  <c r="AK326" i="4"/>
  <c r="AK398" i="4"/>
  <c r="AK399" i="4"/>
  <c r="AK375" i="4"/>
  <c r="AK379" i="4"/>
  <c r="AK401" i="4"/>
  <c r="AK309" i="4"/>
  <c r="AK306" i="4"/>
  <c r="AK390" i="4"/>
  <c r="AK334" i="4"/>
  <c r="AK323" i="4"/>
  <c r="AK286" i="4"/>
  <c r="AK308" i="4"/>
  <c r="AK318" i="4"/>
  <c r="AK337" i="4"/>
  <c r="AK345" i="4"/>
  <c r="AK400" i="4"/>
  <c r="AK367" i="4"/>
  <c r="AK304" i="4"/>
  <c r="AK355" i="4"/>
  <c r="AK302" i="4"/>
  <c r="AK389" i="4"/>
  <c r="AK368" i="4"/>
  <c r="AK272" i="4"/>
  <c r="AK370" i="4"/>
  <c r="AK407" i="4"/>
  <c r="AK268" i="4"/>
  <c r="AK311" i="4"/>
  <c r="AK274" i="4"/>
  <c r="AK329" i="4"/>
  <c r="AK296" i="4"/>
  <c r="AK402" i="4"/>
  <c r="AK392" i="4"/>
  <c r="AK391" i="4"/>
  <c r="AK294" i="4"/>
  <c r="AK396" i="4"/>
  <c r="AK292" i="4"/>
  <c r="AK319" i="4"/>
  <c r="AK336" i="4"/>
  <c r="AK305" i="4"/>
  <c r="AK357" i="4"/>
  <c r="AK410" i="4"/>
  <c r="AK381" i="4"/>
  <c r="AK315" i="4"/>
  <c r="AK394" i="4"/>
  <c r="AK408" i="4"/>
  <c r="AV408" i="4" s="1"/>
  <c r="AK376" i="4"/>
  <c r="AK330" i="4"/>
  <c r="AK342" i="4"/>
  <c r="AK354" i="4"/>
  <c r="AK299" i="4"/>
  <c r="AK282" i="4"/>
  <c r="AK314" i="4"/>
  <c r="AK361" i="4"/>
  <c r="AK322" i="4"/>
  <c r="AK341" i="4"/>
  <c r="AK298" i="4"/>
  <c r="AK378" i="4"/>
  <c r="AK280" i="4"/>
  <c r="AK284" i="4"/>
  <c r="AK348" i="4"/>
  <c r="AK332" i="4"/>
  <c r="AK377" i="4"/>
  <c r="AK269" i="4"/>
  <c r="AK327" i="4"/>
  <c r="AK287" i="4"/>
  <c r="AK339" i="4"/>
  <c r="AK371" i="4"/>
  <c r="AK301" i="4"/>
  <c r="AK387" i="4"/>
  <c r="AK363" i="4"/>
  <c r="AK386" i="4"/>
  <c r="AK293" i="4"/>
  <c r="AK273" i="4"/>
  <c r="AK300" i="4"/>
  <c r="AK276" i="4"/>
  <c r="AK347" i="4"/>
  <c r="AK338" i="4"/>
  <c r="AK310" i="4"/>
  <c r="AK340" i="4"/>
  <c r="AK307" i="4"/>
  <c r="AK358" i="4"/>
  <c r="AK412" i="4"/>
  <c r="AK317" i="4"/>
  <c r="AK331" i="4"/>
  <c r="AK388" i="4"/>
  <c r="AK365" i="4"/>
  <c r="AK373" i="4"/>
  <c r="AN7" i="4"/>
  <c r="AN407" i="4"/>
  <c r="AN148" i="4"/>
  <c r="AN249" i="4"/>
  <c r="AN230" i="4"/>
  <c r="AN332" i="4"/>
  <c r="AN283" i="4"/>
  <c r="AN33" i="4"/>
  <c r="AN12" i="4"/>
  <c r="AN136" i="4"/>
  <c r="AN42" i="4"/>
  <c r="AN53" i="4"/>
  <c r="AN321" i="4"/>
  <c r="AN15" i="4"/>
  <c r="AN343" i="4"/>
  <c r="AN398" i="4"/>
  <c r="AN302" i="4"/>
  <c r="AN337" i="4"/>
  <c r="AN61" i="4"/>
  <c r="AN66" i="4"/>
  <c r="AN276" i="4"/>
  <c r="AN175" i="4"/>
  <c r="AN228" i="4"/>
  <c r="AN212" i="4"/>
  <c r="AN117" i="4"/>
  <c r="AN378" i="4"/>
  <c r="AN285" i="4"/>
  <c r="AN248" i="4"/>
  <c r="AN284" i="4"/>
  <c r="AN396" i="4"/>
  <c r="AN274" i="4"/>
  <c r="AN25" i="4"/>
  <c r="AN10" i="4"/>
  <c r="AN381" i="4"/>
  <c r="AN125" i="4"/>
  <c r="AN296" i="4"/>
  <c r="AN393" i="4"/>
  <c r="AN147" i="4"/>
  <c r="AN103" i="4"/>
  <c r="AN5" i="4"/>
  <c r="AN91" i="4"/>
  <c r="AN299" i="4"/>
  <c r="AN370" i="4"/>
  <c r="AN56" i="4"/>
  <c r="AN326" i="4"/>
  <c r="AN24" i="4"/>
  <c r="AN275" i="4"/>
  <c r="AN190" i="4"/>
  <c r="AN405" i="4"/>
  <c r="AN216" i="4"/>
  <c r="AN16" i="4"/>
  <c r="AN319" i="4"/>
  <c r="AN250" i="4"/>
  <c r="AN6" i="4"/>
  <c r="AN246" i="4"/>
  <c r="AN40" i="4"/>
  <c r="AN99" i="4"/>
  <c r="AN330" i="4"/>
  <c r="AN82" i="4"/>
  <c r="AN286" i="4"/>
  <c r="AN74" i="4"/>
  <c r="AN173" i="4"/>
  <c r="AN247" i="4"/>
  <c r="AN156" i="4"/>
  <c r="AN39" i="4"/>
  <c r="AN161" i="4"/>
  <c r="AN352" i="4"/>
  <c r="AN27" i="4"/>
  <c r="AN169" i="4"/>
  <c r="AN168" i="4"/>
  <c r="AN309" i="4"/>
  <c r="AN290" i="4"/>
  <c r="AN380" i="4"/>
  <c r="AN359" i="4"/>
  <c r="AN81" i="4"/>
  <c r="AN60" i="4"/>
  <c r="AN236" i="4"/>
  <c r="AN146" i="4"/>
  <c r="AN197" i="4"/>
  <c r="AN361" i="4"/>
  <c r="AN85" i="4"/>
  <c r="AN22" i="4"/>
  <c r="AN77" i="4"/>
  <c r="AN21" i="4"/>
  <c r="AN86" i="4"/>
  <c r="AN165" i="4"/>
  <c r="AN71" i="4"/>
  <c r="AN140" i="4"/>
  <c r="AN338" i="4"/>
  <c r="AN369" i="4"/>
  <c r="AN105" i="4"/>
  <c r="AN260" i="4"/>
  <c r="AN322" i="4"/>
  <c r="AN96" i="4"/>
  <c r="AN213" i="4"/>
  <c r="AN107" i="4"/>
  <c r="AN55" i="4"/>
  <c r="AN336" i="4"/>
  <c r="AN376" i="4"/>
  <c r="AN97" i="4"/>
  <c r="AN344" i="4"/>
  <c r="AN127" i="4"/>
  <c r="AN79" i="4"/>
  <c r="AN412" i="4"/>
  <c r="AN41" i="4"/>
  <c r="AN23" i="4"/>
  <c r="AN63" i="4"/>
  <c r="AN50" i="4"/>
  <c r="AN32" i="4"/>
  <c r="AN192" i="4"/>
  <c r="AN345" i="4"/>
  <c r="AN137" i="4"/>
  <c r="AN110" i="4"/>
  <c r="AN333" i="4"/>
  <c r="AN176" i="4"/>
  <c r="AN225" i="4"/>
  <c r="AN413" i="4"/>
  <c r="AN243" i="4"/>
  <c r="AN328" i="4"/>
  <c r="AN158" i="4"/>
  <c r="AN314" i="4"/>
  <c r="AN339" i="4"/>
  <c r="AN397" i="4"/>
  <c r="AN65" i="4"/>
  <c r="AN348" i="4"/>
  <c r="AN104" i="4"/>
  <c r="AN193" i="4"/>
  <c r="AN18" i="4"/>
  <c r="AN196" i="4"/>
  <c r="AN227" i="4"/>
  <c r="AN203" i="4"/>
  <c r="AN134" i="4"/>
  <c r="AN64" i="4"/>
  <c r="AN298" i="4"/>
  <c r="AN278" i="4"/>
  <c r="AN390" i="4"/>
  <c r="AN182" i="4"/>
  <c r="AN320" i="4"/>
  <c r="AN220" i="4"/>
  <c r="AN4" i="4"/>
  <c r="AN47" i="4"/>
  <c r="AN269" i="4"/>
  <c r="AN188" i="4"/>
  <c r="AN30" i="4"/>
  <c r="AN350" i="4"/>
  <c r="AN404" i="4"/>
  <c r="AN84" i="4"/>
  <c r="AN133" i="4"/>
  <c r="AN112" i="4"/>
  <c r="AN312" i="4"/>
  <c r="AN294" i="4"/>
  <c r="AN341" i="4"/>
  <c r="AN395" i="4"/>
  <c r="AN223" i="4"/>
  <c r="AN126" i="4"/>
  <c r="AN221" i="4"/>
  <c r="AN199" i="4"/>
  <c r="AN224" i="4"/>
  <c r="AN313" i="4"/>
  <c r="AN98" i="4"/>
  <c r="AN172" i="4"/>
  <c r="AN62" i="4"/>
  <c r="AN87" i="4"/>
  <c r="AN31" i="4"/>
  <c r="AN38" i="4"/>
  <c r="AN46" i="4"/>
  <c r="AN17" i="4"/>
  <c r="AN409" i="4"/>
  <c r="AN157" i="4"/>
  <c r="AN72" i="4"/>
  <c r="AN152" i="4"/>
  <c r="AN101" i="4"/>
  <c r="AN270" i="4"/>
  <c r="AN360" i="4"/>
  <c r="AN102" i="4"/>
  <c r="AN402" i="4"/>
  <c r="AN195" i="4"/>
  <c r="AN288" i="4"/>
  <c r="AN58" i="4"/>
  <c r="AN273" i="4"/>
  <c r="AN153" i="4"/>
  <c r="AN318" i="4"/>
  <c r="AN308" i="4"/>
  <c r="AN106" i="4"/>
  <c r="AN185" i="4"/>
  <c r="AN315" i="4"/>
  <c r="AN187" i="4"/>
  <c r="AN155" i="4"/>
  <c r="AN357" i="4"/>
  <c r="AN293" i="4"/>
  <c r="AN52" i="4"/>
  <c r="AN49" i="4"/>
  <c r="AN234" i="4"/>
  <c r="AN241" i="4"/>
  <c r="AN154" i="4"/>
  <c r="AN277" i="4"/>
  <c r="AN89" i="4"/>
  <c r="AN306" i="4"/>
  <c r="AN116" i="4"/>
  <c r="AN324" i="4"/>
  <c r="AN129" i="4"/>
  <c r="AN231" i="4"/>
  <c r="AN206" i="4"/>
  <c r="AN226" i="4"/>
  <c r="AN316" i="4"/>
  <c r="AN67" i="4"/>
  <c r="AN329" i="4"/>
  <c r="AN208" i="4"/>
  <c r="AN90" i="4"/>
  <c r="AN410" i="4"/>
  <c r="AN57" i="4"/>
  <c r="AN160" i="4"/>
  <c r="AN205" i="4"/>
  <c r="AN184" i="4"/>
  <c r="AN384" i="4"/>
  <c r="AN43" i="4"/>
  <c r="AN20" i="4"/>
  <c r="AN178" i="4"/>
  <c r="AN371" i="4"/>
  <c r="AN240" i="4"/>
  <c r="AN365" i="4"/>
  <c r="AN377" i="4"/>
  <c r="AN100" i="4"/>
  <c r="AN150" i="4"/>
  <c r="AN257" i="4"/>
  <c r="AN164" i="4"/>
  <c r="AN44" i="4"/>
  <c r="AN200" i="4"/>
  <c r="AN210" i="4"/>
  <c r="AN305" i="4"/>
  <c r="AN261" i="4"/>
  <c r="AN194" i="4"/>
  <c r="AN121" i="4"/>
  <c r="AN268" i="4"/>
  <c r="AN233" i="4"/>
  <c r="AN399" i="4"/>
  <c r="AN201" i="4"/>
  <c r="AN139" i="4"/>
  <c r="AN310" i="4"/>
  <c r="AN281" i="4"/>
  <c r="AN142" i="4"/>
  <c r="AN145" i="4"/>
  <c r="AN171" i="4"/>
  <c r="AN242" i="4"/>
  <c r="AN167" i="4"/>
  <c r="AN131" i="4"/>
  <c r="AN181" i="4"/>
  <c r="AN166" i="4"/>
  <c r="AN297" i="4"/>
  <c r="AN141" i="4"/>
  <c r="AN29" i="4"/>
  <c r="AN80" i="4"/>
  <c r="AN45" i="4"/>
  <c r="AN138" i="4"/>
  <c r="AN385" i="4"/>
  <c r="AN207" i="4"/>
  <c r="AN179" i="4"/>
  <c r="AN34" i="4"/>
  <c r="AN363" i="4"/>
  <c r="AN186" i="4"/>
  <c r="AN346" i="4"/>
  <c r="AN368" i="4"/>
  <c r="AN132" i="4"/>
  <c r="AN401" i="4"/>
  <c r="AN122" i="4"/>
  <c r="AN300" i="4"/>
  <c r="AN388" i="4"/>
  <c r="AN406" i="4"/>
  <c r="AN120" i="4"/>
  <c r="AN114" i="4"/>
  <c r="AN13" i="4"/>
  <c r="AN267" i="4"/>
  <c r="AN229" i="4"/>
  <c r="AN159" i="4"/>
  <c r="AN259" i="4"/>
  <c r="AN177" i="4"/>
  <c r="AN115" i="4"/>
  <c r="AN123" i="4"/>
  <c r="AN349" i="4"/>
  <c r="AN291" i="4"/>
  <c r="AN347" i="4"/>
  <c r="AN238" i="4"/>
  <c r="AN70" i="4"/>
  <c r="AN151" i="4"/>
  <c r="AN280" i="4"/>
  <c r="AN317" i="4"/>
  <c r="AN362" i="4"/>
  <c r="AN75" i="4"/>
  <c r="AN279" i="4"/>
  <c r="AN68" i="4"/>
  <c r="AN366" i="4"/>
  <c r="AN331" i="4"/>
  <c r="AN108" i="4"/>
  <c r="AN163" i="4"/>
  <c r="AN311" i="4"/>
  <c r="AN408" i="4"/>
  <c r="AN118" i="4"/>
  <c r="AN92" i="4"/>
  <c r="AN69" i="4"/>
  <c r="AN95" i="4"/>
  <c r="AN73" i="4"/>
  <c r="AN149" i="4"/>
  <c r="AN144" i="4"/>
  <c r="AN111" i="4"/>
  <c r="AN287" i="4"/>
  <c r="AN209" i="4"/>
  <c r="AN211" i="4"/>
  <c r="AN383" i="4"/>
  <c r="AN217" i="4"/>
  <c r="AN219" i="4"/>
  <c r="AN271" i="4"/>
  <c r="AN327" i="4"/>
  <c r="AN76" i="4"/>
  <c r="AN232" i="4"/>
  <c r="AN364" i="4"/>
  <c r="AN256" i="4"/>
  <c r="AN342" i="4"/>
  <c r="AN130" i="4"/>
  <c r="AN295" i="4"/>
  <c r="AN170" i="4"/>
  <c r="AN14" i="4"/>
  <c r="AN28" i="4"/>
  <c r="AN78" i="4"/>
  <c r="AN59" i="4"/>
  <c r="AN222" i="4"/>
  <c r="AN303" i="4"/>
  <c r="AN54" i="4"/>
  <c r="AN372" i="4"/>
  <c r="AN37" i="4"/>
  <c r="AN235" i="4"/>
  <c r="AN191" i="4"/>
  <c r="AN379" i="4"/>
  <c r="AN325" i="4"/>
  <c r="AN335" i="4"/>
  <c r="AN202" i="4"/>
  <c r="AN411" i="4"/>
  <c r="AN386" i="4"/>
  <c r="AN282" i="4"/>
  <c r="AN400" i="4"/>
  <c r="AN382" i="4"/>
  <c r="AN214" i="4"/>
  <c r="AN11" i="4"/>
  <c r="AN263" i="4"/>
  <c r="AN143" i="4"/>
  <c r="AN19" i="4"/>
  <c r="AN307" i="4"/>
  <c r="AN289" i="4"/>
  <c r="AN180" i="4"/>
  <c r="AN36" i="4"/>
  <c r="AN251" i="4"/>
  <c r="AN323" i="4"/>
  <c r="AK4" i="4"/>
  <c r="AN204" i="4"/>
  <c r="AN94" i="4"/>
  <c r="AN389" i="4"/>
  <c r="AN254" i="4"/>
  <c r="AN218" i="4"/>
  <c r="AN387" i="4"/>
  <c r="AN340" i="4"/>
  <c r="AN8" i="4"/>
  <c r="AN93" i="4"/>
  <c r="AN356" i="4"/>
  <c r="AN174" i="4"/>
  <c r="AN48" i="4"/>
  <c r="AN375" i="4"/>
  <c r="AN264" i="4"/>
  <c r="AN88" i="4"/>
  <c r="AN374" i="4"/>
  <c r="AN51" i="4"/>
  <c r="AN128" i="4"/>
  <c r="AN301" i="4"/>
  <c r="AN403" i="4"/>
  <c r="AN9" i="4"/>
  <c r="AN272" i="4"/>
  <c r="AN334" i="4"/>
  <c r="AN109" i="4"/>
  <c r="AN239" i="4"/>
  <c r="AN113" i="4"/>
  <c r="AN189" i="4"/>
  <c r="AN252" i="4"/>
  <c r="AN354" i="4"/>
  <c r="AN394" i="4"/>
  <c r="AN367" i="4"/>
  <c r="AN162" i="4"/>
  <c r="AN292" i="4"/>
  <c r="AN304" i="4"/>
  <c r="AN351" i="4"/>
  <c r="AN255" i="4"/>
  <c r="AN237" i="4"/>
  <c r="AN253" i="4"/>
  <c r="AN215" i="4"/>
  <c r="AN135" i="4"/>
  <c r="AN26" i="4"/>
  <c r="AN183" i="4"/>
  <c r="AN198" i="4"/>
  <c r="AN355" i="4"/>
  <c r="AN244" i="4"/>
  <c r="AN265" i="4"/>
  <c r="AN353" i="4"/>
  <c r="AN373" i="4"/>
  <c r="AN124" i="4"/>
  <c r="AN258" i="4"/>
  <c r="AN262" i="4"/>
  <c r="AN266" i="4"/>
  <c r="AN391" i="4"/>
  <c r="AN358" i="4"/>
  <c r="AN119" i="4"/>
  <c r="AN35" i="4"/>
  <c r="AN392" i="4"/>
  <c r="AN83" i="4"/>
  <c r="AN245" i="4"/>
  <c r="AV16" i="4" l="1"/>
  <c r="AV8" i="4"/>
  <c r="AV91" i="4"/>
  <c r="AV153" i="4"/>
  <c r="AV99" i="4"/>
  <c r="AV275" i="4"/>
  <c r="AV68" i="4"/>
  <c r="AV190" i="4"/>
  <c r="AV295" i="4"/>
  <c r="AV210" i="4"/>
  <c r="AV97" i="4"/>
  <c r="AV354" i="4"/>
  <c r="AV333" i="4"/>
  <c r="AV372" i="4"/>
  <c r="AV157" i="4"/>
  <c r="AV36" i="4"/>
  <c r="AV29" i="4"/>
  <c r="AV180" i="4"/>
  <c r="AV249" i="4"/>
  <c r="AV380" i="4"/>
  <c r="AV384" i="4"/>
  <c r="AV213" i="4"/>
  <c r="AV203" i="4"/>
  <c r="AV195" i="4"/>
  <c r="AV132" i="4"/>
  <c r="AV13" i="4"/>
  <c r="AV60" i="4"/>
  <c r="AV70" i="4"/>
  <c r="AV208" i="4"/>
  <c r="AV107" i="4"/>
  <c r="AV163" i="4"/>
  <c r="AV197" i="4"/>
  <c r="AV183" i="4"/>
  <c r="AV217" i="4"/>
  <c r="AV192" i="4"/>
  <c r="AV44" i="4"/>
  <c r="AV93" i="4"/>
  <c r="AV61" i="4"/>
  <c r="AV206" i="4"/>
  <c r="AV139" i="4"/>
  <c r="AV135" i="4"/>
  <c r="AV143" i="4"/>
  <c r="AV121" i="4"/>
  <c r="AV5" i="4"/>
  <c r="AV232" i="4"/>
  <c r="AV110" i="4"/>
  <c r="AV184" i="4"/>
  <c r="AV259" i="4"/>
  <c r="AV55" i="4"/>
  <c r="AV130" i="4"/>
  <c r="AV309" i="4"/>
  <c r="AV48" i="4"/>
  <c r="AV86" i="4"/>
  <c r="AV37" i="4"/>
  <c r="AV223" i="4"/>
  <c r="AV162" i="4"/>
  <c r="AV242" i="4"/>
  <c r="AV160" i="4"/>
  <c r="AV43" i="4"/>
  <c r="AV77" i="4"/>
  <c r="AV59" i="4"/>
  <c r="AV88" i="4"/>
  <c r="AV230" i="4"/>
  <c r="AV118" i="4"/>
  <c r="AV89" i="4"/>
  <c r="AV53" i="4"/>
  <c r="AV179" i="4"/>
  <c r="AV359" i="4"/>
  <c r="AV247" i="4"/>
  <c r="AV154" i="4"/>
  <c r="AV148" i="4"/>
  <c r="AV405" i="4"/>
  <c r="AV212" i="4"/>
  <c r="AV46" i="4"/>
  <c r="AV64" i="4"/>
  <c r="AV231" i="4"/>
  <c r="AV67" i="4"/>
  <c r="AV26" i="4"/>
  <c r="AV172" i="4"/>
  <c r="AV170" i="4"/>
  <c r="AV125" i="4"/>
  <c r="AV353" i="4"/>
  <c r="AV119" i="4"/>
  <c r="AV261" i="4"/>
  <c r="AV100" i="4"/>
  <c r="AV83" i="4"/>
  <c r="AV267" i="4"/>
  <c r="AV175" i="4"/>
  <c r="AV65" i="4"/>
  <c r="AV193" i="4"/>
  <c r="AV237" i="4"/>
  <c r="AV25" i="4"/>
  <c r="AV239" i="4"/>
  <c r="AV351" i="4"/>
  <c r="AV307" i="4"/>
  <c r="AV327" i="4"/>
  <c r="AV393" i="4"/>
  <c r="AV71" i="4"/>
  <c r="AV166" i="4"/>
  <c r="AV186" i="4"/>
  <c r="AV244" i="4"/>
  <c r="AV92" i="4"/>
  <c r="AV24" i="4"/>
  <c r="AV403" i="4"/>
  <c r="AV20" i="4"/>
  <c r="AV270" i="4"/>
  <c r="AV74" i="4"/>
  <c r="AV81" i="4"/>
  <c r="AV406" i="4"/>
  <c r="AV32" i="4"/>
  <c r="AV120" i="4"/>
  <c r="AV168" i="4"/>
  <c r="AV42" i="4"/>
  <c r="AV234" i="4"/>
  <c r="AV69" i="4"/>
  <c r="AV198" i="4"/>
  <c r="AV134" i="4"/>
  <c r="AV40" i="4"/>
  <c r="AV123" i="4"/>
  <c r="AV171" i="4"/>
  <c r="AV51" i="4"/>
  <c r="AV85" i="4"/>
  <c r="AV156" i="4"/>
  <c r="AV144" i="4"/>
  <c r="AV388" i="4"/>
  <c r="AV329" i="4"/>
  <c r="AV136" i="4"/>
  <c r="AV182" i="4"/>
  <c r="AV150" i="4"/>
  <c r="AV124" i="4"/>
  <c r="AV96" i="4"/>
  <c r="AV28" i="4"/>
  <c r="AV87" i="4"/>
  <c r="AV131" i="4"/>
  <c r="AV54" i="4"/>
  <c r="AV140" i="4"/>
  <c r="AV152" i="4"/>
  <c r="AV63" i="4"/>
  <c r="AV66" i="4"/>
  <c r="AV72" i="4"/>
  <c r="AV101" i="4"/>
  <c r="AV218" i="4"/>
  <c r="AV11" i="4"/>
  <c r="AV95" i="4"/>
  <c r="AV18" i="4"/>
  <c r="AV281" i="4"/>
  <c r="AV331" i="4"/>
  <c r="AV158" i="4"/>
  <c r="AV22" i="4"/>
  <c r="AV285" i="4"/>
  <c r="AV205" i="4"/>
  <c r="AV214" i="4"/>
  <c r="AV317" i="4"/>
  <c r="AV409" i="4"/>
  <c r="AV128" i="4"/>
  <c r="AV221" i="4"/>
  <c r="AV303" i="4"/>
  <c r="AV360" i="4"/>
  <c r="AV410" i="4"/>
  <c r="AV50" i="4"/>
  <c r="AV57" i="4"/>
  <c r="AV241" i="4"/>
  <c r="AV31" i="4"/>
  <c r="AV297" i="4"/>
  <c r="AV75" i="4"/>
  <c r="AV34" i="4"/>
  <c r="AV250" i="4"/>
  <c r="AV235" i="4"/>
  <c r="AV185" i="4"/>
  <c r="AV164" i="4"/>
  <c r="AV332" i="4"/>
  <c r="AV257" i="4"/>
  <c r="AV364" i="4"/>
  <c r="AV19" i="4"/>
  <c r="AV258" i="4"/>
  <c r="AV335" i="4"/>
  <c r="AV137" i="4"/>
  <c r="AV27" i="4"/>
  <c r="AV290" i="4"/>
  <c r="AV109" i="4"/>
  <c r="AV30" i="4"/>
  <c r="AV368" i="4"/>
  <c r="AV147" i="4"/>
  <c r="AV278" i="4"/>
  <c r="AV191" i="4"/>
  <c r="AV339" i="4"/>
  <c r="AV149" i="4"/>
  <c r="AV80" i="4"/>
  <c r="AV14" i="4"/>
  <c r="AV105" i="4"/>
  <c r="AV211" i="4"/>
  <c r="AV17" i="4"/>
  <c r="AV151" i="4"/>
  <c r="AV111" i="4"/>
  <c r="AV56" i="4"/>
  <c r="AV178" i="4"/>
  <c r="AV256" i="4"/>
  <c r="AV215" i="4"/>
  <c r="AV117" i="4"/>
  <c r="AV161" i="4"/>
  <c r="AV188" i="4"/>
  <c r="AV201" i="4"/>
  <c r="AV90" i="4"/>
  <c r="AV224" i="4"/>
  <c r="AV324" i="4"/>
  <c r="AV126" i="4"/>
  <c r="AV240" i="4"/>
  <c r="AV115" i="4"/>
  <c r="AV254" i="4"/>
  <c r="AV271" i="4"/>
  <c r="AV58" i="4"/>
  <c r="AV9" i="4"/>
  <c r="AV49" i="4"/>
  <c r="AV174" i="4"/>
  <c r="AV273" i="4"/>
  <c r="AV21" i="4"/>
  <c r="AV94" i="4"/>
  <c r="AV269" i="4"/>
  <c r="AV167" i="4"/>
  <c r="AV325" i="4"/>
  <c r="AV47" i="4"/>
  <c r="AV207" i="4"/>
  <c r="AV159" i="4"/>
  <c r="AV127" i="4"/>
  <c r="AV141" i="4"/>
  <c r="AV62" i="4"/>
  <c r="AV76" i="4"/>
  <c r="AV252" i="4"/>
  <c r="AV222" i="4"/>
  <c r="AV112" i="4"/>
  <c r="AV6" i="4"/>
  <c r="AV253" i="4"/>
  <c r="AV343" i="4"/>
  <c r="AV187" i="4"/>
  <c r="AV45" i="4"/>
  <c r="AV313" i="4"/>
  <c r="AV350" i="4"/>
  <c r="AV41" i="4"/>
  <c r="AV199" i="4"/>
  <c r="AV376" i="4"/>
  <c r="AV374" i="4"/>
  <c r="AV238" i="4"/>
  <c r="AV248" i="4"/>
  <c r="AV209" i="4"/>
  <c r="AV84" i="4"/>
  <c r="AV219" i="4"/>
  <c r="AV264" i="4"/>
  <c r="AV35" i="4"/>
  <c r="AV177" i="4"/>
  <c r="AV103" i="4"/>
  <c r="AV262" i="4"/>
  <c r="AV292" i="4"/>
  <c r="AV401" i="4"/>
  <c r="AV106" i="4"/>
  <c r="AV233" i="4"/>
  <c r="AV216" i="4"/>
  <c r="AV265" i="4"/>
  <c r="AV196" i="4"/>
  <c r="AV227" i="4"/>
  <c r="AV315" i="4"/>
  <c r="AV355" i="4"/>
  <c r="AV383" i="4"/>
  <c r="AV181" i="4"/>
  <c r="AV145" i="4"/>
  <c r="AV260" i="4"/>
  <c r="AV165" i="4"/>
  <c r="AV263" i="4"/>
  <c r="AV108" i="4"/>
  <c r="AV255" i="4"/>
  <c r="AV245" i="4"/>
  <c r="AV243" i="4"/>
  <c r="AV204" i="4"/>
  <c r="AV138" i="4"/>
  <c r="AV114" i="4"/>
  <c r="AV226" i="4"/>
  <c r="AV133" i="4"/>
  <c r="AV7" i="4"/>
  <c r="AV129" i="4"/>
  <c r="AV407" i="4"/>
  <c r="AV413" i="4"/>
  <c r="AV370" i="4"/>
  <c r="AV398" i="4"/>
  <c r="AV366" i="4"/>
  <c r="AV202" i="4"/>
  <c r="AV220" i="4"/>
  <c r="AV289" i="4"/>
  <c r="AV116" i="4"/>
  <c r="AV78" i="4"/>
  <c r="AV362" i="4"/>
  <c r="AV10" i="4"/>
  <c r="AV15" i="4"/>
  <c r="AV173" i="4"/>
  <c r="AV33" i="4"/>
  <c r="AV200" i="4"/>
  <c r="AV122" i="4"/>
  <c r="AV375" i="4"/>
  <c r="AV155" i="4"/>
  <c r="AV287" i="4"/>
  <c r="AV73" i="4"/>
  <c r="AV306" i="4"/>
  <c r="AV326" i="4"/>
  <c r="AV228" i="4"/>
  <c r="AV52" i="4"/>
  <c r="AV266" i="4"/>
  <c r="AV142" i="4"/>
  <c r="AV79" i="4"/>
  <c r="AV251" i="4"/>
  <c r="AV369" i="4"/>
  <c r="AV98" i="4"/>
  <c r="AV194" i="4"/>
  <c r="AV39" i="4"/>
  <c r="AV338" i="4"/>
  <c r="AV225" i="4"/>
  <c r="AV229" i="4"/>
  <c r="AV283" i="4"/>
  <c r="AV301" i="4"/>
  <c r="AV296" i="4"/>
  <c r="AV323" i="4"/>
  <c r="AV344" i="4"/>
  <c r="AV236" i="4"/>
  <c r="AV291" i="4"/>
  <c r="AV394" i="4"/>
  <c r="AV12" i="4"/>
  <c r="AV280" i="4"/>
  <c r="AV38" i="4"/>
  <c r="AV328" i="4"/>
  <c r="AV277" i="4"/>
  <c r="AV404" i="4"/>
  <c r="AV385" i="4"/>
  <c r="AV189" i="4"/>
  <c r="AV102" i="4"/>
  <c r="AV373" i="4"/>
  <c r="AV342" i="4"/>
  <c r="AV334" i="4"/>
  <c r="AV382" i="4"/>
  <c r="AV276" i="4"/>
  <c r="AV396" i="4"/>
  <c r="AV391" i="4"/>
  <c r="AV169" i="4"/>
  <c r="AV299" i="4"/>
  <c r="AV321" i="4"/>
  <c r="AV365" i="4"/>
  <c r="AV371" i="4"/>
  <c r="AV330" i="4"/>
  <c r="AV274" i="4"/>
  <c r="AV113" i="4"/>
  <c r="AV358" i="4"/>
  <c r="AV272" i="4"/>
  <c r="AV399" i="4"/>
  <c r="AV284" i="4"/>
  <c r="AV347" i="4"/>
  <c r="AV304" i="4"/>
  <c r="AV320" i="4"/>
  <c r="AV298" i="4"/>
  <c r="AV288" i="4"/>
  <c r="AV341" i="4"/>
  <c r="AV397" i="4"/>
  <c r="AV294" i="4"/>
  <c r="AV318" i="4"/>
  <c r="AV412" i="4"/>
  <c r="AV377" i="4"/>
  <c r="AV340" i="4"/>
  <c r="AV389" i="4"/>
  <c r="AV310" i="4"/>
  <c r="AV319" i="4"/>
  <c r="AV400" i="4"/>
  <c r="AV345" i="4"/>
  <c r="AV361" i="4"/>
  <c r="AV314" i="4"/>
  <c r="AV363" i="4"/>
  <c r="AV282" i="4"/>
  <c r="AV308" i="4"/>
  <c r="AV356" i="4"/>
  <c r="AV268" i="4"/>
  <c r="AV381" i="4"/>
  <c r="AV357" i="4"/>
  <c r="AV336" i="4"/>
  <c r="AV316" i="4"/>
  <c r="AV367" i="4"/>
  <c r="AV322" i="4"/>
  <c r="AV293" i="4"/>
  <c r="AV337" i="4"/>
  <c r="AV386" i="4"/>
  <c r="AV387" i="4"/>
  <c r="AV395" i="4"/>
  <c r="AV378" i="4"/>
  <c r="AV348" i="4"/>
  <c r="AV302" i="4"/>
  <c r="AV279" i="4"/>
  <c r="AV390" i="4"/>
  <c r="AX15" i="4"/>
  <c r="AV312" i="4"/>
  <c r="AV411" i="4"/>
  <c r="AV286" i="4"/>
  <c r="AV300" i="4"/>
  <c r="AV346" i="4"/>
  <c r="AX27" i="4"/>
  <c r="AV379" i="4"/>
  <c r="AV311" i="4"/>
  <c r="AV305" i="4"/>
  <c r="AV392" i="4"/>
  <c r="AV402" i="4"/>
  <c r="AX394" i="4"/>
  <c r="AX314" i="4"/>
  <c r="AX14" i="4"/>
  <c r="AX231" i="4"/>
  <c r="AX347" i="4"/>
  <c r="AX269" i="4"/>
  <c r="AX144" i="4"/>
  <c r="AX77" i="4"/>
  <c r="AX377" i="4"/>
  <c r="AX283" i="4"/>
  <c r="AX215" i="4"/>
  <c r="AX44" i="4"/>
  <c r="AX217" i="4"/>
  <c r="AX12" i="4"/>
  <c r="AX196" i="4"/>
  <c r="AX284" i="4"/>
  <c r="AX309" i="4"/>
  <c r="AX237" i="4"/>
  <c r="AX50" i="4"/>
  <c r="AX155" i="4"/>
  <c r="AX405" i="4"/>
  <c r="AX90" i="4"/>
  <c r="AX119" i="4"/>
  <c r="AX409" i="4"/>
  <c r="AX352" i="4"/>
  <c r="AX324" i="4"/>
  <c r="AX158" i="4"/>
  <c r="AX382" i="4"/>
  <c r="AX170" i="4"/>
  <c r="AX186" i="4"/>
  <c r="AX4" i="4"/>
  <c r="AX281" i="4"/>
  <c r="AX97" i="4"/>
  <c r="AX55" i="4"/>
  <c r="AX146" i="4"/>
  <c r="AX147" i="4"/>
  <c r="AX288" i="4"/>
  <c r="AX336" i="4"/>
  <c r="AX58" i="4"/>
  <c r="AX330" i="4"/>
  <c r="AX218" i="4"/>
  <c r="AX376" i="4"/>
  <c r="AX224" i="4"/>
  <c r="AX342" i="4"/>
  <c r="AX386" i="4"/>
  <c r="AX313" i="4"/>
  <c r="AX201" i="4"/>
  <c r="AX244" i="4"/>
  <c r="AX220" i="4"/>
  <c r="AX349" i="4"/>
  <c r="AX243" i="4"/>
  <c r="AX333" i="4"/>
  <c r="AX223" i="4"/>
  <c r="AX364" i="4"/>
  <c r="AX343" i="4"/>
  <c r="AX355" i="4"/>
  <c r="AX246" i="4"/>
  <c r="AX335" i="4"/>
  <c r="AX184" i="4"/>
  <c r="AX109" i="4"/>
  <c r="AX182" i="4"/>
  <c r="AX296" i="4"/>
  <c r="AX398" i="4"/>
  <c r="AX213" i="4"/>
  <c r="AX207" i="4"/>
  <c r="AX60" i="4"/>
  <c r="AX125" i="4"/>
  <c r="AX360" i="4"/>
  <c r="AX384" i="4"/>
  <c r="AX278" i="4"/>
  <c r="AX94" i="4"/>
  <c r="AX221" i="4"/>
  <c r="AX104" i="4"/>
  <c r="AX131" i="4"/>
  <c r="AX378" i="4"/>
  <c r="AX23" i="4"/>
  <c r="AX46" i="4"/>
  <c r="AX358" i="4"/>
  <c r="AX74" i="4"/>
  <c r="AX222" i="4"/>
  <c r="AX233" i="4"/>
  <c r="AX40" i="4"/>
  <c r="AX183" i="4"/>
  <c r="AX149" i="4"/>
  <c r="AX171" i="4"/>
  <c r="AX195" i="4"/>
  <c r="AX247" i="4"/>
  <c r="AX22" i="4"/>
  <c r="AX370" i="4"/>
  <c r="AX390" i="4"/>
  <c r="AX39" i="4"/>
  <c r="AX175" i="4"/>
  <c r="AX41" i="4"/>
  <c r="AX365" i="4"/>
  <c r="AX197" i="4"/>
  <c r="AX292" i="4"/>
  <c r="AX282" i="4"/>
  <c r="AX206" i="4"/>
  <c r="AX116" i="4"/>
  <c r="AX73" i="4"/>
  <c r="AX34" i="4"/>
  <c r="AX363" i="4"/>
  <c r="AX102" i="4"/>
  <c r="AX163" i="4"/>
  <c r="AX402" i="4"/>
  <c r="AX385" i="4"/>
  <c r="AX202" i="4"/>
  <c r="AX393" i="4"/>
  <c r="AX19" i="4"/>
  <c r="AX117" i="4"/>
  <c r="AX118" i="4"/>
  <c r="AX56" i="4"/>
  <c r="AX78" i="4"/>
  <c r="AX214" i="4"/>
  <c r="AX91" i="4"/>
  <c r="AX286" i="4"/>
  <c r="AX139" i="4"/>
  <c r="AV4" i="4"/>
  <c r="AX43" i="4"/>
  <c r="AX371" i="4"/>
  <c r="AX153" i="4"/>
  <c r="AX7" i="4"/>
  <c r="AX228" i="4"/>
  <c r="AX79" i="4"/>
  <c r="AX59" i="4"/>
  <c r="AX226" i="4"/>
  <c r="AX65" i="4"/>
  <c r="AX344" i="4"/>
  <c r="AX359" i="4"/>
  <c r="AX156" i="4"/>
  <c r="AX413" i="4"/>
  <c r="AX188" i="4"/>
  <c r="AX400" i="4"/>
  <c r="AX263" i="4"/>
  <c r="AX318" i="4"/>
  <c r="AX387" i="4"/>
  <c r="AX320" i="4"/>
  <c r="AX173" i="4"/>
  <c r="AX239" i="4"/>
  <c r="AX298" i="4"/>
  <c r="AX258" i="4"/>
  <c r="AX411" i="4"/>
  <c r="AX161" i="4"/>
  <c r="AX408" i="4"/>
  <c r="AX185" i="4"/>
  <c r="AX232" i="4"/>
  <c r="AX122" i="4"/>
  <c r="AX311" i="4"/>
  <c r="AX89" i="4"/>
  <c r="AX310" i="4"/>
  <c r="AX179" i="4"/>
  <c r="AX238" i="4"/>
  <c r="AX96" i="4"/>
  <c r="AX198" i="4"/>
  <c r="AX115" i="4"/>
  <c r="AX129" i="4"/>
  <c r="AX241" i="4"/>
  <c r="AX11" i="4"/>
  <c r="AX257" i="4"/>
  <c r="AX302" i="4"/>
  <c r="AX6" i="4"/>
  <c r="AX399" i="4"/>
  <c r="AX176" i="4"/>
  <c r="AX126" i="4"/>
  <c r="AX154" i="4"/>
  <c r="AX225" i="4"/>
  <c r="AX113" i="4"/>
  <c r="AX381" i="4"/>
  <c r="AX92" i="4"/>
  <c r="AX299" i="4"/>
  <c r="AX252" i="4"/>
  <c r="AX326" i="4"/>
  <c r="AX308" i="4"/>
  <c r="AX340" i="4"/>
  <c r="AX177" i="4"/>
  <c r="AX373" i="4"/>
  <c r="AX334" i="4"/>
  <c r="AX107" i="4"/>
  <c r="AX24" i="4"/>
  <c r="AX21" i="4"/>
  <c r="AX48" i="4"/>
  <c r="AX148" i="4"/>
  <c r="AX254" i="4"/>
  <c r="AX5" i="4"/>
  <c r="AX99" i="4"/>
  <c r="AX178" i="4"/>
  <c r="AX138" i="4"/>
  <c r="AX95" i="4"/>
  <c r="AX389" i="4"/>
  <c r="AX259" i="4"/>
  <c r="AX136" i="4"/>
  <c r="AX380" i="4"/>
  <c r="AX192" i="4"/>
  <c r="AX64" i="4"/>
  <c r="AX285" i="4"/>
  <c r="AX76" i="4"/>
  <c r="AX166" i="4"/>
  <c r="AX369" i="4"/>
  <c r="AX253" i="4"/>
  <c r="AX75" i="4"/>
  <c r="AX72" i="4"/>
  <c r="AX67" i="4"/>
  <c r="AX16" i="4"/>
  <c r="AX332" i="4"/>
  <c r="AX133" i="4"/>
  <c r="AX208" i="4"/>
  <c r="AX383" i="4"/>
  <c r="AX112" i="4"/>
  <c r="AX248" i="4"/>
  <c r="AX63" i="4"/>
  <c r="AX124" i="4"/>
  <c r="AX150" i="4"/>
  <c r="AX368" i="4"/>
  <c r="AX111" i="4"/>
  <c r="AX356" i="4"/>
  <c r="AX304" i="4"/>
  <c r="AX267" i="4"/>
  <c r="AX28" i="4"/>
  <c r="AX98" i="4"/>
  <c r="AX120" i="4"/>
  <c r="AX293" i="4"/>
  <c r="AX132" i="4"/>
  <c r="AX262" i="4"/>
  <c r="AX38" i="4"/>
  <c r="AX83" i="4"/>
  <c r="AX189" i="4"/>
  <c r="AX145" i="4"/>
  <c r="AX397" i="4"/>
  <c r="AX315" i="4"/>
  <c r="AX82" i="4"/>
  <c r="AX52" i="4"/>
  <c r="AX327" i="4"/>
  <c r="AX130" i="4"/>
  <c r="AX30" i="4"/>
  <c r="AX87" i="4"/>
  <c r="AX337" i="4"/>
  <c r="AX276" i="4"/>
  <c r="AX295" i="4"/>
  <c r="AX251" i="4"/>
  <c r="AX242" i="4"/>
  <c r="AX193" i="4"/>
  <c r="AX275" i="4"/>
  <c r="AX81" i="4"/>
  <c r="AX249" i="4"/>
  <c r="AX70" i="4"/>
  <c r="AX142" i="4"/>
  <c r="AX209" i="4"/>
  <c r="AX354" i="4"/>
  <c r="AX268" i="4"/>
  <c r="AX404" i="4"/>
  <c r="AX141" i="4"/>
  <c r="AX291" i="4"/>
  <c r="AX181" i="4"/>
  <c r="AX312" i="4"/>
  <c r="AX174" i="4"/>
  <c r="AX341" i="4"/>
  <c r="AX80" i="4"/>
  <c r="AX277" i="4"/>
  <c r="AX219" i="4"/>
  <c r="AX216" i="4"/>
  <c r="AX159" i="4"/>
  <c r="AX235" i="4"/>
  <c r="AX26" i="4"/>
  <c r="AX42" i="4"/>
  <c r="AX110" i="4"/>
  <c r="AX403" i="4"/>
  <c r="AX290" i="4"/>
  <c r="AX29" i="4"/>
  <c r="AX210" i="4"/>
  <c r="AX135" i="4"/>
  <c r="AX168" i="4"/>
  <c r="AX152" i="4"/>
  <c r="AX157" i="4"/>
  <c r="AX134" i="4"/>
  <c r="AX294" i="4"/>
  <c r="AX10" i="4"/>
  <c r="AX32" i="4"/>
  <c r="AX331" i="4"/>
  <c r="AX245" i="4"/>
  <c r="AX289" i="4"/>
  <c r="AX227" i="4"/>
  <c r="AX18" i="4"/>
  <c r="AX36" i="4"/>
  <c r="AX164" i="4"/>
  <c r="AX108" i="4"/>
  <c r="AX151" i="4"/>
  <c r="AX205" i="4"/>
  <c r="AX357" i="4"/>
  <c r="AX35" i="4"/>
  <c r="AX212" i="4"/>
  <c r="AX49" i="4"/>
  <c r="AX57" i="4"/>
  <c r="AX280" i="4"/>
  <c r="AX165" i="4"/>
  <c r="AX9" i="4"/>
  <c r="AX25" i="4"/>
  <c r="AX88" i="4"/>
  <c r="AX37" i="4"/>
  <c r="AX395" i="4"/>
  <c r="AX346" i="4"/>
  <c r="AX406" i="4"/>
  <c r="AX31" i="4"/>
  <c r="AX54" i="4"/>
  <c r="AX160" i="4"/>
  <c r="AX407" i="4"/>
  <c r="AX287" i="4"/>
  <c r="AX240" i="4"/>
  <c r="AX128" i="4"/>
  <c r="AX353" i="4"/>
  <c r="AX316" i="4"/>
  <c r="AX229" i="4"/>
  <c r="AX322" i="4"/>
  <c r="AX101" i="4"/>
  <c r="AX51" i="4"/>
  <c r="AX366" i="4"/>
  <c r="AX374" i="4"/>
  <c r="AX271" i="4"/>
  <c r="AX321" i="4"/>
  <c r="AX410" i="4"/>
  <c r="AX187" i="4"/>
  <c r="AX137" i="4"/>
  <c r="AX325" i="4"/>
  <c r="AX167" i="4"/>
  <c r="AX191" i="4"/>
  <c r="AX351" i="4"/>
  <c r="AX270" i="4"/>
  <c r="AX329" i="4"/>
  <c r="AX230" i="4"/>
  <c r="AX338" i="4"/>
  <c r="AX362" i="4"/>
  <c r="AX121" i="4"/>
  <c r="AX169" i="4"/>
  <c r="AX396" i="4"/>
  <c r="AX211" i="4"/>
  <c r="AX190" i="4"/>
  <c r="AX350" i="4"/>
  <c r="AX323" i="4"/>
  <c r="AX86" i="4"/>
  <c r="AX143" i="4"/>
  <c r="AX303" i="4"/>
  <c r="AX105" i="4"/>
  <c r="AX68" i="4"/>
  <c r="AX305" i="4"/>
  <c r="AX17" i="4"/>
  <c r="AX375" i="4"/>
  <c r="AX127" i="4"/>
  <c r="AX401" i="4"/>
  <c r="AX361" i="4"/>
  <c r="AX13" i="4"/>
  <c r="AX85" i="4"/>
  <c r="AX300" i="4"/>
  <c r="AX274" i="4"/>
  <c r="AX307" i="4"/>
  <c r="AX204" i="4"/>
  <c r="AX203" i="4"/>
  <c r="AX53" i="4"/>
  <c r="AX180" i="4"/>
  <c r="AX301" i="4"/>
  <c r="AX162" i="4"/>
  <c r="AX93" i="4"/>
  <c r="AX106" i="4"/>
  <c r="AX234" i="4"/>
  <c r="AX172" i="4"/>
  <c r="AX114" i="4"/>
  <c r="AX123" i="4"/>
  <c r="AX100" i="4"/>
  <c r="AX379" i="4"/>
  <c r="AX71" i="4"/>
  <c r="AX47" i="4"/>
  <c r="AX103" i="4"/>
  <c r="AX62" i="4"/>
  <c r="AX33" i="4"/>
  <c r="AX260" i="4"/>
  <c r="AX20" i="4"/>
  <c r="AX319" i="4"/>
  <c r="AX266" i="4"/>
  <c r="AX328" i="4"/>
  <c r="AX8" i="4"/>
  <c r="AX348" i="4"/>
  <c r="AX388" i="4"/>
  <c r="AX84" i="4"/>
  <c r="AX261" i="4"/>
  <c r="AX392" i="4"/>
  <c r="AX345" i="4"/>
  <c r="AX61" i="4"/>
  <c r="AX200" i="4"/>
  <c r="AX317" i="4"/>
  <c r="AX339" i="4"/>
  <c r="AX256" i="4"/>
  <c r="AX412" i="4"/>
  <c r="AX250" i="4"/>
  <c r="AX194" i="4"/>
  <c r="AX273" i="4"/>
  <c r="AX372" i="4"/>
  <c r="AX66" i="4"/>
  <c r="AX306" i="4"/>
  <c r="AX69" i="4"/>
  <c r="AX272" i="4"/>
  <c r="AX45" i="4"/>
  <c r="AX265" i="4"/>
  <c r="AX367" i="4"/>
  <c r="AX264" i="4"/>
  <c r="AX391" i="4"/>
  <c r="AX140" i="4"/>
  <c r="AX297" i="4"/>
  <c r="AX279" i="4"/>
  <c r="AX236" i="4"/>
  <c r="AX199" i="4"/>
  <c r="AX255" i="4"/>
  <c r="D21" i="4" l="1"/>
  <c r="D26" i="1" s="1"/>
  <c r="C26" i="4"/>
  <c r="D38" i="1" s="1"/>
  <c r="B26" i="4"/>
  <c r="D37" i="1" s="1"/>
  <c r="F26" i="4"/>
  <c r="D41" i="1" s="1"/>
  <c r="H26" i="4"/>
  <c r="D43" i="1" s="1"/>
  <c r="I26" i="4"/>
  <c r="D44" i="1" s="1"/>
  <c r="K26" i="4"/>
  <c r="D46" i="1" s="1"/>
  <c r="D26" i="4"/>
  <c r="D39" i="1" s="1"/>
  <c r="E26" i="4"/>
  <c r="D40" i="1" s="1"/>
  <c r="G26" i="4"/>
  <c r="D42" i="1" s="1"/>
  <c r="J26" i="4"/>
  <c r="D45" i="1" s="1"/>
  <c r="K21" i="4"/>
  <c r="H21" i="4"/>
  <c r="F21" i="4"/>
  <c r="J21" i="4"/>
  <c r="E21" i="4"/>
  <c r="B21" i="4"/>
  <c r="C21" i="4"/>
  <c r="I21" i="4"/>
  <c r="G21" i="4"/>
  <c r="D23" i="4" l="1"/>
  <c r="C26" i="1" s="1"/>
  <c r="D22" i="4"/>
  <c r="B26" i="1" s="1"/>
  <c r="G23" i="4"/>
  <c r="C29" i="1" s="1"/>
  <c r="D29" i="1"/>
  <c r="J23" i="4"/>
  <c r="C32" i="1" s="1"/>
  <c r="D32" i="1"/>
  <c r="I23" i="4"/>
  <c r="C31" i="1" s="1"/>
  <c r="D31" i="1"/>
  <c r="B23" i="4"/>
  <c r="C24" i="1" s="1"/>
  <c r="D24" i="1"/>
  <c r="K22" i="4"/>
  <c r="B33" i="1" s="1"/>
  <c r="D33" i="1"/>
  <c r="C22" i="4"/>
  <c r="B25" i="1" s="1"/>
  <c r="D25" i="1"/>
  <c r="H22" i="4"/>
  <c r="B30" i="1" s="1"/>
  <c r="D30" i="1"/>
  <c r="E23" i="4"/>
  <c r="C27" i="1" s="1"/>
  <c r="D27" i="1"/>
  <c r="F23" i="4"/>
  <c r="C28" i="1" s="1"/>
  <c r="D28" i="1"/>
  <c r="G28" i="4"/>
  <c r="C42" i="1" s="1"/>
  <c r="G27" i="4"/>
  <c r="B42" i="1" s="1"/>
  <c r="D27" i="4"/>
  <c r="B39" i="1" s="1"/>
  <c r="D28" i="4"/>
  <c r="C39" i="1" s="1"/>
  <c r="K28" i="4"/>
  <c r="C46" i="1" s="1"/>
  <c r="K27" i="4"/>
  <c r="B46" i="1" s="1"/>
  <c r="H28" i="4"/>
  <c r="C43" i="1" s="1"/>
  <c r="H27" i="4"/>
  <c r="B43" i="1" s="1"/>
  <c r="J28" i="4"/>
  <c r="C45" i="1" s="1"/>
  <c r="J27" i="4"/>
  <c r="B45" i="1" s="1"/>
  <c r="F28" i="4"/>
  <c r="C41" i="1" s="1"/>
  <c r="F27" i="4"/>
  <c r="B41" i="1" s="1"/>
  <c r="I27" i="4"/>
  <c r="B44" i="1" s="1"/>
  <c r="I28" i="4"/>
  <c r="C44" i="1" s="1"/>
  <c r="B27" i="4"/>
  <c r="B37" i="1" s="1"/>
  <c r="B28" i="4"/>
  <c r="C37" i="1" s="1"/>
  <c r="E28" i="4"/>
  <c r="C40" i="1" s="1"/>
  <c r="E27" i="4"/>
  <c r="B40" i="1" s="1"/>
  <c r="C27" i="4"/>
  <c r="B38" i="1" s="1"/>
  <c r="C28" i="4"/>
  <c r="C38" i="1" s="1"/>
  <c r="B22" i="4"/>
  <c r="B24" i="1" s="1"/>
  <c r="H23" i="4"/>
  <c r="C30" i="1" s="1"/>
  <c r="E22" i="4"/>
  <c r="B27" i="1" s="1"/>
  <c r="K23" i="4"/>
  <c r="C33" i="1" s="1"/>
  <c r="I22" i="4"/>
  <c r="B31" i="1" s="1"/>
  <c r="J22" i="4"/>
  <c r="B32" i="1" s="1"/>
  <c r="C23" i="4"/>
  <c r="C25" i="1" s="1"/>
  <c r="F22" i="4"/>
  <c r="B28" i="1" s="1"/>
  <c r="G22" i="4"/>
  <c r="B29" i="1" s="1"/>
</calcChain>
</file>

<file path=xl/comments1.xml><?xml version="1.0" encoding="utf-8"?>
<comments xmlns="http://schemas.openxmlformats.org/spreadsheetml/2006/main">
  <authors>
    <author>Автор</author>
  </authors>
  <commentList>
    <comment ref="B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Короткая сторона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Длинная сторона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Высота с учетом прогонов</t>
        </r>
      </text>
    </comment>
  </commentList>
</comments>
</file>

<file path=xl/sharedStrings.xml><?xml version="1.0" encoding="utf-8"?>
<sst xmlns="http://schemas.openxmlformats.org/spreadsheetml/2006/main" count="1621" uniqueCount="430">
  <si>
    <t>длина</t>
  </si>
  <si>
    <t>шаг рам</t>
  </si>
  <si>
    <t>Нагрузки</t>
  </si>
  <si>
    <t>тип местности</t>
  </si>
  <si>
    <t>А</t>
  </si>
  <si>
    <t>В</t>
  </si>
  <si>
    <t>С</t>
  </si>
  <si>
    <t>новым</t>
  </si>
  <si>
    <t>старым</t>
  </si>
  <si>
    <t>по</t>
  </si>
  <si>
    <t>по СП РК EN</t>
  </si>
  <si>
    <t>м</t>
  </si>
  <si>
    <t>Ветровой район</t>
  </si>
  <si>
    <t>Iа</t>
  </si>
  <si>
    <t>I</t>
  </si>
  <si>
    <t>II</t>
  </si>
  <si>
    <t>III</t>
  </si>
  <si>
    <t>IV</t>
  </si>
  <si>
    <t>V</t>
  </si>
  <si>
    <t>VI</t>
  </si>
  <si>
    <t>VII</t>
  </si>
  <si>
    <t>Тип местности</t>
  </si>
  <si>
    <t>a=</t>
  </si>
  <si>
    <t>b=</t>
  </si>
  <si>
    <t>h=</t>
  </si>
  <si>
    <t>кПа</t>
  </si>
  <si>
    <t>Для определения ню</t>
  </si>
  <si>
    <t>X</t>
  </si>
  <si>
    <t>Y</t>
  </si>
  <si>
    <t>Z</t>
  </si>
  <si>
    <t>ветер на длинную сторону</t>
  </si>
  <si>
    <t>Аэродинамический коэффициент и обозначение зоны</t>
  </si>
  <si>
    <t>Средняя составляющая кН/м2</t>
  </si>
  <si>
    <t>Пульсационная составляющая кН/м2</t>
  </si>
  <si>
    <t>Итого кН/м2</t>
  </si>
  <si>
    <t>Определение коэффициента пространственной корреляции</t>
  </si>
  <si>
    <t>С=</t>
  </si>
  <si>
    <t>A</t>
  </si>
  <si>
    <t>r</t>
  </si>
  <si>
    <t>c</t>
  </si>
  <si>
    <t>n</t>
  </si>
  <si>
    <t>B</t>
  </si>
  <si>
    <t>C</t>
  </si>
  <si>
    <t>D</t>
  </si>
  <si>
    <t>E</t>
  </si>
  <si>
    <t>F</t>
  </si>
  <si>
    <t>e=</t>
  </si>
  <si>
    <t>G</t>
  </si>
  <si>
    <t>e/5=</t>
  </si>
  <si>
    <t>H</t>
  </si>
  <si>
    <t>e/10=</t>
  </si>
  <si>
    <t>J</t>
  </si>
  <si>
    <t>C=</t>
  </si>
  <si>
    <t>FGH+</t>
  </si>
  <si>
    <t>ветер на короткую сторону</t>
  </si>
  <si>
    <t>ветер на корокую сторону</t>
  </si>
  <si>
    <t>Определение k(ze)</t>
  </si>
  <si>
    <t>Определение дзетта</t>
  </si>
  <si>
    <t>Высота,</t>
  </si>
  <si>
    <t>Коэффициент k</t>
  </si>
  <si>
    <t>Коэффициент дзетта</t>
  </si>
  <si>
    <t> для типов местности</t>
  </si>
  <si>
    <t>Интерполяция</t>
  </si>
  <si>
    <t>Уклон </t>
  </si>
  <si>
    <t>0° </t>
  </si>
  <si>
    <t>15° </t>
  </si>
  <si>
    <t>30° </t>
  </si>
  <si>
    <t>45° </t>
  </si>
  <si>
    <t>60° </t>
  </si>
  <si>
    <t>75° </t>
  </si>
  <si>
    <t>Р-н</t>
  </si>
  <si>
    <t>Давление, Мпа</t>
  </si>
  <si>
    <t>Скорость ветра, м/с</t>
  </si>
  <si>
    <t>Описание</t>
  </si>
  <si>
    <t>z0</t>
  </si>
  <si>
    <t>zmin</t>
  </si>
  <si>
    <t>Моря или открытые побережья морей</t>
  </si>
  <si>
    <t>Озера или плоская местность с незначительной растительностью без преград</t>
  </si>
  <si>
    <t>Базовая скорость ветра</t>
  </si>
  <si>
    <t>м/с</t>
  </si>
  <si>
    <t>Открытая местность с низкой, как трава, растительностью и изолированными отдельно стоящими преградами (деревьями, зданиями), расстояние между которыми не менее20-кратного значения их высот</t>
  </si>
  <si>
    <t>Высота здания</t>
  </si>
  <si>
    <t>Местность с равномерной растительностью или зданиями или преградами, расстояние между которыми не превышает 20-кратного значения их высот (деревни, пригородные зоны, протяженные лесные массивы)</t>
  </si>
  <si>
    <t>Ветровая нагрузка</t>
  </si>
  <si>
    <t>Территории, в пределах которых, по крайней мере, 15 % поверхности покрыто зданиями, высота которых превышает 15 м</t>
  </si>
  <si>
    <t>Ширина здания</t>
  </si>
  <si>
    <t>Длина здания</t>
  </si>
  <si>
    <t>Конструкционный к-т в торец</t>
  </si>
  <si>
    <t>давление</t>
  </si>
  <si>
    <t>VIII</t>
  </si>
  <si>
    <t>Конструкционный к-т в продольную сторону</t>
  </si>
  <si>
    <t>Уклон кровли</t>
  </si>
  <si>
    <t>°</t>
  </si>
  <si>
    <t>Ветер в торец</t>
  </si>
  <si>
    <t>h/d</t>
  </si>
  <si>
    <t>Зона</t>
  </si>
  <si>
    <t>cf</t>
  </si>
  <si>
    <t>Давление ветра</t>
  </si>
  <si>
    <t>e</t>
  </si>
  <si>
    <t>e/5</t>
  </si>
  <si>
    <t>ρ</t>
  </si>
  <si>
    <t>кг/м3</t>
  </si>
  <si>
    <t>4/5e</t>
  </si>
  <si>
    <t>c0</t>
  </si>
  <si>
    <t>d-e</t>
  </si>
  <si>
    <t>z</t>
  </si>
  <si>
    <t>zmax</t>
  </si>
  <si>
    <t>kr</t>
  </si>
  <si>
    <t>cr(z)</t>
  </si>
  <si>
    <t>vm</t>
  </si>
  <si>
    <t>ki</t>
  </si>
  <si>
    <r>
      <rPr>
        <sz val="11"/>
        <color theme="1"/>
        <rFont val="Calibri"/>
        <family val="2"/>
        <charset val="204"/>
      </rPr>
      <t>σ</t>
    </r>
    <r>
      <rPr>
        <sz val="11"/>
        <color theme="1"/>
        <rFont val="Calibri"/>
        <family val="2"/>
      </rPr>
      <t>v</t>
    </r>
  </si>
  <si>
    <t>Ветер в продольную стену</t>
  </si>
  <si>
    <t>lv(z)</t>
  </si>
  <si>
    <t>qp(z)</t>
  </si>
  <si>
    <t>Па</t>
  </si>
  <si>
    <t>zt</t>
  </si>
  <si>
    <t>Lt</t>
  </si>
  <si>
    <t>α</t>
  </si>
  <si>
    <t>Lz</t>
  </si>
  <si>
    <t>В^2</t>
  </si>
  <si>
    <t>n1</t>
  </si>
  <si>
    <t>Гц</t>
  </si>
  <si>
    <t>fl(z,n)</t>
  </si>
  <si>
    <t>Sl(z,n)</t>
  </si>
  <si>
    <t>ηh</t>
  </si>
  <si>
    <t>ηb</t>
  </si>
  <si>
    <t>Rh</t>
  </si>
  <si>
    <t>Rb</t>
  </si>
  <si>
    <t>δ</t>
  </si>
  <si>
    <t>Внутреннее давление</t>
  </si>
  <si>
    <t>R^2</t>
  </si>
  <si>
    <t>ν</t>
  </si>
  <si>
    <t>T</t>
  </si>
  <si>
    <t>kp</t>
  </si>
  <si>
    <t>cscd</t>
  </si>
  <si>
    <t>Fw/A</t>
  </si>
  <si>
    <t>wo, кПа</t>
  </si>
  <si>
    <t>wo=</t>
  </si>
  <si>
    <t>k(ze)=</t>
  </si>
  <si>
    <t>z(ze)=</t>
  </si>
  <si>
    <t>gf=</t>
  </si>
  <si>
    <t>р, м</t>
  </si>
  <si>
    <t>Коэффициент n  при X, м, равном</t>
  </si>
  <si>
    <t>Определение ce для кровли при a=90</t>
  </si>
  <si>
    <t>по СП 20.13330.20ХХ</t>
  </si>
  <si>
    <t>чек на казахов))</t>
  </si>
  <si>
    <t>КЗ???</t>
  </si>
  <si>
    <t>ветровая нагрузка, кПа</t>
  </si>
  <si>
    <t>Ветровая нагрузка 0</t>
  </si>
  <si>
    <t>кв.50х2</t>
  </si>
  <si>
    <t>кв.50х2,5</t>
  </si>
  <si>
    <t>кв.50х3</t>
  </si>
  <si>
    <t>кв.50х4</t>
  </si>
  <si>
    <t>кв.50х5</t>
  </si>
  <si>
    <t>кв.80х2,5</t>
  </si>
  <si>
    <t>кв.80х3</t>
  </si>
  <si>
    <t>кв.80х4</t>
  </si>
  <si>
    <t>кв.80х5</t>
  </si>
  <si>
    <t>кв.80х6</t>
  </si>
  <si>
    <t>кв.100х3</t>
  </si>
  <si>
    <t>кв.100х4</t>
  </si>
  <si>
    <t>кв.100х5</t>
  </si>
  <si>
    <t>кв.100х6</t>
  </si>
  <si>
    <t>кв.100х7</t>
  </si>
  <si>
    <t>кв.120х3</t>
  </si>
  <si>
    <t>кв.120х4</t>
  </si>
  <si>
    <t>кв.120х5</t>
  </si>
  <si>
    <t>кв.120х6</t>
  </si>
  <si>
    <t>кв.140х4</t>
  </si>
  <si>
    <t>кв.140х5</t>
  </si>
  <si>
    <t>кв.140х6</t>
  </si>
  <si>
    <t>кв.140х7</t>
  </si>
  <si>
    <t>кв.140х8</t>
  </si>
  <si>
    <t>кв.160х4</t>
  </si>
  <si>
    <t>кв.160х5</t>
  </si>
  <si>
    <t>кв.160х6</t>
  </si>
  <si>
    <t>кв.160х7</t>
  </si>
  <si>
    <t>кв.160х8</t>
  </si>
  <si>
    <t>кв.180х5</t>
  </si>
  <si>
    <t>кв.180х6</t>
  </si>
  <si>
    <t>кв.180х7</t>
  </si>
  <si>
    <t>кв.180х8</t>
  </si>
  <si>
    <t>кв.180х9</t>
  </si>
  <si>
    <t>кв.180х10</t>
  </si>
  <si>
    <t>кв.200х5</t>
  </si>
  <si>
    <t>кв.200х6</t>
  </si>
  <si>
    <t>кв.200х7</t>
  </si>
  <si>
    <t>кв.200х8</t>
  </si>
  <si>
    <t>кв.200х9</t>
  </si>
  <si>
    <t>кв.200х10</t>
  </si>
  <si>
    <t>кв.200х11</t>
  </si>
  <si>
    <t>кв.200х12</t>
  </si>
  <si>
    <t>кв.200х13</t>
  </si>
  <si>
    <t>кв.200х14</t>
  </si>
  <si>
    <t>кв.250х8</t>
  </si>
  <si>
    <t>кв.250х9</t>
  </si>
  <si>
    <t>кв.250х10</t>
  </si>
  <si>
    <t>кв.250х11</t>
  </si>
  <si>
    <t>кв.250х12</t>
  </si>
  <si>
    <t>кв.250х13</t>
  </si>
  <si>
    <t>кв.250х14</t>
  </si>
  <si>
    <t>кв.300х8</t>
  </si>
  <si>
    <t>кв.300х9</t>
  </si>
  <si>
    <t>кв.300х10</t>
  </si>
  <si>
    <t>кв.300х11</t>
  </si>
  <si>
    <t>кв.300х12</t>
  </si>
  <si>
    <t>кв.300х13</t>
  </si>
  <si>
    <t>кв.300х14</t>
  </si>
  <si>
    <t>пр.60х40х2</t>
  </si>
  <si>
    <t>пр.60х40х2,5</t>
  </si>
  <si>
    <t>пр.60х40х3</t>
  </si>
  <si>
    <t>пр.60х40х4</t>
  </si>
  <si>
    <t>пр.60х40х5</t>
  </si>
  <si>
    <t>пр.100х60х3</t>
  </si>
  <si>
    <t>пр.100х60х4</t>
  </si>
  <si>
    <t>пр.100х60х5</t>
  </si>
  <si>
    <t>пр.100х60х6</t>
  </si>
  <si>
    <t>пр.120х80х3</t>
  </si>
  <si>
    <t>пр.120х80х4</t>
  </si>
  <si>
    <t>пр.120х80х5</t>
  </si>
  <si>
    <t>пр.120х80х6</t>
  </si>
  <si>
    <t>пр.120х80х7</t>
  </si>
  <si>
    <t>пр.140х60х4</t>
  </si>
  <si>
    <t>пр.140х60х5</t>
  </si>
  <si>
    <t>пр.140х60х6</t>
  </si>
  <si>
    <t>пр.140х100х3</t>
  </si>
  <si>
    <t>пр.140х100х4</t>
  </si>
  <si>
    <t>пр.140х100х5</t>
  </si>
  <si>
    <t>пр.140х100х6</t>
  </si>
  <si>
    <t>пр.140х100х7</t>
  </si>
  <si>
    <t>пр.160х80х3</t>
  </si>
  <si>
    <t>пр.160х80х4</t>
  </si>
  <si>
    <t>пр.160х80х5</t>
  </si>
  <si>
    <t>пр.160х80х6</t>
  </si>
  <si>
    <t>пр.160х120х4</t>
  </si>
  <si>
    <t>пр.160х120х5</t>
  </si>
  <si>
    <t>пр.160х120х6</t>
  </si>
  <si>
    <t>пр.160х120х7</t>
  </si>
  <si>
    <t>пр.160х120х8</t>
  </si>
  <si>
    <t>пр.180х60х5</t>
  </si>
  <si>
    <t>пр.180х60х6</t>
  </si>
  <si>
    <t>пр.180х100х5</t>
  </si>
  <si>
    <t>пр.180х100х6</t>
  </si>
  <si>
    <t>пр.180х100х7</t>
  </si>
  <si>
    <t>пр.180х100х8</t>
  </si>
  <si>
    <t>пр.180х140х4</t>
  </si>
  <si>
    <t>пр.180х140х5</t>
  </si>
  <si>
    <t>пр.180х140х6</t>
  </si>
  <si>
    <t>пр.180х140х7</t>
  </si>
  <si>
    <t>пр.180х140х8</t>
  </si>
  <si>
    <t>пр.200х120х4</t>
  </si>
  <si>
    <t>пр.200х160х5</t>
  </si>
  <si>
    <t>пр.200х160х6</t>
  </si>
  <si>
    <t>пр.200х160х7</t>
  </si>
  <si>
    <t>пр.200х160х8</t>
  </si>
  <si>
    <t>пр.200х160х9</t>
  </si>
  <si>
    <t>пр.200х160х10</t>
  </si>
  <si>
    <t>пр.300х200х8</t>
  </si>
  <si>
    <t>пр.300х200х9</t>
  </si>
  <si>
    <t>пр.300х200х10</t>
  </si>
  <si>
    <t>пр.300х200х11</t>
  </si>
  <si>
    <t>пр.300х200х12</t>
  </si>
  <si>
    <t>пр.300х200х13</t>
  </si>
  <si>
    <t>пр.300х200х14</t>
  </si>
  <si>
    <t>пр.320х180х8</t>
  </si>
  <si>
    <t>пр.320х180х9</t>
  </si>
  <si>
    <t>пр.320х180х10</t>
  </si>
  <si>
    <t>пр.320х180х11</t>
  </si>
  <si>
    <t>пр.340х160х9</t>
  </si>
  <si>
    <t>пр.340х160х10</t>
  </si>
  <si>
    <t>пр.340х160х11</t>
  </si>
  <si>
    <t>пр.340х160х12</t>
  </si>
  <si>
    <t>пр.340х260х10</t>
  </si>
  <si>
    <t>пр.340х260х11</t>
  </si>
  <si>
    <t>пр.340х260х12</t>
  </si>
  <si>
    <t>пр.380х220х10</t>
  </si>
  <si>
    <t>пр.380х220х11</t>
  </si>
  <si>
    <t>пр.380х220х12</t>
  </si>
  <si>
    <t>пр.400х200х10</t>
  </si>
  <si>
    <t>пр.400х200х11</t>
  </si>
  <si>
    <t>пр.400х200х12</t>
  </si>
  <si>
    <t>h</t>
  </si>
  <si>
    <t>b</t>
  </si>
  <si>
    <t>S</t>
  </si>
  <si>
    <t>t</t>
  </si>
  <si>
    <t>R</t>
  </si>
  <si>
    <r>
      <t>Ix, см</t>
    </r>
    <r>
      <rPr>
        <vertAlign val="superscript"/>
        <sz val="10"/>
        <rFont val="Times New Roman"/>
        <family val="1"/>
        <charset val="204"/>
      </rPr>
      <t>4</t>
    </r>
  </si>
  <si>
    <r>
      <t>Wx</t>
    </r>
    <r>
      <rPr>
        <sz val="10"/>
        <rFont val="Symbol"/>
        <family val="1"/>
        <charset val="2"/>
      </rPr>
      <t>,</t>
    </r>
    <r>
      <rPr>
        <sz val="10"/>
        <rFont val="Times New Roman"/>
        <family val="1"/>
        <charset val="204"/>
      </rPr>
      <t xml:space="preserve"> см</t>
    </r>
    <r>
      <rPr>
        <vertAlign val="superscript"/>
        <sz val="10"/>
        <rFont val="Times New Roman"/>
        <family val="1"/>
        <charset val="204"/>
      </rPr>
      <t>3</t>
    </r>
  </si>
  <si>
    <r>
      <t>Sx</t>
    </r>
    <r>
      <rPr>
        <sz val="10"/>
        <rFont val="Symbol"/>
        <family val="1"/>
        <charset val="2"/>
      </rPr>
      <t>,</t>
    </r>
    <r>
      <rPr>
        <sz val="10"/>
        <rFont val="Times New Roman"/>
        <family val="1"/>
        <charset val="204"/>
      </rPr>
      <t xml:space="preserve"> см</t>
    </r>
    <r>
      <rPr>
        <vertAlign val="superscript"/>
        <sz val="10"/>
        <rFont val="Times New Roman"/>
        <family val="1"/>
        <charset val="204"/>
      </rPr>
      <t>3</t>
    </r>
  </si>
  <si>
    <r>
      <t>ix</t>
    </r>
    <r>
      <rPr>
        <sz val="10"/>
        <rFont val="Symbol"/>
        <family val="1"/>
        <charset val="2"/>
      </rPr>
      <t>,</t>
    </r>
    <r>
      <rPr>
        <sz val="10"/>
        <rFont val="Times New Roman"/>
        <family val="1"/>
        <charset val="204"/>
      </rPr>
      <t xml:space="preserve"> см</t>
    </r>
  </si>
  <si>
    <r>
      <t>Iy, см</t>
    </r>
    <r>
      <rPr>
        <vertAlign val="superscript"/>
        <sz val="10"/>
        <rFont val="Times New Roman"/>
        <family val="1"/>
        <charset val="204"/>
      </rPr>
      <t>4</t>
    </r>
  </si>
  <si>
    <r>
      <t>Wy</t>
    </r>
    <r>
      <rPr>
        <sz val="10"/>
        <rFont val="Symbol"/>
        <family val="1"/>
        <charset val="2"/>
      </rPr>
      <t>,</t>
    </r>
    <r>
      <rPr>
        <sz val="10"/>
        <rFont val="Times New Roman"/>
        <family val="1"/>
        <charset val="204"/>
      </rPr>
      <t xml:space="preserve"> см</t>
    </r>
    <r>
      <rPr>
        <vertAlign val="superscript"/>
        <sz val="10"/>
        <rFont val="Times New Roman"/>
        <family val="1"/>
        <charset val="204"/>
      </rPr>
      <t>3</t>
    </r>
  </si>
  <si>
    <r>
      <t>iy</t>
    </r>
    <r>
      <rPr>
        <sz val="10"/>
        <rFont val="Symbol"/>
        <family val="1"/>
        <charset val="2"/>
      </rPr>
      <t>,</t>
    </r>
    <r>
      <rPr>
        <sz val="10"/>
        <rFont val="Times New Roman"/>
        <family val="1"/>
        <charset val="204"/>
      </rPr>
      <t xml:space="preserve"> см</t>
    </r>
  </si>
  <si>
    <r>
      <t>А, см</t>
    </r>
    <r>
      <rPr>
        <vertAlign val="superscript"/>
        <sz val="10"/>
        <rFont val="Times New Roman"/>
        <family val="1"/>
        <charset val="204"/>
      </rPr>
      <t>2</t>
    </r>
  </si>
  <si>
    <t>вес, кг</t>
  </si>
  <si>
    <t>С345</t>
  </si>
  <si>
    <t>С245</t>
  </si>
  <si>
    <t>Сталь</t>
  </si>
  <si>
    <t>y</t>
  </si>
  <si>
    <t>Вертикальные нагрузки</t>
  </si>
  <si>
    <t>Ry</t>
  </si>
  <si>
    <t>расчетная длина</t>
  </si>
  <si>
    <t>в плоскости</t>
  </si>
  <si>
    <t>из плоскости</t>
  </si>
  <si>
    <t>Предисловие</t>
  </si>
  <si>
    <t>Приложение Д. Коэффициенты для расчета на устойчивость центрально и внецентренно сжатых элементов</t>
  </si>
  <si>
    <t>Условная гибкость</t>
  </si>
  <si>
    <t>Значение</t>
  </si>
  <si>
    <t>при приведенном относительном эксцентриситете</t>
  </si>
  <si>
    <t>ж</t>
  </si>
  <si>
    <t>Макс. к-т исп.</t>
  </si>
  <si>
    <t>№</t>
  </si>
  <si>
    <t>Выключатель</t>
  </si>
  <si>
    <t>односкатная</t>
  </si>
  <si>
    <t>двускатная</t>
  </si>
  <si>
    <t>Сечение</t>
  </si>
  <si>
    <t>Город</t>
  </si>
  <si>
    <t>Ур. отв</t>
  </si>
  <si>
    <t>нагрузка</t>
  </si>
  <si>
    <t>II ПС</t>
  </si>
  <si>
    <t>I ПС</t>
  </si>
  <si>
    <t>К-т исп по гибкости</t>
  </si>
  <si>
    <t>нет</t>
  </si>
  <si>
    <t>Общие данные</t>
  </si>
  <si>
    <t>высота окна</t>
  </si>
  <si>
    <t>тип окна</t>
  </si>
  <si>
    <t>конструкция окна</t>
  </si>
  <si>
    <t>1ый стеклопакет</t>
  </si>
  <si>
    <t>2ой стеклопакет</t>
  </si>
  <si>
    <t>3ой стеклопакет</t>
  </si>
  <si>
    <t>вертикальная</t>
  </si>
  <si>
    <t>горизонтальная</t>
  </si>
  <si>
    <t>Расчетная вертикальная нагрузка</t>
  </si>
  <si>
    <t>Расчетная горизонтальная нагрузка</t>
  </si>
  <si>
    <t>Пролет здания</t>
  </si>
  <si>
    <t>верт</t>
  </si>
  <si>
    <t>гор</t>
  </si>
  <si>
    <t>Подбор</t>
  </si>
  <si>
    <t>сечение</t>
  </si>
  <si>
    <t>сталь</t>
  </si>
  <si>
    <t>прогибы</t>
  </si>
  <si>
    <t>момент</t>
  </si>
  <si>
    <t>к-т приведения момента</t>
  </si>
  <si>
    <t>-</t>
  </si>
  <si>
    <r>
      <t>пр.60х40х2 90</t>
    </r>
    <r>
      <rPr>
        <sz val="12"/>
        <rFont val="Calibri"/>
        <family val="2"/>
        <charset val="204"/>
      </rPr>
      <t>°</t>
    </r>
  </si>
  <si>
    <t>пр.60х40х2,5 90°</t>
  </si>
  <si>
    <t>пр.60х40х3 90°</t>
  </si>
  <si>
    <t xml:space="preserve">пр.60х40х4 90° </t>
  </si>
  <si>
    <t>пр.60х40х5 90°</t>
  </si>
  <si>
    <t>пр.100х60х3 90°</t>
  </si>
  <si>
    <t>пр.100х60х4 90°</t>
  </si>
  <si>
    <t>пр.100х60х5 90°</t>
  </si>
  <si>
    <t>пр.100х60х6 90°</t>
  </si>
  <si>
    <t>пр.120х80х3 90°</t>
  </si>
  <si>
    <t>пр.120х80х4 90°</t>
  </si>
  <si>
    <t>пр.120х80х5 90°</t>
  </si>
  <si>
    <t>пр.120х80х6 90°</t>
  </si>
  <si>
    <t>пр.120х80х7 90°</t>
  </si>
  <si>
    <t>пр.140х60х4 90°</t>
  </si>
  <si>
    <t>пр.140х60х5 90°</t>
  </si>
  <si>
    <t>пр.140х60х6 90°</t>
  </si>
  <si>
    <t>пр.140х100х3 90°</t>
  </si>
  <si>
    <t>пр.140х100х4 90°</t>
  </si>
  <si>
    <t>пр.140х100х5 90°</t>
  </si>
  <si>
    <t>пр.140х100х6 90°</t>
  </si>
  <si>
    <t>пр.140х100х7 90°</t>
  </si>
  <si>
    <t>пр.160х80х3 90°</t>
  </si>
  <si>
    <t>пр.160х80х4 90°</t>
  </si>
  <si>
    <t>пр.160х80х5 90°</t>
  </si>
  <si>
    <t>пр.160х80х6 90°</t>
  </si>
  <si>
    <t>пр.160х120х4 90°</t>
  </si>
  <si>
    <t>пр.160х120х5 90°</t>
  </si>
  <si>
    <t>пр.160х120х6 90°</t>
  </si>
  <si>
    <t>пр.160х120х7 90°</t>
  </si>
  <si>
    <t>пр.160х120х8 90°</t>
  </si>
  <si>
    <t>пр.180х60х5 90°</t>
  </si>
  <si>
    <t>пр.180х60х6 90°</t>
  </si>
  <si>
    <t>пр.180х100х5 90°</t>
  </si>
  <si>
    <t>пр.180х100х6 90°</t>
  </si>
  <si>
    <t>пр.180х100х7 90°</t>
  </si>
  <si>
    <t>пр.180х100х8 90°</t>
  </si>
  <si>
    <t>пр.180х140х4 90°</t>
  </si>
  <si>
    <t>пр.180х140х5 90°</t>
  </si>
  <si>
    <t>пр.180х140х6 90°</t>
  </si>
  <si>
    <t>пр.180х140х7 90°</t>
  </si>
  <si>
    <t>пр.180х140х8 90°</t>
  </si>
  <si>
    <t>пр.200х120х4 90°</t>
  </si>
  <si>
    <t>пр.200х160х5 90°</t>
  </si>
  <si>
    <t>пр.200х160х6 90°</t>
  </si>
  <si>
    <t>пр.200х160х7 90°</t>
  </si>
  <si>
    <t>пр.200х160х8 90°</t>
  </si>
  <si>
    <t>пр.200х160х9 90°</t>
  </si>
  <si>
    <t>пр.200х160х10 90°</t>
  </si>
  <si>
    <t>пр.300х200х8 90°</t>
  </si>
  <si>
    <t>пр.300х200х9 90°</t>
  </si>
  <si>
    <t>пр.300х200х10 90°</t>
  </si>
  <si>
    <t>пр.300х200х11 90°</t>
  </si>
  <si>
    <t>пр.300х200х12 90°</t>
  </si>
  <si>
    <t>пр.300х200х13 90°</t>
  </si>
  <si>
    <t>пр.300х200х14 90°</t>
  </si>
  <si>
    <t>пр.320х180х8 90°</t>
  </si>
  <si>
    <t>пр.320х180х9 90°</t>
  </si>
  <si>
    <t>пр.320х180х10 90°</t>
  </si>
  <si>
    <t>пр.320х180х11 90°</t>
  </si>
  <si>
    <t>пр.340х160х9 90°</t>
  </si>
  <si>
    <t>пр.340х160х10 90°</t>
  </si>
  <si>
    <t>пр.340х160х11 90°</t>
  </si>
  <si>
    <t>пр.340х160х12 90°</t>
  </si>
  <si>
    <t>пр.340х260х10 90°</t>
  </si>
  <si>
    <t>пр.340х260х11 90°</t>
  </si>
  <si>
    <t>пр.340х260х12 90°</t>
  </si>
  <si>
    <t>пр.380х220х10 90°</t>
  </si>
  <si>
    <t>пр.380х220х11 90°</t>
  </si>
  <si>
    <t>пр.380х220х12 90°</t>
  </si>
  <si>
    <t>пр.400х200х10 90°</t>
  </si>
  <si>
    <t>пр.400х200х11 90°</t>
  </si>
  <si>
    <t>пр.400х200х12 90°</t>
  </si>
  <si>
    <t>Проходит? Нижний</t>
  </si>
  <si>
    <t>К-т исп по прочности низ</t>
  </si>
  <si>
    <t>К-т исп по прочности верх</t>
  </si>
  <si>
    <t>Проходит? Верхний</t>
  </si>
  <si>
    <t>Подобранное сечение верхнего ригеля для типа 1</t>
  </si>
  <si>
    <t>Подобранное сечение нижнего ригеля для типов 1-5 
и верхнего ригеля для типов 2-5</t>
  </si>
  <si>
    <t>К-т исп по прогибам верх</t>
  </si>
  <si>
    <t>К-т исп по прогибам низ</t>
  </si>
  <si>
    <t>Вес одного ригеля, кг</t>
  </si>
  <si>
    <t>*подбор осуществляется по условиям ограничения предельной гибкости 200, предельного прогиба по вертикали 1/300 и по горизонтали 1/200 пролета и расчета на прочность на изгиб в двух направлениях, при этом считается, что максимальные моменты локализуются в одной и той же точке</t>
  </si>
  <si>
    <t>Новый уренгой</t>
  </si>
  <si>
    <t>90 градусов - профиль длинной стороной горизонтально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</si>
</sst>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rgb="FF2D2D2D"/>
      <name val="Arial"/>
      <family val="2"/>
      <charset val="204"/>
    </font>
    <font>
      <sz val="48"/>
      <color rgb="FFFF0000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i/>
      <sz val="11"/>
      <color theme="1"/>
      <name val="Symbol"/>
      <family val="1"/>
      <charset val="2"/>
    </font>
    <font>
      <sz val="9"/>
      <color rgb="FF242424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0"/>
      <name val="Arial Cyr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Symbol"/>
      <family val="1"/>
      <charset val="2"/>
    </font>
    <font>
      <vertAlign val="superscript"/>
      <sz val="10"/>
      <name val="Times New Roman"/>
      <family val="1"/>
      <charset val="204"/>
    </font>
    <font>
      <sz val="10"/>
      <name val="Calibri"/>
      <family val="2"/>
      <charset val="204"/>
    </font>
    <font>
      <b/>
      <sz val="11"/>
      <color theme="1"/>
      <name val="Calibri"/>
      <family val="2"/>
      <scheme val="minor"/>
    </font>
    <font>
      <sz val="12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F3B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00"/>
        <bgColor indexed="64"/>
      </patternFill>
    </fill>
  </fills>
  <borders count="10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theme="5" tint="-0.249977111117893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theme="3" tint="-0.249977111117893"/>
      </left>
      <right style="thin">
        <color theme="3" tint="-0.249977111117893"/>
      </right>
      <top style="medium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thin">
        <color theme="3" tint="-0.249977111117893"/>
      </bottom>
      <diagonal/>
    </border>
    <border>
      <left style="medium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medium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medium">
        <color theme="3" tint="-0.249977111117893"/>
      </left>
      <right style="thin">
        <color theme="3" tint="-0.249977111117893"/>
      </right>
      <top style="thin">
        <color theme="3" tint="-0.249977111117893"/>
      </top>
      <bottom style="medium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medium">
        <color theme="3" tint="-0.249977111117893"/>
      </bottom>
      <diagonal/>
    </border>
    <border>
      <left style="thin">
        <color theme="3" tint="-0.249977111117893"/>
      </left>
      <right style="medium">
        <color theme="3" tint="-0.249977111117893"/>
      </right>
      <top style="thin">
        <color theme="3" tint="-0.249977111117893"/>
      </top>
      <bottom style="medium">
        <color theme="3" tint="-0.24997711111789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/>
      <right/>
      <top style="medium">
        <color theme="5" tint="-0.249977111117893"/>
      </top>
      <bottom/>
      <diagonal/>
    </border>
    <border>
      <left/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6" tint="-0.249977111117893"/>
      </left>
      <right/>
      <top style="medium">
        <color theme="6" tint="-0.249977111117893"/>
      </top>
      <bottom/>
      <diagonal/>
    </border>
    <border>
      <left/>
      <right/>
      <top style="medium">
        <color theme="6" tint="-0.249977111117893"/>
      </top>
      <bottom/>
      <diagonal/>
    </border>
    <border>
      <left/>
      <right style="medium">
        <color theme="6" tint="-0.249977111117893"/>
      </right>
      <top style="medium">
        <color theme="6" tint="-0.249977111117893"/>
      </top>
      <bottom/>
      <diagonal/>
    </border>
    <border>
      <left style="medium">
        <color theme="5" tint="-0.249977111117893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theme="5" tint="-0.249977111117893"/>
      </right>
      <top/>
      <bottom/>
      <diagonal/>
    </border>
    <border>
      <left style="medium">
        <color theme="6" tint="-0.249977111117893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theme="6" tint="-0.249977111117893"/>
      </right>
      <top/>
      <bottom/>
      <diagonal/>
    </border>
    <border>
      <left style="medium">
        <color theme="5" tint="-0.249977111117893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theme="6" tint="-0.249977111117893"/>
      </left>
      <right style="medium">
        <color rgb="FF000000"/>
      </right>
      <top/>
      <bottom/>
      <diagonal/>
    </border>
    <border>
      <left style="medium">
        <color theme="5" tint="-0.249977111117893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6" tint="-0.249977111117893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theme="6" tint="-0.249977111117893"/>
      </right>
      <top/>
      <bottom/>
      <diagonal/>
    </border>
    <border>
      <left style="medium">
        <color theme="5" tint="-0.24997711111789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5" tint="-0.249977111117893"/>
      </left>
      <right style="medium">
        <color rgb="FF000000"/>
      </right>
      <top style="medium">
        <color rgb="FF000000"/>
      </top>
      <bottom style="medium">
        <color theme="5" tint="-0.24997711111789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theme="5" tint="-0.249977111117893"/>
      </bottom>
      <diagonal/>
    </border>
    <border>
      <left/>
      <right/>
      <top/>
      <bottom style="medium">
        <color theme="5" tint="-0.249977111117893"/>
      </bottom>
      <diagonal/>
    </border>
    <border>
      <left/>
      <right style="medium">
        <color theme="5" tint="-0.249977111117893"/>
      </right>
      <top/>
      <bottom style="medium">
        <color theme="5" tint="-0.249977111117893"/>
      </bottom>
      <diagonal/>
    </border>
    <border>
      <left/>
      <right/>
      <top/>
      <bottom style="medium">
        <color theme="6" tint="-0.249977111117893"/>
      </bottom>
      <diagonal/>
    </border>
    <border>
      <left/>
      <right style="medium">
        <color theme="6" tint="-0.249977111117893"/>
      </right>
      <top/>
      <bottom style="medium">
        <color theme="6" tint="-0.249977111117893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3" tint="-0.249977111117893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/>
  </cellStyleXfs>
  <cellXfs count="2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4" borderId="9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4" borderId="9" xfId="0" applyFont="1" applyFill="1" applyBorder="1" applyAlignment="1">
      <alignment horizontal="righ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0" fillId="3" borderId="9" xfId="0" applyFill="1" applyBorder="1" applyAlignment="1">
      <alignment horizontal="right"/>
    </xf>
    <xf numFmtId="0" fontId="0" fillId="0" borderId="11" xfId="0" applyBorder="1"/>
    <xf numFmtId="0" fontId="0" fillId="0" borderId="10" xfId="0" applyBorder="1"/>
    <xf numFmtId="0" fontId="0" fillId="0" borderId="0" xfId="0" applyFill="1" applyBorder="1" applyAlignment="1">
      <alignment horizontal="right"/>
    </xf>
    <xf numFmtId="0" fontId="0" fillId="0" borderId="0" xfId="0" applyFill="1" applyBorder="1"/>
    <xf numFmtId="0" fontId="0" fillId="0" borderId="0" xfId="0" applyBorder="1"/>
    <xf numFmtId="0" fontId="0" fillId="5" borderId="9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2" borderId="9" xfId="0" applyFill="1" applyBorder="1" applyAlignment="1">
      <alignment horizontal="right"/>
    </xf>
    <xf numFmtId="2" fontId="0" fillId="0" borderId="11" xfId="0" applyNumberFormat="1" applyBorder="1"/>
    <xf numFmtId="0" fontId="0" fillId="6" borderId="9" xfId="0" applyFill="1" applyBorder="1" applyAlignment="1">
      <alignment horizontal="right"/>
    </xf>
    <xf numFmtId="0" fontId="4" fillId="7" borderId="12" xfId="0" applyFont="1" applyFill="1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/>
    <xf numFmtId="0" fontId="4" fillId="0" borderId="0" xfId="0" applyFont="1" applyFill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0" fillId="8" borderId="29" xfId="0" applyFill="1" applyBorder="1" applyAlignment="1">
      <alignment horizontal="right"/>
    </xf>
    <xf numFmtId="0" fontId="0" fillId="8" borderId="30" xfId="0" applyFill="1" applyBorder="1"/>
    <xf numFmtId="0" fontId="0" fillId="8" borderId="30" xfId="0" applyFill="1" applyBorder="1" applyAlignment="1">
      <alignment horizontal="center"/>
    </xf>
    <xf numFmtId="164" fontId="0" fillId="8" borderId="30" xfId="0" applyNumberFormat="1" applyFill="1" applyBorder="1" applyAlignment="1">
      <alignment horizontal="center"/>
    </xf>
    <xf numFmtId="164" fontId="0" fillId="8" borderId="31" xfId="0" applyNumberFormat="1" applyFill="1" applyBorder="1" applyAlignment="1">
      <alignment horizontal="center"/>
    </xf>
    <xf numFmtId="2" fontId="0" fillId="0" borderId="21" xfId="0" applyNumberFormat="1" applyBorder="1"/>
    <xf numFmtId="0" fontId="0" fillId="0" borderId="19" xfId="0" applyFill="1" applyBorder="1" applyAlignment="1">
      <alignment horizontal="right"/>
    </xf>
    <xf numFmtId="0" fontId="0" fillId="0" borderId="20" xfId="0" applyFill="1" applyBorder="1"/>
    <xf numFmtId="0" fontId="0" fillId="0" borderId="20" xfId="0" applyFill="1" applyBorder="1" applyAlignment="1">
      <alignment horizontal="center"/>
    </xf>
    <xf numFmtId="164" fontId="0" fillId="0" borderId="20" xfId="0" applyNumberFormat="1" applyFill="1" applyBorder="1" applyAlignment="1">
      <alignment horizontal="center"/>
    </xf>
    <xf numFmtId="164" fontId="0" fillId="0" borderId="21" xfId="0" applyNumberFormat="1" applyFill="1" applyBorder="1" applyAlignment="1">
      <alignment horizontal="center"/>
    </xf>
    <xf numFmtId="0" fontId="0" fillId="8" borderId="19" xfId="0" applyFill="1" applyBorder="1" applyAlignment="1">
      <alignment horizontal="right"/>
    </xf>
    <xf numFmtId="0" fontId="0" fillId="8" borderId="20" xfId="0" applyFill="1" applyBorder="1"/>
    <xf numFmtId="0" fontId="0" fillId="8" borderId="20" xfId="0" applyFill="1" applyBorder="1" applyAlignment="1">
      <alignment horizontal="center"/>
    </xf>
    <xf numFmtId="164" fontId="0" fillId="8" borderId="20" xfId="0" applyNumberFormat="1" applyFill="1" applyBorder="1" applyAlignment="1">
      <alignment horizontal="center"/>
    </xf>
    <xf numFmtId="164" fontId="0" fillId="8" borderId="21" xfId="0" applyNumberFormat="1" applyFill="1" applyBorder="1" applyAlignment="1">
      <alignment horizontal="center"/>
    </xf>
    <xf numFmtId="2" fontId="0" fillId="0" borderId="24" xfId="0" applyNumberFormat="1" applyBorder="1"/>
    <xf numFmtId="0" fontId="0" fillId="0" borderId="3" xfId="0" applyFill="1" applyBorder="1" applyAlignment="1">
      <alignment horizontal="right"/>
    </xf>
    <xf numFmtId="0" fontId="0" fillId="9" borderId="32" xfId="0" applyFill="1" applyBorder="1"/>
    <xf numFmtId="0" fontId="0" fillId="0" borderId="33" xfId="0" applyBorder="1"/>
    <xf numFmtId="0" fontId="0" fillId="0" borderId="30" xfId="0" applyBorder="1"/>
    <xf numFmtId="0" fontId="0" fillId="0" borderId="30" xfId="0" applyFill="1" applyBorder="1" applyAlignment="1">
      <alignment horizontal="center"/>
    </xf>
    <xf numFmtId="0" fontId="0" fillId="8" borderId="22" xfId="0" applyFill="1" applyBorder="1" applyAlignment="1">
      <alignment horizontal="right"/>
    </xf>
    <xf numFmtId="0" fontId="0" fillId="8" borderId="23" xfId="0" applyFill="1" applyBorder="1"/>
    <xf numFmtId="0" fontId="0" fillId="8" borderId="23" xfId="0" applyFill="1" applyBorder="1" applyAlignment="1">
      <alignment horizontal="center"/>
    </xf>
    <xf numFmtId="164" fontId="0" fillId="8" borderId="23" xfId="0" applyNumberFormat="1" applyFill="1" applyBorder="1" applyAlignment="1">
      <alignment horizontal="center"/>
    </xf>
    <xf numFmtId="164" fontId="0" fillId="8" borderId="24" xfId="0" applyNumberFormat="1" applyFill="1" applyBorder="1" applyAlignment="1">
      <alignment horizontal="center"/>
    </xf>
    <xf numFmtId="0" fontId="0" fillId="0" borderId="22" xfId="0" applyBorder="1" applyAlignment="1">
      <alignment horizontal="right"/>
    </xf>
    <xf numFmtId="0" fontId="0" fillId="0" borderId="23" xfId="0" applyFill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" fillId="10" borderId="40" xfId="0" applyFont="1" applyFill="1" applyBorder="1" applyAlignment="1">
      <alignment horizontal="center" vertical="center" wrapText="1"/>
    </xf>
    <xf numFmtId="0" fontId="0" fillId="0" borderId="44" xfId="0" applyBorder="1"/>
    <xf numFmtId="0" fontId="2" fillId="10" borderId="45" xfId="0" applyFont="1" applyFill="1" applyBorder="1" applyAlignment="1">
      <alignment horizontal="center" vertical="center" wrapText="1"/>
    </xf>
    <xf numFmtId="0" fontId="0" fillId="0" borderId="46" xfId="0" applyBorder="1"/>
    <xf numFmtId="0" fontId="2" fillId="10" borderId="47" xfId="0" applyFont="1" applyFill="1" applyBorder="1" applyAlignment="1">
      <alignment horizontal="center" vertical="center" wrapText="1"/>
    </xf>
    <xf numFmtId="0" fontId="2" fillId="10" borderId="52" xfId="0" applyFont="1" applyFill="1" applyBorder="1" applyAlignment="1">
      <alignment horizontal="center" vertical="center" wrapText="1"/>
    </xf>
    <xf numFmtId="0" fontId="2" fillId="10" borderId="53" xfId="0" applyFont="1" applyFill="1" applyBorder="1" applyAlignment="1">
      <alignment vertical="top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54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55" xfId="0" applyFont="1" applyFill="1" applyBorder="1" applyAlignment="1">
      <alignment horizontal="center" vertical="center" wrapText="1"/>
    </xf>
    <xf numFmtId="0" fontId="2" fillId="10" borderId="56" xfId="0" applyFont="1" applyFill="1" applyBorder="1" applyAlignment="1">
      <alignment horizontal="center" vertical="center" wrapText="1"/>
    </xf>
    <xf numFmtId="2" fontId="0" fillId="0" borderId="0" xfId="0" applyNumberFormat="1" applyBorder="1"/>
    <xf numFmtId="2" fontId="0" fillId="0" borderId="44" xfId="0" applyNumberFormat="1" applyBorder="1"/>
    <xf numFmtId="2" fontId="0" fillId="0" borderId="46" xfId="0" applyNumberFormat="1" applyBorder="1"/>
    <xf numFmtId="0" fontId="2" fillId="10" borderId="57" xfId="0" applyFont="1" applyFill="1" applyBorder="1" applyAlignment="1">
      <alignment horizontal="center" vertical="center" wrapText="1"/>
    </xf>
    <xf numFmtId="0" fontId="2" fillId="10" borderId="58" xfId="0" applyFont="1" applyFill="1" applyBorder="1" applyAlignment="1">
      <alignment horizontal="center" vertical="center" wrapText="1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2" fillId="0" borderId="68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10" borderId="70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0" fillId="0" borderId="0" xfId="0" applyAlignment="1"/>
    <xf numFmtId="0" fontId="0" fillId="12" borderId="0" xfId="0" applyFill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/>
    <xf numFmtId="0" fontId="0" fillId="0" borderId="76" xfId="0" applyBorder="1"/>
    <xf numFmtId="0" fontId="0" fillId="0" borderId="76" xfId="0" applyBorder="1" applyAlignment="1">
      <alignment wrapText="1"/>
    </xf>
    <xf numFmtId="2" fontId="0" fillId="0" borderId="20" xfId="0" applyNumberFormat="1" applyBorder="1"/>
    <xf numFmtId="0" fontId="0" fillId="0" borderId="20" xfId="0" applyBorder="1" applyAlignment="1">
      <alignment wrapText="1"/>
    </xf>
    <xf numFmtId="0" fontId="10" fillId="0" borderId="0" xfId="0" applyFont="1" applyFill="1"/>
    <xf numFmtId="0" fontId="0" fillId="0" borderId="0" xfId="0" applyAlignment="1">
      <alignment horizontal="center"/>
    </xf>
    <xf numFmtId="0" fontId="13" fillId="0" borderId="80" xfId="0" applyFont="1" applyBorder="1" applyAlignment="1">
      <alignment vertical="center" wrapText="1"/>
    </xf>
    <xf numFmtId="0" fontId="13" fillId="0" borderId="79" xfId="0" applyFont="1" applyBorder="1" applyAlignment="1">
      <alignment horizontal="center" vertical="center" wrapText="1"/>
    </xf>
    <xf numFmtId="165" fontId="13" fillId="0" borderId="79" xfId="0" applyNumberFormat="1" applyFont="1" applyBorder="1" applyAlignment="1">
      <alignment horizontal="center" vertical="center" wrapText="1"/>
    </xf>
    <xf numFmtId="0" fontId="13" fillId="0" borderId="84" xfId="0" applyFont="1" applyBorder="1" applyAlignment="1">
      <alignment horizontal="center" vertical="center" wrapText="1"/>
    </xf>
    <xf numFmtId="165" fontId="13" fillId="0" borderId="84" xfId="0" applyNumberFormat="1" applyFont="1" applyBorder="1" applyAlignment="1">
      <alignment horizontal="center" vertical="center" wrapText="1"/>
    </xf>
    <xf numFmtId="0" fontId="13" fillId="0" borderId="82" xfId="0" applyFont="1" applyBorder="1" applyAlignment="1">
      <alignment horizontal="center" vertical="center" wrapText="1"/>
    </xf>
    <xf numFmtId="165" fontId="13" fillId="0" borderId="82" xfId="0" applyNumberFormat="1" applyFont="1" applyBorder="1" applyAlignment="1">
      <alignment horizontal="center" vertical="center" wrapText="1"/>
    </xf>
    <xf numFmtId="0" fontId="13" fillId="13" borderId="84" xfId="0" applyFont="1" applyFill="1" applyBorder="1" applyAlignment="1">
      <alignment horizontal="center" vertical="center" wrapText="1"/>
    </xf>
    <xf numFmtId="165" fontId="13" fillId="13" borderId="84" xfId="0" applyNumberFormat="1" applyFont="1" applyFill="1" applyBorder="1" applyAlignment="1">
      <alignment horizontal="center" vertical="center" wrapText="1"/>
    </xf>
    <xf numFmtId="165" fontId="13" fillId="0" borderId="80" xfId="0" applyNumberFormat="1" applyFont="1" applyBorder="1" applyAlignment="1">
      <alignment horizontal="center" vertical="center" wrapText="1"/>
    </xf>
    <xf numFmtId="165" fontId="13" fillId="0" borderId="83" xfId="0" applyNumberFormat="1" applyFont="1" applyBorder="1" applyAlignment="1">
      <alignment horizontal="center" vertical="center" wrapText="1"/>
    </xf>
    <xf numFmtId="165" fontId="13" fillId="0" borderId="81" xfId="0" applyNumberFormat="1" applyFont="1" applyBorder="1" applyAlignment="1">
      <alignment horizontal="center" vertical="center" wrapText="1"/>
    </xf>
    <xf numFmtId="0" fontId="13" fillId="0" borderId="78" xfId="0" applyFont="1" applyBorder="1" applyAlignment="1" applyProtection="1">
      <alignment vertical="center" wrapText="1"/>
    </xf>
    <xf numFmtId="0" fontId="13" fillId="0" borderId="78" xfId="0" applyFont="1" applyBorder="1" applyAlignment="1" applyProtection="1">
      <alignment horizontal="center" vertical="center" wrapText="1"/>
    </xf>
    <xf numFmtId="0" fontId="13" fillId="0" borderId="79" xfId="0" applyFont="1" applyBorder="1" applyAlignment="1" applyProtection="1">
      <alignment horizontal="center" vertical="center" wrapText="1"/>
    </xf>
    <xf numFmtId="0" fontId="13" fillId="0" borderId="85" xfId="0" applyFont="1" applyBorder="1" applyAlignment="1" applyProtection="1">
      <alignment horizontal="center" vertical="center" wrapText="1"/>
    </xf>
    <xf numFmtId="0" fontId="13" fillId="0" borderId="86" xfId="0" applyFont="1" applyBorder="1" applyAlignment="1" applyProtection="1">
      <alignment horizontal="center" vertical="center" wrapText="1"/>
    </xf>
    <xf numFmtId="0" fontId="13" fillId="0" borderId="0" xfId="0" applyFont="1" applyBorder="1" applyAlignment="1" applyProtection="1">
      <alignment horizontal="center" vertical="center" wrapText="1"/>
    </xf>
    <xf numFmtId="0" fontId="13" fillId="0" borderId="87" xfId="0" applyFont="1" applyBorder="1" applyAlignment="1" applyProtection="1">
      <alignment horizontal="center" vertical="center" wrapText="1"/>
    </xf>
    <xf numFmtId="0" fontId="13" fillId="0" borderId="83" xfId="0" applyFont="1" applyBorder="1" applyAlignment="1" applyProtection="1">
      <alignment horizontal="center" vertical="center" wrapText="1"/>
    </xf>
    <xf numFmtId="0" fontId="13" fillId="0" borderId="75" xfId="0" applyFont="1" applyBorder="1" applyAlignment="1" applyProtection="1">
      <alignment horizontal="center" vertical="center" wrapText="1"/>
    </xf>
    <xf numFmtId="0" fontId="13" fillId="0" borderId="20" xfId="0" applyFont="1" applyBorder="1" applyAlignment="1" applyProtection="1">
      <alignment horizontal="center" vertical="center" wrapText="1"/>
    </xf>
    <xf numFmtId="0" fontId="13" fillId="0" borderId="74" xfId="0" applyFont="1" applyBorder="1" applyAlignment="1" applyProtection="1">
      <alignment horizontal="center" vertical="center" wrapText="1"/>
    </xf>
    <xf numFmtId="0" fontId="13" fillId="0" borderId="19" xfId="0" applyFont="1" applyBorder="1" applyAlignment="1" applyProtection="1">
      <alignment horizontal="center" vertical="center" wrapText="1"/>
    </xf>
    <xf numFmtId="0" fontId="13" fillId="0" borderId="21" xfId="0" applyFont="1" applyBorder="1" applyAlignment="1" applyProtection="1">
      <alignment horizontal="center" vertical="center" wrapText="1"/>
    </xf>
    <xf numFmtId="0" fontId="13" fillId="0" borderId="80" xfId="0" applyFont="1" applyBorder="1" applyAlignment="1" applyProtection="1">
      <alignment vertical="center" wrapText="1"/>
    </xf>
    <xf numFmtId="165" fontId="13" fillId="0" borderId="83" xfId="0" applyNumberFormat="1" applyFont="1" applyBorder="1" applyAlignment="1" applyProtection="1">
      <alignment horizontal="center" vertical="center" wrapText="1"/>
    </xf>
    <xf numFmtId="0" fontId="13" fillId="0" borderId="80" xfId="0" applyFont="1" applyFill="1" applyBorder="1" applyAlignment="1" applyProtection="1">
      <alignment vertical="center" wrapText="1"/>
    </xf>
    <xf numFmtId="0" fontId="13" fillId="0" borderId="83" xfId="0" applyFont="1" applyFill="1" applyBorder="1" applyAlignment="1" applyProtection="1">
      <alignment horizontal="center" vertical="center" wrapText="1"/>
    </xf>
    <xf numFmtId="0" fontId="13" fillId="0" borderId="75" xfId="0" applyFont="1" applyFill="1" applyBorder="1" applyAlignment="1" applyProtection="1">
      <alignment horizontal="center" vertical="center" wrapText="1"/>
    </xf>
    <xf numFmtId="0" fontId="13" fillId="0" borderId="20" xfId="0" applyFont="1" applyFill="1" applyBorder="1" applyAlignment="1" applyProtection="1">
      <alignment horizontal="center" vertical="center" wrapText="1"/>
    </xf>
    <xf numFmtId="0" fontId="13" fillId="0" borderId="74" xfId="0" applyFont="1" applyFill="1" applyBorder="1" applyAlignment="1" applyProtection="1">
      <alignment horizontal="center" vertical="center" wrapText="1"/>
    </xf>
    <xf numFmtId="0" fontId="13" fillId="0" borderId="19" xfId="0" applyFont="1" applyFill="1" applyBorder="1" applyAlignment="1" applyProtection="1">
      <alignment horizontal="center" vertical="center" wrapText="1"/>
    </xf>
    <xf numFmtId="0" fontId="13" fillId="0" borderId="21" xfId="0" applyFont="1" applyFill="1" applyBorder="1" applyAlignment="1" applyProtection="1">
      <alignment horizontal="center" vertical="center" wrapText="1"/>
    </xf>
    <xf numFmtId="0" fontId="13" fillId="0" borderId="81" xfId="0" applyFont="1" applyBorder="1" applyAlignment="1" applyProtection="1">
      <alignment horizontal="left" vertical="center" wrapText="1"/>
    </xf>
    <xf numFmtId="0" fontId="13" fillId="0" borderId="15" xfId="0" applyFont="1" applyBorder="1" applyAlignment="1" applyProtection="1">
      <alignment horizontal="center" vertical="center" wrapText="1"/>
    </xf>
    <xf numFmtId="0" fontId="13" fillId="0" borderId="81" xfId="0" applyFont="1" applyBorder="1" applyAlignment="1" applyProtection="1">
      <alignment horizontal="center" vertical="center" wrapText="1"/>
    </xf>
    <xf numFmtId="0" fontId="13" fillId="0" borderId="82" xfId="0" applyFont="1" applyBorder="1" applyAlignment="1" applyProtection="1">
      <alignment horizontal="center" vertical="center" wrapText="1"/>
    </xf>
    <xf numFmtId="0" fontId="13" fillId="0" borderId="88" xfId="0" applyFont="1" applyBorder="1" applyAlignment="1" applyProtection="1">
      <alignment horizontal="center" vertical="center" wrapText="1"/>
    </xf>
    <xf numFmtId="0" fontId="13" fillId="0" borderId="89" xfId="0" applyFont="1" applyBorder="1" applyAlignment="1" applyProtection="1">
      <alignment horizontal="center" vertical="center" wrapText="1"/>
    </xf>
    <xf numFmtId="0" fontId="13" fillId="0" borderId="90" xfId="0" applyFont="1" applyBorder="1" applyAlignment="1" applyProtection="1">
      <alignment horizontal="center" vertical="center" wrapText="1"/>
    </xf>
    <xf numFmtId="0" fontId="12" fillId="0" borderId="82" xfId="1" applyFont="1" applyBorder="1" applyAlignment="1">
      <alignment horizontal="center" vertical="center" wrapText="1"/>
    </xf>
    <xf numFmtId="0" fontId="12" fillId="0" borderId="33" xfId="1" applyFont="1" applyBorder="1" applyAlignment="1">
      <alignment horizontal="center" vertical="center" wrapText="1"/>
    </xf>
    <xf numFmtId="0" fontId="12" fillId="0" borderId="79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12" fillId="0" borderId="0" xfId="1" applyNumberFormat="1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center" wrapText="1"/>
    </xf>
    <xf numFmtId="0" fontId="13" fillId="13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 applyProtection="1">
      <alignment horizontal="center" vertical="center" wrapText="1"/>
    </xf>
    <xf numFmtId="0" fontId="16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0" borderId="0" xfId="0" applyFont="1"/>
    <xf numFmtId="0" fontId="0" fillId="0" borderId="0" xfId="0" applyAlignment="1">
      <alignment vertical="top" wrapText="1"/>
    </xf>
    <xf numFmtId="0" fontId="0" fillId="0" borderId="91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12" fillId="0" borderId="7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2" fontId="13" fillId="0" borderId="0" xfId="0" applyNumberFormat="1" applyFont="1" applyBorder="1" applyAlignment="1">
      <alignment horizontal="center" vertical="center"/>
    </xf>
    <xf numFmtId="1" fontId="0" fillId="0" borderId="0" xfId="0" applyNumberFormat="1"/>
    <xf numFmtId="0" fontId="0" fillId="0" borderId="99" xfId="0" applyBorder="1"/>
    <xf numFmtId="0" fontId="0" fillId="0" borderId="83" xfId="0" applyBorder="1"/>
    <xf numFmtId="0" fontId="0" fillId="0" borderId="97" xfId="0" applyBorder="1"/>
    <xf numFmtId="0" fontId="0" fillId="0" borderId="97" xfId="0" applyBorder="1" applyAlignment="1">
      <alignment wrapText="1"/>
    </xf>
    <xf numFmtId="0" fontId="0" fillId="0" borderId="96" xfId="0" applyBorder="1"/>
    <xf numFmtId="0" fontId="0" fillId="0" borderId="99" xfId="0" applyBorder="1" applyAlignment="1">
      <alignment wrapText="1"/>
    </xf>
    <xf numFmtId="0" fontId="0" fillId="0" borderId="83" xfId="0" applyBorder="1" applyAlignment="1">
      <alignment wrapText="1"/>
    </xf>
    <xf numFmtId="0" fontId="0" fillId="0" borderId="74" xfId="0" applyBorder="1"/>
    <xf numFmtId="2" fontId="0" fillId="0" borderId="76" xfId="0" applyNumberFormat="1" applyBorder="1"/>
    <xf numFmtId="0" fontId="0" fillId="0" borderId="100" xfId="0" applyBorder="1"/>
    <xf numFmtId="0" fontId="0" fillId="0" borderId="92" xfId="0" applyBorder="1" applyAlignment="1">
      <alignment wrapText="1"/>
    </xf>
    <xf numFmtId="0" fontId="0" fillId="14" borderId="28" xfId="0" applyFill="1" applyBorder="1" applyAlignment="1">
      <alignment horizontal="center"/>
    </xf>
    <xf numFmtId="0" fontId="0" fillId="14" borderId="98" xfId="0" applyFill="1" applyBorder="1" applyAlignment="1">
      <alignment horizontal="center"/>
    </xf>
    <xf numFmtId="0" fontId="0" fillId="14" borderId="28" xfId="0" applyFill="1" applyBorder="1"/>
    <xf numFmtId="0" fontId="0" fillId="14" borderId="84" xfId="0" applyFill="1" applyBorder="1"/>
    <xf numFmtId="0" fontId="0" fillId="14" borderId="98" xfId="0" applyFill="1" applyBorder="1"/>
    <xf numFmtId="0" fontId="0" fillId="14" borderId="92" xfId="0" applyFill="1" applyBorder="1"/>
    <xf numFmtId="0" fontId="0" fillId="14" borderId="99" xfId="0" applyFill="1" applyBorder="1"/>
    <xf numFmtId="0" fontId="0" fillId="14" borderId="97" xfId="0" applyFill="1" applyBorder="1"/>
    <xf numFmtId="0" fontId="0" fillId="14" borderId="33" xfId="0" applyFill="1" applyBorder="1"/>
    <xf numFmtId="0" fontId="0" fillId="0" borderId="75" xfId="0" applyBorder="1" applyAlignment="1">
      <alignment horizontal="right"/>
    </xf>
    <xf numFmtId="0" fontId="0" fillId="0" borderId="92" xfId="0" applyBorder="1"/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3" xfId="0" applyFill="1" applyBorder="1"/>
    <xf numFmtId="0" fontId="0" fillId="0" borderId="101" xfId="0" applyBorder="1"/>
    <xf numFmtId="0" fontId="0" fillId="14" borderId="102" xfId="0" applyFill="1" applyBorder="1"/>
    <xf numFmtId="0" fontId="12" fillId="0" borderId="92" xfId="1" applyFont="1" applyBorder="1" applyAlignment="1">
      <alignment horizontal="center" vertical="center" wrapText="1"/>
    </xf>
    <xf numFmtId="0" fontId="12" fillId="0" borderId="78" xfId="1" applyFont="1" applyBorder="1" applyAlignment="1">
      <alignment horizontal="center" vertical="center" wrapText="1"/>
    </xf>
    <xf numFmtId="0" fontId="0" fillId="0" borderId="99" xfId="0" applyFill="1" applyBorder="1"/>
    <xf numFmtId="0" fontId="0" fillId="0" borderId="83" xfId="0" applyFill="1" applyBorder="1"/>
    <xf numFmtId="0" fontId="0" fillId="0" borderId="97" xfId="0" applyFill="1" applyBorder="1" applyAlignment="1">
      <alignment wrapText="1"/>
    </xf>
    <xf numFmtId="0" fontId="0" fillId="0" borderId="0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81" xfId="0" applyBorder="1"/>
    <xf numFmtId="0" fontId="0" fillId="0" borderId="88" xfId="0" applyBorder="1" applyAlignment="1">
      <alignment horizontal="center"/>
    </xf>
    <xf numFmtId="0" fontId="0" fillId="0" borderId="103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0" xfId="0" applyBorder="1" applyAlignment="1">
      <alignment horizontal="center"/>
    </xf>
    <xf numFmtId="0" fontId="13" fillId="0" borderId="101" xfId="0" applyFont="1" applyBorder="1" applyAlignment="1" applyProtection="1">
      <alignment horizontal="center" vertical="center" wrapText="1"/>
    </xf>
    <xf numFmtId="0" fontId="0" fillId="0" borderId="104" xfId="0" applyBorder="1" applyAlignment="1">
      <alignment horizontal="center"/>
    </xf>
    <xf numFmtId="0" fontId="13" fillId="0" borderId="101" xfId="0" applyFont="1" applyBorder="1" applyAlignment="1" applyProtection="1">
      <alignment vertical="center" wrapText="1"/>
    </xf>
    <xf numFmtId="0" fontId="0" fillId="0" borderId="104" xfId="0" applyBorder="1"/>
    <xf numFmtId="0" fontId="13" fillId="0" borderId="102" xfId="0" applyFont="1" applyBorder="1" applyAlignment="1" applyProtection="1">
      <alignment horizontal="center" vertical="center" wrapText="1"/>
    </xf>
    <xf numFmtId="0" fontId="13" fillId="0" borderId="100" xfId="0" applyFont="1" applyBorder="1" applyAlignment="1" applyProtection="1">
      <alignment horizontal="center" vertical="center" wrapText="1"/>
    </xf>
    <xf numFmtId="0" fontId="13" fillId="0" borderId="30" xfId="0" applyFont="1" applyBorder="1" applyAlignment="1" applyProtection="1">
      <alignment horizontal="center" vertical="center" wrapText="1"/>
    </xf>
    <xf numFmtId="0" fontId="13" fillId="0" borderId="104" xfId="0" applyFont="1" applyBorder="1" applyAlignment="1" applyProtection="1">
      <alignment horizontal="center" vertical="center" wrapText="1"/>
    </xf>
    <xf numFmtId="0" fontId="13" fillId="0" borderId="29" xfId="0" applyFont="1" applyBorder="1" applyAlignment="1" applyProtection="1">
      <alignment horizontal="center" vertical="center" wrapText="1"/>
    </xf>
    <xf numFmtId="0" fontId="0" fillId="0" borderId="80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83" xfId="0" applyBorder="1" applyAlignment="1">
      <alignment horizontal="center"/>
    </xf>
    <xf numFmtId="0" fontId="0" fillId="0" borderId="106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107" xfId="0" applyBorder="1" applyAlignment="1">
      <alignment horizontal="center"/>
    </xf>
    <xf numFmtId="165" fontId="0" fillId="0" borderId="99" xfId="0" applyNumberFormat="1" applyBorder="1" applyAlignment="1">
      <alignment horizontal="center" vertical="center"/>
    </xf>
    <xf numFmtId="165" fontId="0" fillId="0" borderId="83" xfId="0" applyNumberFormat="1" applyBorder="1" applyAlignment="1">
      <alignment horizontal="center"/>
    </xf>
    <xf numFmtId="165" fontId="0" fillId="0" borderId="97" xfId="0" applyNumberFormat="1" applyBorder="1" applyAlignment="1">
      <alignment horizont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left"/>
    </xf>
    <xf numFmtId="0" fontId="0" fillId="0" borderId="94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2" fillId="10" borderId="41" xfId="0" applyFont="1" applyFill="1" applyBorder="1" applyAlignment="1">
      <alignment horizontal="center" vertical="center" wrapText="1"/>
    </xf>
    <xf numFmtId="0" fontId="2" fillId="10" borderId="42" xfId="0" applyFont="1" applyFill="1" applyBorder="1" applyAlignment="1">
      <alignment horizontal="center" vertical="center" wrapText="1"/>
    </xf>
    <xf numFmtId="0" fontId="2" fillId="10" borderId="43" xfId="0" applyFont="1" applyFill="1" applyBorder="1" applyAlignment="1">
      <alignment horizontal="center" vertical="center" wrapText="1"/>
    </xf>
    <xf numFmtId="0" fontId="3" fillId="0" borderId="77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4" borderId="32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6" fillId="10" borderId="49" xfId="0" applyFont="1" applyFill="1" applyBorder="1" applyAlignment="1">
      <alignment horizontal="center" vertical="top" wrapText="1"/>
    </xf>
    <xf numFmtId="0" fontId="2" fillId="10" borderId="48" xfId="0" applyFont="1" applyFill="1" applyBorder="1" applyAlignment="1">
      <alignment horizontal="center" vertical="center" wrapText="1"/>
    </xf>
    <xf numFmtId="0" fontId="2" fillId="10" borderId="49" xfId="0" applyFont="1" applyFill="1" applyBorder="1" applyAlignment="1">
      <alignment horizontal="center" vertical="center" wrapText="1"/>
    </xf>
    <xf numFmtId="0" fontId="2" fillId="10" borderId="50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2" fillId="0" borderId="63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11" borderId="64" xfId="0" applyFont="1" applyFill="1" applyBorder="1" applyAlignment="1">
      <alignment horizontal="center" vertical="center" wrapText="1"/>
    </xf>
    <xf numFmtId="0" fontId="2" fillId="11" borderId="65" xfId="0" applyFont="1" applyFill="1" applyBorder="1" applyAlignment="1">
      <alignment horizontal="center" vertical="center" wrapText="1"/>
    </xf>
    <xf numFmtId="0" fontId="2" fillId="11" borderId="66" xfId="0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285750</xdr:colOff>
      <xdr:row>24</xdr:row>
      <xdr:rowOff>136072</xdr:rowOff>
    </xdr:from>
    <xdr:to>
      <xdr:col>25</xdr:col>
      <xdr:colOff>503465</xdr:colOff>
      <xdr:row>32</xdr:row>
      <xdr:rowOff>88974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03" t="40515" r="3469" b="37111"/>
        <a:stretch/>
      </xdr:blipFill>
      <xdr:spPr bwMode="auto">
        <a:xfrm>
          <a:off x="8014607" y="4980215"/>
          <a:ext cx="2054679" cy="1482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299358</xdr:colOff>
      <xdr:row>16</xdr:row>
      <xdr:rowOff>386443</xdr:rowOff>
    </xdr:from>
    <xdr:to>
      <xdr:col>25</xdr:col>
      <xdr:colOff>530679</xdr:colOff>
      <xdr:row>23</xdr:row>
      <xdr:rowOff>60293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541" t="40515" r="22538" b="37111"/>
        <a:stretch/>
      </xdr:blipFill>
      <xdr:spPr bwMode="auto">
        <a:xfrm>
          <a:off x="8028215" y="3624943"/>
          <a:ext cx="2068285" cy="1439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367393</xdr:colOff>
      <xdr:row>11</xdr:row>
      <xdr:rowOff>136073</xdr:rowOff>
    </xdr:from>
    <xdr:to>
      <xdr:col>25</xdr:col>
      <xdr:colOff>557893</xdr:colOff>
      <xdr:row>18</xdr:row>
      <xdr:rowOff>28314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405" t="40515" r="42436" b="37111"/>
        <a:stretch/>
      </xdr:blipFill>
      <xdr:spPr bwMode="auto">
        <a:xfrm>
          <a:off x="8096250" y="2367644"/>
          <a:ext cx="2027464" cy="1484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367393</xdr:colOff>
      <xdr:row>6</xdr:row>
      <xdr:rowOff>133351</xdr:rowOff>
    </xdr:from>
    <xdr:to>
      <xdr:col>25</xdr:col>
      <xdr:colOff>547746</xdr:colOff>
      <xdr:row>13</xdr:row>
      <xdr:rowOff>68036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45" t="40515" r="61827" b="37111"/>
        <a:stretch/>
      </xdr:blipFill>
      <xdr:spPr bwMode="auto">
        <a:xfrm>
          <a:off x="8096250" y="1344387"/>
          <a:ext cx="2017317" cy="1363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324344</xdr:colOff>
      <xdr:row>8</xdr:row>
      <xdr:rowOff>152152</xdr:rowOff>
    </xdr:from>
    <xdr:ext cx="754924" cy="59330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/>
      </xdr:nvSpPr>
      <xdr:spPr>
        <a:xfrm>
          <a:off x="8053201" y="1771402"/>
          <a:ext cx="75492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3200"/>
            <a:t>2</a:t>
          </a:r>
        </a:p>
      </xdr:txBody>
    </xdr:sp>
    <xdr:clientData/>
  </xdr:oneCellAnchor>
  <xdr:oneCellAnchor>
    <xdr:from>
      <xdr:col>22</xdr:col>
      <xdr:colOff>323290</xdr:colOff>
      <xdr:row>14</xdr:row>
      <xdr:rowOff>624</xdr:rowOff>
    </xdr:from>
    <xdr:ext cx="754924" cy="59330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 txBox="1"/>
      </xdr:nvSpPr>
      <xdr:spPr>
        <a:xfrm>
          <a:off x="8912355" y="2775298"/>
          <a:ext cx="75492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3200"/>
            <a:t>3</a:t>
          </a:r>
        </a:p>
      </xdr:txBody>
    </xdr:sp>
    <xdr:clientData/>
  </xdr:oneCellAnchor>
  <xdr:oneCellAnchor>
    <xdr:from>
      <xdr:col>22</xdr:col>
      <xdr:colOff>253200</xdr:colOff>
      <xdr:row>21</xdr:row>
      <xdr:rowOff>231912</xdr:rowOff>
    </xdr:from>
    <xdr:ext cx="754924" cy="593304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/>
      </xdr:nvSpPr>
      <xdr:spPr>
        <a:xfrm>
          <a:off x="5073678" y="3776869"/>
          <a:ext cx="75492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3200"/>
            <a:t>4</a:t>
          </a:r>
        </a:p>
      </xdr:txBody>
    </xdr:sp>
    <xdr:clientData/>
  </xdr:oneCellAnchor>
  <xdr:oneCellAnchor>
    <xdr:from>
      <xdr:col>22</xdr:col>
      <xdr:colOff>276058</xdr:colOff>
      <xdr:row>27</xdr:row>
      <xdr:rowOff>40597</xdr:rowOff>
    </xdr:from>
    <xdr:ext cx="754924" cy="59330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 txBox="1"/>
      </xdr:nvSpPr>
      <xdr:spPr>
        <a:xfrm>
          <a:off x="8865123" y="4943901"/>
          <a:ext cx="75492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3200"/>
            <a:t>5</a:t>
          </a:r>
        </a:p>
      </xdr:txBody>
    </xdr:sp>
    <xdr:clientData/>
  </xdr:oneCellAnchor>
  <xdr:twoCellAnchor editAs="oneCell">
    <xdr:from>
      <xdr:col>22</xdr:col>
      <xdr:colOff>326572</xdr:colOff>
      <xdr:row>0</xdr:row>
      <xdr:rowOff>54429</xdr:rowOff>
    </xdr:from>
    <xdr:to>
      <xdr:col>25</xdr:col>
      <xdr:colOff>530680</xdr:colOff>
      <xdr:row>7</xdr:row>
      <xdr:rowOff>165139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515" r="81811" b="37111"/>
        <a:stretch/>
      </xdr:blipFill>
      <xdr:spPr bwMode="auto">
        <a:xfrm>
          <a:off x="8055429" y="54429"/>
          <a:ext cx="2041072" cy="1321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340923</xdr:colOff>
      <xdr:row>2</xdr:row>
      <xdr:rowOff>55418</xdr:rowOff>
    </xdr:from>
    <xdr:ext cx="754924" cy="59330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 txBox="1"/>
      </xdr:nvSpPr>
      <xdr:spPr>
        <a:xfrm>
          <a:off x="8069780" y="450025"/>
          <a:ext cx="75492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3200"/>
            <a:t>1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142875</xdr:colOff>
      <xdr:row>6</xdr:row>
      <xdr:rowOff>9525</xdr:rowOff>
    </xdr:to>
    <xdr:pic>
      <xdr:nvPicPr>
        <xdr:cNvPr id="2" name="P07E400000000" descr="C:\Users\ANTIPI~1\AppData\Local\Temp\KClipboardExport\v638nd3c.pn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428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190500</xdr:colOff>
      <xdr:row>6</xdr:row>
      <xdr:rowOff>38100</xdr:rowOff>
    </xdr:to>
    <xdr:pic>
      <xdr:nvPicPr>
        <xdr:cNvPr id="3" name="P07E400010000" descr="C:\Users\ANTIPI~1\AppData\Local\Temp\KClipboardExport\tc52klhw.png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90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47625</xdr:rowOff>
    </xdr:from>
    <xdr:to>
      <xdr:col>1</xdr:col>
      <xdr:colOff>266700</xdr:colOff>
      <xdr:row>7</xdr:row>
      <xdr:rowOff>95250</xdr:rowOff>
    </xdr:to>
    <xdr:pic>
      <xdr:nvPicPr>
        <xdr:cNvPr id="4" name="P07E400010001" descr="C:\Users\ANTIPI~1\AppData\Local\Temp\KClipboardExport\c24717f5.png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0625"/>
          <a:ext cx="2667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200025</xdr:colOff>
      <xdr:row>9</xdr:row>
      <xdr:rowOff>38100</xdr:rowOff>
    </xdr:to>
    <xdr:sp macro="" textlink="">
      <xdr:nvSpPr>
        <xdr:cNvPr id="2" name="AutoShape 1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743075"/>
          <a:ext cx="2000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</xdr:colOff>
      <xdr:row>11</xdr:row>
      <xdr:rowOff>142875</xdr:rowOff>
    </xdr:to>
    <xdr:sp macro="" textlink="">
      <xdr:nvSpPr>
        <xdr:cNvPr id="3" name="AutoShape 2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3145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238125</xdr:colOff>
      <xdr:row>12</xdr:row>
      <xdr:rowOff>39781</xdr:rowOff>
    </xdr:to>
    <xdr:sp macro="" textlink="">
      <xdr:nvSpPr>
        <xdr:cNvPr id="4" name="AutoShape 4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314575"/>
          <a:ext cx="238125" cy="230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200025</xdr:colOff>
      <xdr:row>9</xdr:row>
      <xdr:rowOff>38100</xdr:rowOff>
    </xdr:to>
    <xdr:sp macro="" textlink="">
      <xdr:nvSpPr>
        <xdr:cNvPr id="5" name="AutoShape 1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895350" y="1743075"/>
          <a:ext cx="2000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sp macro="" textlink="">
      <xdr:nvSpPr>
        <xdr:cNvPr id="6" name="AutoShape 2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895350" y="23145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238125</xdr:colOff>
      <xdr:row>12</xdr:row>
      <xdr:rowOff>39781</xdr:rowOff>
    </xdr:to>
    <xdr:sp macro="" textlink="">
      <xdr:nvSpPr>
        <xdr:cNvPr id="7" name="AutoShape 4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895350" y="2314575"/>
          <a:ext cx="238125" cy="230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180975</xdr:colOff>
      <xdr:row>50</xdr:row>
      <xdr:rowOff>55419</xdr:rowOff>
    </xdr:to>
    <xdr:sp macro="" textlink="">
      <xdr:nvSpPr>
        <xdr:cNvPr id="8" name="AutoShape 8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6581775" y="11591925"/>
          <a:ext cx="180975" cy="245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123825</xdr:colOff>
      <xdr:row>49</xdr:row>
      <xdr:rowOff>180975</xdr:rowOff>
    </xdr:to>
    <xdr:sp macro="" textlink="">
      <xdr:nvSpPr>
        <xdr:cNvPr id="9" name="AutoShape 9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7191375" y="11591925"/>
          <a:ext cx="1238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123825</xdr:colOff>
      <xdr:row>63</xdr:row>
      <xdr:rowOff>152400</xdr:rowOff>
    </xdr:to>
    <xdr:sp macro="" textlink="">
      <xdr:nvSpPr>
        <xdr:cNvPr id="10" name="AutoShape 11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581775" y="14392275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49</xdr:row>
      <xdr:rowOff>0</xdr:rowOff>
    </xdr:from>
    <xdr:ext cx="180975" cy="228600"/>
    <xdr:sp macro="" textlink="">
      <xdr:nvSpPr>
        <xdr:cNvPr id="11" name="AutoShape 8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1610975" y="11591925"/>
          <a:ext cx="18097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49</xdr:row>
      <xdr:rowOff>0</xdr:rowOff>
    </xdr:from>
    <xdr:ext cx="123825" cy="180975"/>
    <xdr:sp macro="" textlink="">
      <xdr:nvSpPr>
        <xdr:cNvPr id="12" name="AutoShape 9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2220575" y="11591925"/>
          <a:ext cx="1238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51</xdr:row>
      <xdr:rowOff>0</xdr:rowOff>
    </xdr:from>
    <xdr:ext cx="123825" cy="152400"/>
    <xdr:sp macro="" textlink="">
      <xdr:nvSpPr>
        <xdr:cNvPr id="13" name="AutoShape 10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1610975" y="11991975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63</xdr:row>
      <xdr:rowOff>0</xdr:rowOff>
    </xdr:from>
    <xdr:ext cx="123825" cy="152400"/>
    <xdr:sp macro="" textlink="">
      <xdr:nvSpPr>
        <xdr:cNvPr id="14" name="AutoShape 11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1610975" y="14392275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17</xdr:col>
      <xdr:colOff>0</xdr:colOff>
      <xdr:row>63</xdr:row>
      <xdr:rowOff>0</xdr:rowOff>
    </xdr:from>
    <xdr:to>
      <xdr:col>17</xdr:col>
      <xdr:colOff>123825</xdr:colOff>
      <xdr:row>63</xdr:row>
      <xdr:rowOff>152400</xdr:rowOff>
    </xdr:to>
    <xdr:sp macro="" textlink="">
      <xdr:nvSpPr>
        <xdr:cNvPr id="15" name="AutoShape 13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1610975" y="14392275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65</xdr:row>
      <xdr:rowOff>0</xdr:rowOff>
    </xdr:from>
    <xdr:to>
      <xdr:col>25</xdr:col>
      <xdr:colOff>123825</xdr:colOff>
      <xdr:row>65</xdr:row>
      <xdr:rowOff>161925</xdr:rowOff>
    </xdr:to>
    <xdr:sp macro="" textlink="">
      <xdr:nvSpPr>
        <xdr:cNvPr id="16" name="AutoShape 14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6487775" y="14792325"/>
          <a:ext cx="1238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66</xdr:row>
      <xdr:rowOff>0</xdr:rowOff>
    </xdr:from>
    <xdr:to>
      <xdr:col>26</xdr:col>
      <xdr:colOff>123825</xdr:colOff>
      <xdr:row>66</xdr:row>
      <xdr:rowOff>142875</xdr:rowOff>
    </xdr:to>
    <xdr:sp macro="" textlink="">
      <xdr:nvSpPr>
        <xdr:cNvPr id="17" name="AutoShape 15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7097375" y="14992350"/>
          <a:ext cx="1238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65</xdr:row>
      <xdr:rowOff>0</xdr:rowOff>
    </xdr:from>
    <xdr:to>
      <xdr:col>26</xdr:col>
      <xdr:colOff>123825</xdr:colOff>
      <xdr:row>65</xdr:row>
      <xdr:rowOff>161925</xdr:rowOff>
    </xdr:to>
    <xdr:sp macro="" textlink="">
      <xdr:nvSpPr>
        <xdr:cNvPr id="18" name="AutoShape 16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7097375" y="14792325"/>
          <a:ext cx="1238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67</xdr:row>
      <xdr:rowOff>0</xdr:rowOff>
    </xdr:from>
    <xdr:to>
      <xdr:col>34</xdr:col>
      <xdr:colOff>123825</xdr:colOff>
      <xdr:row>68</xdr:row>
      <xdr:rowOff>19049</xdr:rowOff>
    </xdr:to>
    <xdr:sp macro="" textlink="">
      <xdr:nvSpPr>
        <xdr:cNvPr id="19" name="AutoShape 17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21974175" y="15192375"/>
          <a:ext cx="123825" cy="209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35</xdr:col>
      <xdr:colOff>0</xdr:colOff>
      <xdr:row>66</xdr:row>
      <xdr:rowOff>0</xdr:rowOff>
    </xdr:from>
    <xdr:to>
      <xdr:col>35</xdr:col>
      <xdr:colOff>161925</xdr:colOff>
      <xdr:row>66</xdr:row>
      <xdr:rowOff>161925</xdr:rowOff>
    </xdr:to>
    <xdr:sp macro="" textlink="">
      <xdr:nvSpPr>
        <xdr:cNvPr id="20" name="AutoShape 18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22583775" y="149923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66</xdr:row>
      <xdr:rowOff>0</xdr:rowOff>
    </xdr:from>
    <xdr:to>
      <xdr:col>36</xdr:col>
      <xdr:colOff>161925</xdr:colOff>
      <xdr:row>66</xdr:row>
      <xdr:rowOff>180975</xdr:rowOff>
    </xdr:to>
    <xdr:sp macro="" textlink="">
      <xdr:nvSpPr>
        <xdr:cNvPr id="21" name="AutoShape 19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23193375" y="14992350"/>
          <a:ext cx="1619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37</xdr:col>
      <xdr:colOff>0</xdr:colOff>
      <xdr:row>66</xdr:row>
      <xdr:rowOff>0</xdr:rowOff>
    </xdr:from>
    <xdr:to>
      <xdr:col>37</xdr:col>
      <xdr:colOff>180975</xdr:colOff>
      <xdr:row>66</xdr:row>
      <xdr:rowOff>161925</xdr:rowOff>
    </xdr:to>
    <xdr:sp macro="" textlink="">
      <xdr:nvSpPr>
        <xdr:cNvPr id="22" name="AutoShape 20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23802975" y="14992350"/>
          <a:ext cx="1809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0</xdr:colOff>
      <xdr:row>66</xdr:row>
      <xdr:rowOff>0</xdr:rowOff>
    </xdr:from>
    <xdr:to>
      <xdr:col>38</xdr:col>
      <xdr:colOff>123825</xdr:colOff>
      <xdr:row>66</xdr:row>
      <xdr:rowOff>161925</xdr:rowOff>
    </xdr:to>
    <xdr:sp macro="" textlink="">
      <xdr:nvSpPr>
        <xdr:cNvPr id="23" name="AutoShape 21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24412575" y="14992350"/>
          <a:ext cx="1238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190499</xdr:colOff>
      <xdr:row>3</xdr:row>
      <xdr:rowOff>134471</xdr:rowOff>
    </xdr:from>
    <xdr:to>
      <xdr:col>8</xdr:col>
      <xdr:colOff>563095</xdr:colOff>
      <xdr:row>13</xdr:row>
      <xdr:rowOff>153861</xdr:rowOff>
    </xdr:to>
    <xdr:pic>
      <xdr:nvPicPr>
        <xdr:cNvPr id="24" name="Рисунок 11" descr="http://localhost:20583/di?guid=C3D5DCCA-EEDA-49BC-8C41-6D85EE230622&amp;source=quoting">
          <a:extLst>
            <a:ext uri="{FF2B5EF4-FFF2-40B4-BE49-F238E27FC236}">
              <a16:creationId xmlns:a16="http://schemas.microsoft.com/office/drawing/2014/main" xmlns="" id="{00000000-0008-0000-0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4" y="734546"/>
          <a:ext cx="2963396" cy="192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466725</xdr:colOff>
      <xdr:row>23</xdr:row>
      <xdr:rowOff>162465</xdr:rowOff>
    </xdr:from>
    <xdr:to>
      <xdr:col>18</xdr:col>
      <xdr:colOff>467802</xdr:colOff>
      <xdr:row>36</xdr:row>
      <xdr:rowOff>667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xmlns="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5134515"/>
          <a:ext cx="3734877" cy="2314702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466724</xdr:colOff>
      <xdr:row>36</xdr:row>
      <xdr:rowOff>29539</xdr:rowOff>
    </xdr:from>
    <xdr:to>
      <xdr:col>18</xdr:col>
      <xdr:colOff>512149</xdr:colOff>
      <xdr:row>48</xdr:row>
      <xdr:rowOff>85725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xmlns="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499" y="8306764"/>
          <a:ext cx="3779225" cy="23421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200025</xdr:colOff>
      <xdr:row>9</xdr:row>
      <xdr:rowOff>38100</xdr:rowOff>
    </xdr:to>
    <xdr:sp macro="" textlink="">
      <xdr:nvSpPr>
        <xdr:cNvPr id="52" name="AutoShape 1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743075"/>
          <a:ext cx="2000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</xdr:colOff>
      <xdr:row>11</xdr:row>
      <xdr:rowOff>142875</xdr:rowOff>
    </xdr:to>
    <xdr:sp macro="" textlink="">
      <xdr:nvSpPr>
        <xdr:cNvPr id="53" name="AutoShape 2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3145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238125</xdr:colOff>
      <xdr:row>12</xdr:row>
      <xdr:rowOff>39781</xdr:rowOff>
    </xdr:to>
    <xdr:sp macro="" textlink="">
      <xdr:nvSpPr>
        <xdr:cNvPr id="54" name="AutoShape 4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314575"/>
          <a:ext cx="238125" cy="230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200025</xdr:colOff>
      <xdr:row>9</xdr:row>
      <xdr:rowOff>38100</xdr:rowOff>
    </xdr:to>
    <xdr:sp macro="" textlink="">
      <xdr:nvSpPr>
        <xdr:cNvPr id="55" name="AutoShape 1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895350" y="1743075"/>
          <a:ext cx="2000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sp macro="" textlink="">
      <xdr:nvSpPr>
        <xdr:cNvPr id="56" name="AutoShape 2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895350" y="23145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238125</xdr:colOff>
      <xdr:row>12</xdr:row>
      <xdr:rowOff>39781</xdr:rowOff>
    </xdr:to>
    <xdr:sp macro="" textlink="">
      <xdr:nvSpPr>
        <xdr:cNvPr id="57" name="AutoShape 4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895350" y="2314575"/>
          <a:ext cx="238125" cy="230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180975</xdr:colOff>
      <xdr:row>50</xdr:row>
      <xdr:rowOff>45894</xdr:rowOff>
    </xdr:to>
    <xdr:sp macro="" textlink="">
      <xdr:nvSpPr>
        <xdr:cNvPr id="58" name="AutoShape 8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6581775" y="11591925"/>
          <a:ext cx="180975" cy="245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123825</xdr:colOff>
      <xdr:row>49</xdr:row>
      <xdr:rowOff>180975</xdr:rowOff>
    </xdr:to>
    <xdr:sp macro="" textlink="">
      <xdr:nvSpPr>
        <xdr:cNvPr id="59" name="AutoShape 9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7191375" y="11591925"/>
          <a:ext cx="1238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123825</xdr:colOff>
      <xdr:row>63</xdr:row>
      <xdr:rowOff>152400</xdr:rowOff>
    </xdr:to>
    <xdr:sp macro="" textlink="">
      <xdr:nvSpPr>
        <xdr:cNvPr id="60" name="AutoShape 11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6581775" y="14392275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49</xdr:row>
      <xdr:rowOff>0</xdr:rowOff>
    </xdr:from>
    <xdr:ext cx="180975" cy="228600"/>
    <xdr:sp macro="" textlink="">
      <xdr:nvSpPr>
        <xdr:cNvPr id="61" name="AutoShape 8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1610975" y="11591925"/>
          <a:ext cx="18097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49</xdr:row>
      <xdr:rowOff>0</xdr:rowOff>
    </xdr:from>
    <xdr:ext cx="123825" cy="180975"/>
    <xdr:sp macro="" textlink="">
      <xdr:nvSpPr>
        <xdr:cNvPr id="62" name="AutoShape 9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2220575" y="11591925"/>
          <a:ext cx="1238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51</xdr:row>
      <xdr:rowOff>0</xdr:rowOff>
    </xdr:from>
    <xdr:ext cx="123825" cy="152400"/>
    <xdr:sp macro="" textlink="">
      <xdr:nvSpPr>
        <xdr:cNvPr id="63" name="AutoShape 10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1610975" y="11991975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63</xdr:row>
      <xdr:rowOff>0</xdr:rowOff>
    </xdr:from>
    <xdr:ext cx="123825" cy="152400"/>
    <xdr:sp macro="" textlink="">
      <xdr:nvSpPr>
        <xdr:cNvPr id="64" name="AutoShape 11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1610975" y="14392275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17</xdr:col>
      <xdr:colOff>0</xdr:colOff>
      <xdr:row>63</xdr:row>
      <xdr:rowOff>0</xdr:rowOff>
    </xdr:from>
    <xdr:to>
      <xdr:col>17</xdr:col>
      <xdr:colOff>123825</xdr:colOff>
      <xdr:row>63</xdr:row>
      <xdr:rowOff>152400</xdr:rowOff>
    </xdr:to>
    <xdr:sp macro="" textlink="">
      <xdr:nvSpPr>
        <xdr:cNvPr id="65" name="AutoShape 13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1610975" y="14392275"/>
          <a:ext cx="1238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65</xdr:row>
      <xdr:rowOff>0</xdr:rowOff>
    </xdr:from>
    <xdr:to>
      <xdr:col>25</xdr:col>
      <xdr:colOff>123825</xdr:colOff>
      <xdr:row>65</xdr:row>
      <xdr:rowOff>161925</xdr:rowOff>
    </xdr:to>
    <xdr:sp macro="" textlink="">
      <xdr:nvSpPr>
        <xdr:cNvPr id="66" name="AutoShape 14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6487775" y="14792325"/>
          <a:ext cx="1238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66</xdr:row>
      <xdr:rowOff>0</xdr:rowOff>
    </xdr:from>
    <xdr:to>
      <xdr:col>26</xdr:col>
      <xdr:colOff>123825</xdr:colOff>
      <xdr:row>66</xdr:row>
      <xdr:rowOff>142875</xdr:rowOff>
    </xdr:to>
    <xdr:sp macro="" textlink="">
      <xdr:nvSpPr>
        <xdr:cNvPr id="67" name="AutoShape 15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7097375" y="14992350"/>
          <a:ext cx="1238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65</xdr:row>
      <xdr:rowOff>0</xdr:rowOff>
    </xdr:from>
    <xdr:to>
      <xdr:col>26</xdr:col>
      <xdr:colOff>123825</xdr:colOff>
      <xdr:row>65</xdr:row>
      <xdr:rowOff>161925</xdr:rowOff>
    </xdr:to>
    <xdr:sp macro="" textlink="">
      <xdr:nvSpPr>
        <xdr:cNvPr id="68" name="AutoShape 16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7097375" y="14792325"/>
          <a:ext cx="1238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34</xdr:col>
      <xdr:colOff>0</xdr:colOff>
      <xdr:row>67</xdr:row>
      <xdr:rowOff>0</xdr:rowOff>
    </xdr:from>
    <xdr:to>
      <xdr:col>34</xdr:col>
      <xdr:colOff>123825</xdr:colOff>
      <xdr:row>68</xdr:row>
      <xdr:rowOff>9524</xdr:rowOff>
    </xdr:to>
    <xdr:sp macro="" textlink="">
      <xdr:nvSpPr>
        <xdr:cNvPr id="69" name="AutoShape 17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21974175" y="15192375"/>
          <a:ext cx="123825" cy="209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35</xdr:col>
      <xdr:colOff>0</xdr:colOff>
      <xdr:row>66</xdr:row>
      <xdr:rowOff>0</xdr:rowOff>
    </xdr:from>
    <xdr:to>
      <xdr:col>35</xdr:col>
      <xdr:colOff>161925</xdr:colOff>
      <xdr:row>66</xdr:row>
      <xdr:rowOff>161925</xdr:rowOff>
    </xdr:to>
    <xdr:sp macro="" textlink="">
      <xdr:nvSpPr>
        <xdr:cNvPr id="70" name="AutoShape 18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22583775" y="149923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0</xdr:colOff>
      <xdr:row>66</xdr:row>
      <xdr:rowOff>0</xdr:rowOff>
    </xdr:from>
    <xdr:to>
      <xdr:col>36</xdr:col>
      <xdr:colOff>161925</xdr:colOff>
      <xdr:row>66</xdr:row>
      <xdr:rowOff>180975</xdr:rowOff>
    </xdr:to>
    <xdr:sp macro="" textlink="">
      <xdr:nvSpPr>
        <xdr:cNvPr id="71" name="AutoShape 19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23193375" y="14992350"/>
          <a:ext cx="1619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37</xdr:col>
      <xdr:colOff>0</xdr:colOff>
      <xdr:row>66</xdr:row>
      <xdr:rowOff>0</xdr:rowOff>
    </xdr:from>
    <xdr:to>
      <xdr:col>37</xdr:col>
      <xdr:colOff>180975</xdr:colOff>
      <xdr:row>66</xdr:row>
      <xdr:rowOff>161925</xdr:rowOff>
    </xdr:to>
    <xdr:sp macro="" textlink="">
      <xdr:nvSpPr>
        <xdr:cNvPr id="72" name="AutoShape 20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23802975" y="14992350"/>
          <a:ext cx="18097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0</xdr:colOff>
      <xdr:row>66</xdr:row>
      <xdr:rowOff>0</xdr:rowOff>
    </xdr:from>
    <xdr:to>
      <xdr:col>38</xdr:col>
      <xdr:colOff>123825</xdr:colOff>
      <xdr:row>66</xdr:row>
      <xdr:rowOff>161925</xdr:rowOff>
    </xdr:to>
    <xdr:sp macro="" textlink="">
      <xdr:nvSpPr>
        <xdr:cNvPr id="73" name="AutoShape 21" descr="СП 20.13330.2011 Нагрузки и воздействия. Актуализированная редакция СНиП 2.01.07-85*">
          <a:extLst>
            <a:ext uri="{FF2B5EF4-FFF2-40B4-BE49-F238E27FC236}">
              <a16:creationId xmlns:a16="http://schemas.microsoft.com/office/drawing/2014/main" xmlns="" id="{00000000-0008-0000-03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24412575" y="14992350"/>
          <a:ext cx="1238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190499</xdr:colOff>
      <xdr:row>3</xdr:row>
      <xdr:rowOff>134471</xdr:rowOff>
    </xdr:from>
    <xdr:to>
      <xdr:col>8</xdr:col>
      <xdr:colOff>563095</xdr:colOff>
      <xdr:row>10</xdr:row>
      <xdr:rowOff>182436</xdr:rowOff>
    </xdr:to>
    <xdr:pic>
      <xdr:nvPicPr>
        <xdr:cNvPr id="74" name="Рисунок 11" descr="http://localhost:20583/di?guid=C3D5DCCA-EEDA-49BC-8C41-6D85EE230622&amp;source=quoting">
          <a:extLst>
            <a:ext uri="{FF2B5EF4-FFF2-40B4-BE49-F238E27FC236}">
              <a16:creationId xmlns:a16="http://schemas.microsoft.com/office/drawing/2014/main" xmlns="" id="{00000000-0008-0000-03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4" y="734546"/>
          <a:ext cx="2963396" cy="192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466725</xdr:colOff>
      <xdr:row>23</xdr:row>
      <xdr:rowOff>162465</xdr:rowOff>
    </xdr:from>
    <xdr:to>
      <xdr:col>18</xdr:col>
      <xdr:colOff>467802</xdr:colOff>
      <xdr:row>31</xdr:row>
      <xdr:rowOff>153067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xmlns="" id="{00000000-0008-0000-0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5134515"/>
          <a:ext cx="3734877" cy="2314702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466724</xdr:colOff>
      <xdr:row>36</xdr:row>
      <xdr:rowOff>29539</xdr:rowOff>
    </xdr:from>
    <xdr:to>
      <xdr:col>18</xdr:col>
      <xdr:colOff>512149</xdr:colOff>
      <xdr:row>44</xdr:row>
      <xdr:rowOff>47625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xmlns="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499" y="8306764"/>
          <a:ext cx="3779225" cy="23421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26</xdr:row>
      <xdr:rowOff>38100</xdr:rowOff>
    </xdr:from>
    <xdr:to>
      <xdr:col>16</xdr:col>
      <xdr:colOff>374374</xdr:colOff>
      <xdr:row>42</xdr:row>
      <xdr:rowOff>123825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9850" y="6324600"/>
          <a:ext cx="4632049" cy="313372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571501</xdr:colOff>
      <xdr:row>13</xdr:row>
      <xdr:rowOff>28575</xdr:rowOff>
    </xdr:from>
    <xdr:to>
      <xdr:col>17</xdr:col>
      <xdr:colOff>33831</xdr:colOff>
      <xdr:row>26</xdr:row>
      <xdr:rowOff>95250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6" y="3648075"/>
          <a:ext cx="4948730" cy="25431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485775</xdr:rowOff>
    </xdr:from>
    <xdr:to>
      <xdr:col>15</xdr:col>
      <xdr:colOff>219075</xdr:colOff>
      <xdr:row>13</xdr:row>
      <xdr:rowOff>145178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2771775"/>
          <a:ext cx="3876675" cy="7166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225136</xdr:colOff>
      <xdr:row>14</xdr:row>
      <xdr:rowOff>83126</xdr:rowOff>
    </xdr:from>
    <xdr:to>
      <xdr:col>40</xdr:col>
      <xdr:colOff>225136</xdr:colOff>
      <xdr:row>29</xdr:row>
      <xdr:rowOff>45027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515" b="37111"/>
        <a:stretch/>
      </xdr:blipFill>
      <xdr:spPr bwMode="auto">
        <a:xfrm>
          <a:off x="225136" y="2750126"/>
          <a:ext cx="24245455" cy="2819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467591</xdr:colOff>
      <xdr:row>15</xdr:row>
      <xdr:rowOff>138544</xdr:rowOff>
    </xdr:from>
    <xdr:ext cx="1143000" cy="59330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 txBox="1"/>
      </xdr:nvSpPr>
      <xdr:spPr>
        <a:xfrm>
          <a:off x="2286000" y="2996044"/>
          <a:ext cx="1143000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3200"/>
            <a:t>1</a:t>
          </a:r>
        </a:p>
      </xdr:txBody>
    </xdr:sp>
    <xdr:clientData/>
  </xdr:oneCellAnchor>
  <xdr:oneCellAnchor>
    <xdr:from>
      <xdr:col>11</xdr:col>
      <xdr:colOff>519545</xdr:colOff>
      <xdr:row>15</xdr:row>
      <xdr:rowOff>31171</xdr:rowOff>
    </xdr:from>
    <xdr:ext cx="1143000" cy="59330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SpPr txBox="1"/>
      </xdr:nvSpPr>
      <xdr:spPr>
        <a:xfrm>
          <a:off x="7187045" y="2888671"/>
          <a:ext cx="1143000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3200"/>
            <a:t>2</a:t>
          </a:r>
        </a:p>
      </xdr:txBody>
    </xdr:sp>
    <xdr:clientData/>
  </xdr:oneCellAnchor>
  <xdr:oneCellAnchor>
    <xdr:from>
      <xdr:col>19</xdr:col>
      <xdr:colOff>446808</xdr:colOff>
      <xdr:row>15</xdr:row>
      <xdr:rowOff>10390</xdr:rowOff>
    </xdr:from>
    <xdr:ext cx="1143000" cy="59330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SpPr txBox="1"/>
      </xdr:nvSpPr>
      <xdr:spPr>
        <a:xfrm>
          <a:off x="11963399" y="2867890"/>
          <a:ext cx="1143000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3200"/>
            <a:t>3</a:t>
          </a:r>
        </a:p>
      </xdr:txBody>
    </xdr:sp>
    <xdr:clientData/>
  </xdr:oneCellAnchor>
  <xdr:oneCellAnchor>
    <xdr:from>
      <xdr:col>27</xdr:col>
      <xdr:colOff>304799</xdr:colOff>
      <xdr:row>15</xdr:row>
      <xdr:rowOff>24244</xdr:rowOff>
    </xdr:from>
    <xdr:ext cx="1143000" cy="59330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 txBox="1"/>
      </xdr:nvSpPr>
      <xdr:spPr>
        <a:xfrm>
          <a:off x="16670481" y="2881744"/>
          <a:ext cx="1143000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3200"/>
            <a:t>4</a:t>
          </a:r>
        </a:p>
      </xdr:txBody>
    </xdr:sp>
    <xdr:clientData/>
  </xdr:oneCellAnchor>
  <xdr:oneCellAnchor>
    <xdr:from>
      <xdr:col>35</xdr:col>
      <xdr:colOff>474518</xdr:colOff>
      <xdr:row>15</xdr:row>
      <xdr:rowOff>20780</xdr:rowOff>
    </xdr:from>
    <xdr:ext cx="1143000" cy="59330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 txBox="1"/>
      </xdr:nvSpPr>
      <xdr:spPr>
        <a:xfrm>
          <a:off x="21689291" y="2878280"/>
          <a:ext cx="1143000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3200"/>
            <a:t>5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055;&#1088;&#1077;&#1076;&#1074;&#1072;&#1088;&#1080;&#1090;&#1077;&#1083;&#1100;&#1085;&#1099;&#1077;%20&#1088;&#1072;&#1089;&#1095;&#1077;&#1090;&#1099;\&#1050;&#1072;&#1083;&#1100;&#1082;&#1091;&#1083;&#1103;&#1090;&#1086;&#1088;&#1099;\&#1058;&#1072;&#1073;&#1083;&#1080;&#1094;&#1072;%20&#1085;&#1072;&#1075;&#1088;&#1091;&#1079;&#1086;&#1082;%20&#1087;&#1086;%20&#1075;&#1086;&#1088;&#1086;&#1076;&#1072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 20"/>
      <sheetName val="СП РК EN"/>
    </sheetNames>
    <sheetDataSet>
      <sheetData sheetId="0">
        <row r="3">
          <cell r="B3" t="str">
            <v>Альметьевск</v>
          </cell>
          <cell r="G3">
            <v>0.3</v>
          </cell>
        </row>
        <row r="4">
          <cell r="B4" t="str">
            <v>Ангарск</v>
          </cell>
          <cell r="G4">
            <v>0.38</v>
          </cell>
        </row>
        <row r="5">
          <cell r="B5" t="str">
            <v>Арзамас</v>
          </cell>
          <cell r="G5">
            <v>0.3</v>
          </cell>
        </row>
        <row r="6">
          <cell r="B6" t="str">
            <v>Армавир</v>
          </cell>
          <cell r="G6" t="e">
            <v>#N/A</v>
          </cell>
        </row>
        <row r="7">
          <cell r="B7" t="str">
            <v>Архангельск</v>
          </cell>
          <cell r="G7">
            <v>0.3</v>
          </cell>
        </row>
        <row r="8">
          <cell r="B8" t="str">
            <v>Астрахань</v>
          </cell>
          <cell r="G8">
            <v>0.38</v>
          </cell>
        </row>
        <row r="9">
          <cell r="B9" t="str">
            <v>Ачинск</v>
          </cell>
          <cell r="G9">
            <v>0.38</v>
          </cell>
        </row>
        <row r="10">
          <cell r="B10" t="str">
            <v>Барнаул</v>
          </cell>
          <cell r="G10">
            <v>0.38</v>
          </cell>
        </row>
        <row r="11">
          <cell r="B11" t="str">
            <v>Белгород</v>
          </cell>
          <cell r="G11">
            <v>0.3</v>
          </cell>
        </row>
        <row r="12">
          <cell r="B12" t="str">
            <v>Бердск</v>
          </cell>
          <cell r="G12">
            <v>0.38</v>
          </cell>
        </row>
        <row r="13">
          <cell r="B13" t="str">
            <v>Березники</v>
          </cell>
          <cell r="G13">
            <v>0.23</v>
          </cell>
        </row>
        <row r="14">
          <cell r="B14" t="str">
            <v>Бийск</v>
          </cell>
          <cell r="G14">
            <v>0.23</v>
          </cell>
        </row>
        <row r="15">
          <cell r="B15" t="str">
            <v>Биробиджан</v>
          </cell>
          <cell r="G15">
            <v>0.38</v>
          </cell>
        </row>
        <row r="16">
          <cell r="B16" t="str">
            <v>Благовещенск</v>
          </cell>
          <cell r="G16">
            <v>0.3</v>
          </cell>
        </row>
        <row r="17">
          <cell r="B17" t="str">
            <v>Братск</v>
          </cell>
          <cell r="G17">
            <v>0.3</v>
          </cell>
        </row>
        <row r="18">
          <cell r="B18" t="str">
            <v>Брянск</v>
          </cell>
          <cell r="G18">
            <v>0.23</v>
          </cell>
        </row>
        <row r="19">
          <cell r="B19" t="str">
            <v>Бугульма</v>
          </cell>
          <cell r="G19" t="e">
            <v>#N/A</v>
          </cell>
        </row>
        <row r="20">
          <cell r="B20" t="str">
            <v>Бузулук</v>
          </cell>
          <cell r="G20" t="e">
            <v>#N/A</v>
          </cell>
        </row>
        <row r="21">
          <cell r="B21" t="str">
            <v>Великие Луки</v>
          </cell>
          <cell r="G21">
            <v>0.23</v>
          </cell>
        </row>
        <row r="22">
          <cell r="B22" t="str">
            <v>Великий Новгород</v>
          </cell>
          <cell r="G22">
            <v>0.23</v>
          </cell>
        </row>
        <row r="23">
          <cell r="B23" t="str">
            <v>Владикавказ</v>
          </cell>
          <cell r="G23">
            <v>0.48</v>
          </cell>
        </row>
        <row r="24">
          <cell r="B24" t="str">
            <v>Владимир</v>
          </cell>
          <cell r="G24">
            <v>0.23</v>
          </cell>
        </row>
        <row r="25">
          <cell r="B25" t="str">
            <v>Волгоград</v>
          </cell>
          <cell r="G25">
            <v>0.38</v>
          </cell>
        </row>
        <row r="26">
          <cell r="B26" t="str">
            <v>Волгодонск</v>
          </cell>
          <cell r="G26">
            <v>0.38</v>
          </cell>
        </row>
        <row r="27">
          <cell r="B27" t="str">
            <v>Волжский</v>
          </cell>
          <cell r="G27">
            <v>0.38</v>
          </cell>
        </row>
        <row r="28">
          <cell r="B28" t="str">
            <v>Вологда</v>
          </cell>
          <cell r="G28">
            <v>0.23</v>
          </cell>
        </row>
        <row r="29">
          <cell r="B29" t="str">
            <v>Воронеж</v>
          </cell>
          <cell r="G29">
            <v>0.3</v>
          </cell>
        </row>
        <row r="30">
          <cell r="B30" t="str">
            <v>Воткинск</v>
          </cell>
          <cell r="G30">
            <v>0.23</v>
          </cell>
        </row>
        <row r="31">
          <cell r="B31" t="str">
            <v>Выборг</v>
          </cell>
          <cell r="G31" t="e">
            <v>#N/A</v>
          </cell>
        </row>
        <row r="32">
          <cell r="B32" t="str">
            <v>Гатчина</v>
          </cell>
          <cell r="G32" t="e">
            <v>#N/A</v>
          </cell>
        </row>
        <row r="33">
          <cell r="B33" t="str">
            <v>Глазов</v>
          </cell>
          <cell r="G33" t="e">
            <v>#N/A</v>
          </cell>
        </row>
        <row r="34">
          <cell r="B34" t="str">
            <v>Горно-Алтайск</v>
          </cell>
          <cell r="G34">
            <v>0.38</v>
          </cell>
        </row>
        <row r="35">
          <cell r="B35" t="str">
            <v>Грозный</v>
          </cell>
          <cell r="G35">
            <v>0.48</v>
          </cell>
        </row>
        <row r="36">
          <cell r="B36" t="str">
            <v>Димитровград</v>
          </cell>
          <cell r="G36">
            <v>0.3</v>
          </cell>
        </row>
        <row r="37">
          <cell r="B37" t="str">
            <v>Дмитров</v>
          </cell>
          <cell r="G37" t="e">
            <v>#N/A</v>
          </cell>
        </row>
        <row r="38">
          <cell r="B38" t="str">
            <v>Евпатория</v>
          </cell>
          <cell r="G38" t="e">
            <v>#N/A</v>
          </cell>
        </row>
        <row r="39">
          <cell r="B39" t="str">
            <v>Екатеринбург</v>
          </cell>
          <cell r="G39">
            <v>0.23</v>
          </cell>
        </row>
        <row r="40">
          <cell r="B40" t="str">
            <v>Елец</v>
          </cell>
          <cell r="G40">
            <v>0.3</v>
          </cell>
        </row>
        <row r="41">
          <cell r="B41" t="str">
            <v>Ессентуки</v>
          </cell>
          <cell r="G41">
            <v>0.48</v>
          </cell>
        </row>
        <row r="42">
          <cell r="B42" t="str">
            <v>Железногорск</v>
          </cell>
          <cell r="G42" t="e">
            <v>#N/A</v>
          </cell>
        </row>
        <row r="43">
          <cell r="B43" t="str">
            <v>Златоуст</v>
          </cell>
          <cell r="G43">
            <v>0.3</v>
          </cell>
        </row>
        <row r="44">
          <cell r="B44" t="str">
            <v>Иваново</v>
          </cell>
          <cell r="G44">
            <v>0.23</v>
          </cell>
        </row>
        <row r="45">
          <cell r="B45" t="str">
            <v>Ижевск</v>
          </cell>
          <cell r="G45">
            <v>0.23</v>
          </cell>
        </row>
        <row r="46">
          <cell r="B46" t="str">
            <v>Йошкар-Ола</v>
          </cell>
          <cell r="G46">
            <v>0.23</v>
          </cell>
        </row>
        <row r="47">
          <cell r="B47" t="str">
            <v>Иркутск</v>
          </cell>
          <cell r="G47">
            <v>0.38</v>
          </cell>
        </row>
        <row r="48">
          <cell r="B48" t="str">
            <v>Казань</v>
          </cell>
          <cell r="G48">
            <v>0.3</v>
          </cell>
        </row>
        <row r="49">
          <cell r="B49" t="str">
            <v>Калининград</v>
          </cell>
          <cell r="G49">
            <v>0.3</v>
          </cell>
        </row>
        <row r="50">
          <cell r="B50" t="str">
            <v>Калуга</v>
          </cell>
          <cell r="G50">
            <v>0.23</v>
          </cell>
        </row>
        <row r="51">
          <cell r="B51" t="str">
            <v>Каменск-Уральский</v>
          </cell>
          <cell r="G51">
            <v>0.3</v>
          </cell>
        </row>
        <row r="52">
          <cell r="B52" t="str">
            <v>Камышин</v>
          </cell>
          <cell r="G52">
            <v>0.3</v>
          </cell>
        </row>
        <row r="53">
          <cell r="B53" t="str">
            <v>Канск</v>
          </cell>
          <cell r="G53" t="e">
            <v>#N/A</v>
          </cell>
        </row>
        <row r="54">
          <cell r="B54" t="str">
            <v>Каспийск</v>
          </cell>
          <cell r="G54">
            <v>0.6</v>
          </cell>
        </row>
        <row r="55">
          <cell r="B55" t="str">
            <v>Кемерово</v>
          </cell>
          <cell r="G55">
            <v>0.38</v>
          </cell>
        </row>
        <row r="56">
          <cell r="B56" t="str">
            <v>Кинешма</v>
          </cell>
          <cell r="G56" t="e">
            <v>#N/A</v>
          </cell>
        </row>
        <row r="57">
          <cell r="B57" t="str">
            <v>Киров</v>
          </cell>
          <cell r="G57">
            <v>0.23</v>
          </cell>
        </row>
        <row r="58">
          <cell r="B58" t="str">
            <v>Киселевск</v>
          </cell>
          <cell r="G58">
            <v>0.3</v>
          </cell>
        </row>
        <row r="59">
          <cell r="B59" t="str">
            <v>Кисловодск</v>
          </cell>
          <cell r="G59" t="e">
            <v>#N/A</v>
          </cell>
        </row>
        <row r="60">
          <cell r="B60" t="str">
            <v>Клин</v>
          </cell>
          <cell r="G60">
            <v>0.23</v>
          </cell>
        </row>
        <row r="61">
          <cell r="B61" t="str">
            <v>Ковров</v>
          </cell>
          <cell r="G61" t="e">
            <v>#N/A</v>
          </cell>
        </row>
        <row r="62">
          <cell r="B62" t="str">
            <v>Коломна</v>
          </cell>
          <cell r="G62">
            <v>0.23</v>
          </cell>
        </row>
        <row r="63">
          <cell r="B63" t="str">
            <v>Комсомольск-на-Амуре</v>
          </cell>
          <cell r="G63">
            <v>0.38</v>
          </cell>
        </row>
        <row r="64">
          <cell r="B64" t="str">
            <v>Копейск</v>
          </cell>
          <cell r="G64">
            <v>0.3</v>
          </cell>
        </row>
        <row r="65">
          <cell r="B65" t="str">
            <v>Кострома</v>
          </cell>
          <cell r="G65">
            <v>0.23</v>
          </cell>
        </row>
        <row r="66">
          <cell r="B66" t="str">
            <v>Краснодар</v>
          </cell>
          <cell r="G66">
            <v>0.48</v>
          </cell>
        </row>
        <row r="67">
          <cell r="B67" t="str">
            <v>Красноярск</v>
          </cell>
          <cell r="G67">
            <v>0.38</v>
          </cell>
        </row>
        <row r="68">
          <cell r="B68" t="str">
            <v>Кропоткин</v>
          </cell>
          <cell r="G68">
            <v>0.48</v>
          </cell>
        </row>
        <row r="69">
          <cell r="B69" t="str">
            <v>Кузнецк</v>
          </cell>
          <cell r="G69" t="e">
            <v>#N/A</v>
          </cell>
        </row>
        <row r="70">
          <cell r="B70" t="str">
            <v>Курган</v>
          </cell>
          <cell r="G70">
            <v>0.3</v>
          </cell>
        </row>
        <row r="71">
          <cell r="B71" t="str">
            <v>Курск</v>
          </cell>
          <cell r="G71">
            <v>0.3</v>
          </cell>
        </row>
        <row r="72">
          <cell r="B72" t="str">
            <v>Кызыл</v>
          </cell>
          <cell r="G72">
            <v>0.38</v>
          </cell>
        </row>
        <row r="73">
          <cell r="B73" t="str">
            <v>Липецк</v>
          </cell>
          <cell r="G73">
            <v>0.3</v>
          </cell>
        </row>
        <row r="74">
          <cell r="B74" t="str">
            <v>Магадан</v>
          </cell>
          <cell r="G74">
            <v>0.6</v>
          </cell>
        </row>
        <row r="75">
          <cell r="B75" t="str">
            <v>Магнитогорск</v>
          </cell>
          <cell r="G75">
            <v>0.3</v>
          </cell>
        </row>
        <row r="76">
          <cell r="B76" t="str">
            <v>Майкоп</v>
          </cell>
          <cell r="G76">
            <v>0.48</v>
          </cell>
        </row>
        <row r="77">
          <cell r="B77" t="str">
            <v>Махачкала</v>
          </cell>
          <cell r="G77">
            <v>0.6</v>
          </cell>
        </row>
        <row r="78">
          <cell r="B78" t="str">
            <v>Междуреченск</v>
          </cell>
          <cell r="G78" t="e">
            <v>#N/A</v>
          </cell>
        </row>
        <row r="79">
          <cell r="B79" t="str">
            <v>Миасс</v>
          </cell>
          <cell r="G79">
            <v>0.3</v>
          </cell>
        </row>
        <row r="80">
          <cell r="B80" t="str">
            <v>Мичуринск</v>
          </cell>
          <cell r="G80" t="e">
            <v>#N/A</v>
          </cell>
        </row>
        <row r="81">
          <cell r="B81" t="str">
            <v>Москва</v>
          </cell>
          <cell r="G81">
            <v>0.23</v>
          </cell>
        </row>
        <row r="82">
          <cell r="B82" t="str">
            <v>Мурманск</v>
          </cell>
          <cell r="G82">
            <v>0.48</v>
          </cell>
        </row>
        <row r="83">
          <cell r="B83" t="str">
            <v>Муром</v>
          </cell>
          <cell r="G83">
            <v>0.23</v>
          </cell>
        </row>
        <row r="84">
          <cell r="B84" t="str">
            <v>Набережные Челны</v>
          </cell>
          <cell r="G84">
            <v>0.3</v>
          </cell>
        </row>
        <row r="85">
          <cell r="B85" t="str">
            <v>Назрань</v>
          </cell>
          <cell r="G85">
            <v>0.48</v>
          </cell>
        </row>
        <row r="86">
          <cell r="B86" t="str">
            <v>Нальчик</v>
          </cell>
          <cell r="G86">
            <v>0.48</v>
          </cell>
        </row>
        <row r="87">
          <cell r="B87" t="str">
            <v>Невинномысск</v>
          </cell>
          <cell r="G87">
            <v>0.6</v>
          </cell>
        </row>
        <row r="88">
          <cell r="B88" t="str">
            <v>Нефтекамск</v>
          </cell>
          <cell r="G88">
            <v>0.3</v>
          </cell>
        </row>
        <row r="89">
          <cell r="B89" t="str">
            <v>Нефтеюганск</v>
          </cell>
          <cell r="G89">
            <v>0.23</v>
          </cell>
        </row>
        <row r="90">
          <cell r="B90" t="str">
            <v>Нижневартовск</v>
          </cell>
          <cell r="G90">
            <v>0.23</v>
          </cell>
        </row>
        <row r="91">
          <cell r="B91" t="str">
            <v>Нижнекамск</v>
          </cell>
          <cell r="G91">
            <v>0.3</v>
          </cell>
        </row>
        <row r="92">
          <cell r="B92" t="str">
            <v>Нижний Новгород</v>
          </cell>
          <cell r="G92">
            <v>0.23</v>
          </cell>
        </row>
        <row r="93">
          <cell r="B93" t="str">
            <v>Нижний Тагил</v>
          </cell>
          <cell r="G93">
            <v>0.23</v>
          </cell>
        </row>
        <row r="94">
          <cell r="B94" t="str">
            <v>Новокузнецк</v>
          </cell>
          <cell r="G94">
            <v>0.38</v>
          </cell>
        </row>
        <row r="95">
          <cell r="B95" t="str">
            <v>Новокуйбышевск</v>
          </cell>
          <cell r="G95">
            <v>0.38</v>
          </cell>
        </row>
        <row r="96">
          <cell r="B96" t="str">
            <v>Новомосковск</v>
          </cell>
          <cell r="G96">
            <v>0.23</v>
          </cell>
        </row>
        <row r="97">
          <cell r="B97" t="str">
            <v>Новосибирск</v>
          </cell>
          <cell r="G97">
            <v>0.38</v>
          </cell>
        </row>
        <row r="98">
          <cell r="B98" t="str">
            <v>Новочебоксарск</v>
          </cell>
          <cell r="G98">
            <v>0.3</v>
          </cell>
        </row>
        <row r="99">
          <cell r="B99" t="str">
            <v>Новочеркасск</v>
          </cell>
          <cell r="G99">
            <v>0.38</v>
          </cell>
        </row>
        <row r="100">
          <cell r="B100" t="str">
            <v>Новошахтинск</v>
          </cell>
          <cell r="G100">
            <v>0.38</v>
          </cell>
        </row>
        <row r="101">
          <cell r="B101" t="str">
            <v>Новый Уренгой</v>
          </cell>
          <cell r="G101">
            <v>0.38</v>
          </cell>
        </row>
        <row r="102">
          <cell r="B102" t="str">
            <v>Норильск</v>
          </cell>
          <cell r="G102">
            <v>0.48</v>
          </cell>
        </row>
        <row r="103">
          <cell r="B103" t="str">
            <v>Октябрьский</v>
          </cell>
          <cell r="G103" t="e">
            <v>#N/A</v>
          </cell>
        </row>
        <row r="104">
          <cell r="B104" t="str">
            <v>Омск</v>
          </cell>
          <cell r="G104">
            <v>0.3</v>
          </cell>
        </row>
        <row r="105">
          <cell r="B105" t="str">
            <v>Орел</v>
          </cell>
          <cell r="G105">
            <v>0.3</v>
          </cell>
        </row>
        <row r="106">
          <cell r="B106" t="str">
            <v>Оренбург</v>
          </cell>
          <cell r="G106">
            <v>0.38</v>
          </cell>
        </row>
        <row r="107">
          <cell r="B107" t="str">
            <v>Орск</v>
          </cell>
          <cell r="G107">
            <v>0.3</v>
          </cell>
        </row>
        <row r="108">
          <cell r="B108" t="str">
            <v>Пенза</v>
          </cell>
          <cell r="G108">
            <v>0.3</v>
          </cell>
        </row>
        <row r="109">
          <cell r="B109" t="str">
            <v>Первоуральск</v>
          </cell>
          <cell r="G109">
            <v>0.23</v>
          </cell>
        </row>
        <row r="110">
          <cell r="B110" t="str">
            <v>Пермь</v>
          </cell>
          <cell r="G110">
            <v>0.23</v>
          </cell>
        </row>
        <row r="111">
          <cell r="B111" t="str">
            <v>Петрозаводск</v>
          </cell>
          <cell r="G111">
            <v>0.6</v>
          </cell>
        </row>
        <row r="112">
          <cell r="B112" t="str">
            <v>Петропавловск-Камчатский</v>
          </cell>
          <cell r="G112">
            <v>0.85</v>
          </cell>
        </row>
        <row r="113">
          <cell r="B113" t="str">
            <v>Прокопьевск</v>
          </cell>
          <cell r="G113">
            <v>0.3</v>
          </cell>
        </row>
        <row r="114">
          <cell r="B114" t="str">
            <v>Псков</v>
          </cell>
          <cell r="G114">
            <v>0.23</v>
          </cell>
        </row>
        <row r="115">
          <cell r="B115" t="str">
            <v>Пушкин</v>
          </cell>
          <cell r="G115" t="e">
            <v>#N/A</v>
          </cell>
        </row>
        <row r="116">
          <cell r="B116" t="str">
            <v>Пятигорск</v>
          </cell>
          <cell r="G116">
            <v>0.48</v>
          </cell>
        </row>
        <row r="117">
          <cell r="B117" t="str">
            <v>Ростов-на-Дону</v>
          </cell>
          <cell r="G117">
            <v>0.38</v>
          </cell>
        </row>
        <row r="118">
          <cell r="B118" t="str">
            <v>Рубцовск</v>
          </cell>
          <cell r="G118">
            <v>0.38</v>
          </cell>
        </row>
        <row r="119">
          <cell r="B119" t="str">
            <v>Рыбинск</v>
          </cell>
          <cell r="G119">
            <v>0.23</v>
          </cell>
        </row>
        <row r="120">
          <cell r="B120" t="str">
            <v>Рязань</v>
          </cell>
          <cell r="G120">
            <v>0.23</v>
          </cell>
        </row>
        <row r="121">
          <cell r="B121" t="str">
            <v>Салават</v>
          </cell>
          <cell r="G121">
            <v>0.38</v>
          </cell>
        </row>
        <row r="122">
          <cell r="B122" t="str">
            <v>Самара</v>
          </cell>
          <cell r="G122">
            <v>0.38</v>
          </cell>
        </row>
        <row r="123">
          <cell r="B123" t="str">
            <v>Санкт-Петербург</v>
          </cell>
          <cell r="G123">
            <v>0.3</v>
          </cell>
        </row>
        <row r="124">
          <cell r="B124" t="str">
            <v>Саранск</v>
          </cell>
          <cell r="G124">
            <v>0.3</v>
          </cell>
        </row>
        <row r="125">
          <cell r="B125" t="str">
            <v>Сарапул</v>
          </cell>
          <cell r="G125" t="e">
            <v>#N/A</v>
          </cell>
        </row>
        <row r="126">
          <cell r="B126" t="str">
            <v>Саратов</v>
          </cell>
          <cell r="G126">
            <v>0.38</v>
          </cell>
        </row>
        <row r="127">
          <cell r="B127" t="str">
            <v>Саров</v>
          </cell>
          <cell r="G127">
            <v>0.23</v>
          </cell>
        </row>
        <row r="128">
          <cell r="B128" t="str">
            <v>Северодвинск</v>
          </cell>
          <cell r="G128">
            <v>0.3</v>
          </cell>
        </row>
        <row r="129">
          <cell r="B129" t="str">
            <v>Северск</v>
          </cell>
          <cell r="G129" t="e">
            <v>#N/A</v>
          </cell>
        </row>
        <row r="130">
          <cell r="B130" t="str">
            <v>Сергиев Посад</v>
          </cell>
          <cell r="G130">
            <v>0.23</v>
          </cell>
        </row>
        <row r="131">
          <cell r="B131" t="str">
            <v>Серов</v>
          </cell>
          <cell r="G131" t="e">
            <v>#N/A</v>
          </cell>
        </row>
        <row r="132">
          <cell r="B132" t="str">
            <v>Серпухов</v>
          </cell>
          <cell r="G132">
            <v>0.23</v>
          </cell>
        </row>
        <row r="133">
          <cell r="B133" t="str">
            <v>Смоленск</v>
          </cell>
          <cell r="G133">
            <v>0.23</v>
          </cell>
        </row>
        <row r="134">
          <cell r="B134" t="str">
            <v>Соликамск</v>
          </cell>
          <cell r="G134" t="e">
            <v>#N/A</v>
          </cell>
        </row>
        <row r="135">
          <cell r="B135" t="str">
            <v>Ставрополь</v>
          </cell>
          <cell r="G135">
            <v>0.6</v>
          </cell>
        </row>
        <row r="136">
          <cell r="B136" t="str">
            <v>Старый Оскол</v>
          </cell>
          <cell r="G136">
            <v>0.3</v>
          </cell>
        </row>
        <row r="137">
          <cell r="B137" t="str">
            <v>Стерлитамак</v>
          </cell>
          <cell r="G137">
            <v>0.38</v>
          </cell>
        </row>
        <row r="138">
          <cell r="B138" t="str">
            <v>Сургут</v>
          </cell>
          <cell r="G138">
            <v>0.23</v>
          </cell>
        </row>
        <row r="139">
          <cell r="B139" t="str">
            <v>Сызрань</v>
          </cell>
          <cell r="G139">
            <v>0.38</v>
          </cell>
        </row>
        <row r="140">
          <cell r="B140" t="str">
            <v>Сыктывкар</v>
          </cell>
          <cell r="G140">
            <v>0.23</v>
          </cell>
        </row>
        <row r="141">
          <cell r="B141" t="str">
            <v>Таганрог</v>
          </cell>
          <cell r="G141">
            <v>0.38</v>
          </cell>
        </row>
        <row r="142">
          <cell r="B142" t="str">
            <v>Тамбов</v>
          </cell>
          <cell r="G142">
            <v>0.3</v>
          </cell>
        </row>
        <row r="143">
          <cell r="B143" t="str">
            <v>Тверь</v>
          </cell>
          <cell r="G143">
            <v>0.23</v>
          </cell>
        </row>
        <row r="144">
          <cell r="B144" t="str">
            <v>Тобольск</v>
          </cell>
          <cell r="G144">
            <v>0.3</v>
          </cell>
        </row>
        <row r="145">
          <cell r="B145" t="str">
            <v>Тольятти</v>
          </cell>
          <cell r="G145">
            <v>0.38</v>
          </cell>
        </row>
        <row r="146">
          <cell r="B146" t="str">
            <v>Томск</v>
          </cell>
          <cell r="G146">
            <v>0.38</v>
          </cell>
        </row>
        <row r="147">
          <cell r="B147" t="str">
            <v>Тула</v>
          </cell>
          <cell r="G147">
            <v>0.23</v>
          </cell>
        </row>
        <row r="148">
          <cell r="B148" t="str">
            <v>Тюмень</v>
          </cell>
          <cell r="G148">
            <v>0.23</v>
          </cell>
        </row>
        <row r="149">
          <cell r="B149" t="str">
            <v>Улан-Уде</v>
          </cell>
          <cell r="G149">
            <v>0.38</v>
          </cell>
        </row>
        <row r="150">
          <cell r="B150" t="str">
            <v>Ульяновск</v>
          </cell>
          <cell r="G150">
            <v>0.3</v>
          </cell>
        </row>
        <row r="151">
          <cell r="B151" t="str">
            <v>Уссурийск</v>
          </cell>
          <cell r="G151">
            <v>0.38</v>
          </cell>
        </row>
        <row r="152">
          <cell r="B152" t="str">
            <v>Усть-Илимск</v>
          </cell>
          <cell r="G152">
            <v>0.3</v>
          </cell>
        </row>
        <row r="153">
          <cell r="B153" t="str">
            <v>Уфа</v>
          </cell>
          <cell r="G153">
            <v>0.3</v>
          </cell>
        </row>
        <row r="154">
          <cell r="B154" t="str">
            <v>Ухта</v>
          </cell>
          <cell r="G154">
            <v>0.3</v>
          </cell>
        </row>
        <row r="155">
          <cell r="B155" t="str">
            <v>Хабаровск</v>
          </cell>
          <cell r="G155">
            <v>0.38</v>
          </cell>
        </row>
        <row r="156">
          <cell r="B156" t="str">
            <v>Ханты-Мансийск</v>
          </cell>
          <cell r="G156">
            <v>0.23</v>
          </cell>
        </row>
        <row r="157">
          <cell r="B157" t="str">
            <v>Хасавюрт</v>
          </cell>
          <cell r="G157">
            <v>0.48</v>
          </cell>
        </row>
        <row r="158">
          <cell r="B158" t="str">
            <v>Чайковский</v>
          </cell>
          <cell r="G158" t="e">
            <v>#N/A</v>
          </cell>
        </row>
        <row r="159">
          <cell r="B159" t="str">
            <v>Чебоксары</v>
          </cell>
          <cell r="G159">
            <v>0.23</v>
          </cell>
        </row>
        <row r="160">
          <cell r="B160" t="str">
            <v>Челябинск</v>
          </cell>
          <cell r="G160">
            <v>0.3</v>
          </cell>
        </row>
        <row r="161">
          <cell r="B161" t="str">
            <v>Череповец</v>
          </cell>
          <cell r="G161">
            <v>0.23</v>
          </cell>
        </row>
        <row r="162">
          <cell r="B162" t="str">
            <v>Черкесск</v>
          </cell>
          <cell r="G162" t="e">
            <v>#N/A</v>
          </cell>
        </row>
        <row r="163">
          <cell r="B163" t="str">
            <v>Чита</v>
          </cell>
          <cell r="G163">
            <v>0.3</v>
          </cell>
        </row>
        <row r="164">
          <cell r="B164" t="str">
            <v>Шахты</v>
          </cell>
          <cell r="G164" t="e">
            <v>#N/A</v>
          </cell>
        </row>
        <row r="165">
          <cell r="B165" t="str">
            <v>Элиста</v>
          </cell>
          <cell r="G165">
            <v>0.38</v>
          </cell>
        </row>
        <row r="166">
          <cell r="B166" t="str">
            <v>Энгельс</v>
          </cell>
          <cell r="G166">
            <v>0.38</v>
          </cell>
        </row>
        <row r="167">
          <cell r="B167" t="str">
            <v>Южно-Сахалинск</v>
          </cell>
          <cell r="G167">
            <v>0.73</v>
          </cell>
        </row>
        <row r="168">
          <cell r="B168" t="str">
            <v>Якутск</v>
          </cell>
          <cell r="G168">
            <v>0.3</v>
          </cell>
        </row>
        <row r="169">
          <cell r="B169" t="str">
            <v>Ялта</v>
          </cell>
          <cell r="G169">
            <v>0.38</v>
          </cell>
        </row>
        <row r="170">
          <cell r="B170" t="str">
            <v>Ярославль</v>
          </cell>
          <cell r="G170">
            <v>0.23</v>
          </cell>
        </row>
        <row r="171">
          <cell r="B171" t="str">
            <v>Кременкуль</v>
          </cell>
          <cell r="G171">
            <v>0.3</v>
          </cell>
        </row>
        <row r="172">
          <cell r="B172" t="str">
            <v>Мирный</v>
          </cell>
          <cell r="G172">
            <v>0.23</v>
          </cell>
        </row>
        <row r="173">
          <cell r="B173" t="str">
            <v>Чусовой</v>
          </cell>
          <cell r="G173">
            <v>0.23</v>
          </cell>
        </row>
        <row r="174">
          <cell r="B174" t="str">
            <v>VIII/VI</v>
          </cell>
          <cell r="G174">
            <v>0.73</v>
          </cell>
        </row>
        <row r="175">
          <cell r="B175" t="str">
            <v>Рудный</v>
          </cell>
          <cell r="G175" t="e">
            <v>#N/A</v>
          </cell>
        </row>
        <row r="176">
          <cell r="B176" t="str">
            <v>Нюрба</v>
          </cell>
          <cell r="G176">
            <v>0.23</v>
          </cell>
        </row>
        <row r="177">
          <cell r="B177" t="str">
            <v>Дурген</v>
          </cell>
          <cell r="G177">
            <v>0.38</v>
          </cell>
        </row>
        <row r="178">
          <cell r="B178" t="str">
            <v>Октябрьский Баш</v>
          </cell>
          <cell r="G178">
            <v>0.3</v>
          </cell>
        </row>
        <row r="179">
          <cell r="B179" t="str">
            <v>Карачев</v>
          </cell>
          <cell r="G179">
            <v>0.23</v>
          </cell>
        </row>
        <row r="180">
          <cell r="B180" t="str">
            <v>Арамиль</v>
          </cell>
          <cell r="G180">
            <v>0.23</v>
          </cell>
        </row>
        <row r="181">
          <cell r="B181" t="str">
            <v>Улан-Удэ</v>
          </cell>
          <cell r="G181">
            <v>0.38</v>
          </cell>
        </row>
        <row r="182">
          <cell r="B182" t="str">
            <v>Губкинский</v>
          </cell>
          <cell r="G182">
            <v>0.23</v>
          </cell>
        </row>
        <row r="183">
          <cell r="B183" t="str">
            <v>Талума</v>
          </cell>
          <cell r="G183">
            <v>0.23</v>
          </cell>
        </row>
        <row r="184">
          <cell r="B184" t="str">
            <v>Свободный</v>
          </cell>
          <cell r="G184">
            <v>0.3</v>
          </cell>
        </row>
        <row r="185">
          <cell r="B185" t="str">
            <v>Семей</v>
          </cell>
          <cell r="G185">
            <v>0.38</v>
          </cell>
        </row>
        <row r="186">
          <cell r="B186" t="str">
            <v>Нягань</v>
          </cell>
          <cell r="G186">
            <v>0.23</v>
          </cell>
        </row>
        <row r="187">
          <cell r="B187" t="str">
            <v>Данилов</v>
          </cell>
          <cell r="G187">
            <v>0.23</v>
          </cell>
        </row>
        <row r="188">
          <cell r="B188" t="str">
            <v>с.Ключи</v>
          </cell>
          <cell r="G188">
            <v>0.38</v>
          </cell>
        </row>
        <row r="189">
          <cell r="B189" t="str">
            <v>Касли</v>
          </cell>
          <cell r="G189">
            <v>0.3</v>
          </cell>
        </row>
        <row r="190">
          <cell r="B190" t="str">
            <v>Тулун</v>
          </cell>
          <cell r="G190">
            <v>0.38</v>
          </cell>
        </row>
        <row r="191">
          <cell r="B191" t="str">
            <v>Среднеуральск</v>
          </cell>
          <cell r="G191">
            <v>0.23</v>
          </cell>
        </row>
        <row r="192">
          <cell r="B192" t="str">
            <v>Найденовка</v>
          </cell>
          <cell r="G192">
            <v>0.3</v>
          </cell>
        </row>
        <row r="193">
          <cell r="B193" t="str">
            <v>Харьягинское мест.</v>
          </cell>
          <cell r="G193">
            <v>0.73</v>
          </cell>
        </row>
        <row r="194">
          <cell r="B194" t="str">
            <v>Воскресенск</v>
          </cell>
          <cell r="G194">
            <v>0.23</v>
          </cell>
        </row>
        <row r="195">
          <cell r="B195" t="str">
            <v>Севастополь</v>
          </cell>
          <cell r="G195">
            <v>0.3</v>
          </cell>
        </row>
        <row r="196">
          <cell r="B196" t="str">
            <v>Ревда</v>
          </cell>
          <cell r="G196">
            <v>0.3</v>
          </cell>
        </row>
        <row r="197">
          <cell r="B197" t="str">
            <v>Брянка</v>
          </cell>
          <cell r="G197">
            <v>0.38</v>
          </cell>
        </row>
        <row r="198">
          <cell r="B198" t="str">
            <v>Карауловка</v>
          </cell>
          <cell r="G198">
            <v>0.3</v>
          </cell>
        </row>
        <row r="199">
          <cell r="B199" t="str">
            <v>7 снег</v>
          </cell>
          <cell r="G199">
            <v>0.48</v>
          </cell>
        </row>
        <row r="200">
          <cell r="B200" t="str">
            <v>Нерюнгри</v>
          </cell>
          <cell r="G200">
            <v>0.23</v>
          </cell>
        </row>
        <row r="201">
          <cell r="B201" t="str">
            <v>Балобаново</v>
          </cell>
          <cell r="G201">
            <v>0.23</v>
          </cell>
        </row>
        <row r="202">
          <cell r="B202" t="str">
            <v>Верхняя Салда</v>
          </cell>
          <cell r="G202">
            <v>0.23</v>
          </cell>
        </row>
        <row r="203">
          <cell r="B203" t="str">
            <v>Нижние серги</v>
          </cell>
          <cell r="G203">
            <v>0.23</v>
          </cell>
        </row>
        <row r="204">
          <cell r="B204" t="str">
            <v>Жезказган</v>
          </cell>
          <cell r="G204">
            <v>0.38</v>
          </cell>
        </row>
        <row r="205">
          <cell r="B205" t="str">
            <v>Верхний Уфалей</v>
          </cell>
          <cell r="G205">
            <v>0.3</v>
          </cell>
        </row>
        <row r="206">
          <cell r="B206" t="str">
            <v>березовский</v>
          </cell>
          <cell r="G206">
            <v>0.23</v>
          </cell>
        </row>
        <row r="207">
          <cell r="B207" t="str">
            <v>Кызыл-Орда</v>
          </cell>
          <cell r="G207">
            <v>0.38</v>
          </cell>
        </row>
        <row r="208">
          <cell r="B208" t="str">
            <v>Ноябрьск</v>
          </cell>
          <cell r="G208">
            <v>0.23</v>
          </cell>
        </row>
        <row r="209">
          <cell r="B209" t="str">
            <v>Катайск</v>
          </cell>
          <cell r="G209">
            <v>0.3</v>
          </cell>
        </row>
        <row r="210">
          <cell r="B210" t="str">
            <v>Большерецк</v>
          </cell>
          <cell r="G210">
            <v>0.85</v>
          </cell>
        </row>
        <row r="211">
          <cell r="B211" t="str">
            <v>Октябрьский ЕКБ</v>
          </cell>
          <cell r="G211">
            <v>0.3</v>
          </cell>
        </row>
        <row r="212">
          <cell r="B212" t="str">
            <v>Дальнереченск</v>
          </cell>
          <cell r="G212">
            <v>0.38</v>
          </cell>
        </row>
        <row r="213">
          <cell r="B213" t="str">
            <v>Краснотурьинск</v>
          </cell>
          <cell r="G213">
            <v>0.23</v>
          </cell>
        </row>
        <row r="214">
          <cell r="B214" t="str">
            <v>Карталы</v>
          </cell>
          <cell r="G214">
            <v>0.3</v>
          </cell>
        </row>
        <row r="215">
          <cell r="B215" t="str">
            <v>Косулино</v>
          </cell>
          <cell r="G215">
            <v>0.3</v>
          </cell>
        </row>
        <row r="216">
          <cell r="B216" t="str">
            <v>Троицк</v>
          </cell>
          <cell r="G216">
            <v>0.3</v>
          </cell>
        </row>
        <row r="217">
          <cell r="B217" t="str">
            <v>Марамзино</v>
          </cell>
          <cell r="G217">
            <v>0.23</v>
          </cell>
        </row>
        <row r="218">
          <cell r="B218" t="str">
            <v>Полевской</v>
          </cell>
          <cell r="G218">
            <v>0.3</v>
          </cell>
        </row>
        <row r="219">
          <cell r="B219" t="str">
            <v>Нижний Бистях</v>
          </cell>
          <cell r="G219">
            <v>0.23</v>
          </cell>
        </row>
        <row r="220">
          <cell r="B220" t="str">
            <v>Белоносово</v>
          </cell>
          <cell r="G220">
            <v>0.3</v>
          </cell>
        </row>
        <row r="221">
          <cell r="B221" t="str">
            <v>Забайкальск</v>
          </cell>
          <cell r="G221">
            <v>0.38</v>
          </cell>
        </row>
        <row r="222">
          <cell r="B222" t="str">
            <v>Салехард</v>
          </cell>
          <cell r="G222">
            <v>0.48</v>
          </cell>
        </row>
        <row r="223">
          <cell r="B223" t="str">
            <v>Абакан</v>
          </cell>
          <cell r="G223">
            <v>0.38</v>
          </cell>
        </row>
        <row r="224">
          <cell r="B224" t="str">
            <v>Зеленый Дол</v>
          </cell>
          <cell r="G224">
            <v>0.23</v>
          </cell>
        </row>
        <row r="225">
          <cell r="B225" t="str">
            <v>Судоверфь</v>
          </cell>
          <cell r="G225">
            <v>0.23</v>
          </cell>
        </row>
        <row r="226">
          <cell r="B226" t="str">
            <v>Слободской</v>
          </cell>
          <cell r="G226">
            <v>0.23</v>
          </cell>
        </row>
        <row r="227">
          <cell r="B227" t="str">
            <v>Еманжелинск</v>
          </cell>
          <cell r="G227">
            <v>0.3</v>
          </cell>
        </row>
        <row r="228">
          <cell r="B228" t="str">
            <v>Краснокаменск</v>
          </cell>
          <cell r="G228">
            <v>0.38</v>
          </cell>
        </row>
        <row r="229">
          <cell r="B229" t="str">
            <v>Минзелинск</v>
          </cell>
          <cell r="G229">
            <v>0.3</v>
          </cell>
        </row>
        <row r="230">
          <cell r="B230" t="str">
            <v>Конаково</v>
          </cell>
          <cell r="G230">
            <v>0.23</v>
          </cell>
        </row>
        <row r="231">
          <cell r="B231" t="str">
            <v>Мульта</v>
          </cell>
          <cell r="G231">
            <v>0.38</v>
          </cell>
        </row>
        <row r="232">
          <cell r="B232" t="str">
            <v>Артем</v>
          </cell>
          <cell r="G232">
            <v>0.48</v>
          </cell>
        </row>
        <row r="233">
          <cell r="B233" t="str">
            <v>Пушкино</v>
          </cell>
          <cell r="G233">
            <v>0.3</v>
          </cell>
        </row>
        <row r="234">
          <cell r="B234" t="str">
            <v>Зубово</v>
          </cell>
          <cell r="G234">
            <v>0.3</v>
          </cell>
        </row>
        <row r="235">
          <cell r="B235" t="str">
            <v>Снежинск</v>
          </cell>
          <cell r="G235">
            <v>0.3</v>
          </cell>
        </row>
        <row r="236">
          <cell r="B236" t="str">
            <v>Коротчаево</v>
          </cell>
          <cell r="G236">
            <v>0.3</v>
          </cell>
        </row>
        <row r="237">
          <cell r="B237" t="str">
            <v>Долинск</v>
          </cell>
          <cell r="G237">
            <v>0.73</v>
          </cell>
        </row>
        <row r="238">
          <cell r="B238" t="str">
            <v>Верхотурье</v>
          </cell>
          <cell r="G238">
            <v>0.23</v>
          </cell>
        </row>
        <row r="239">
          <cell r="B239" t="str">
            <v>Красный Адуй</v>
          </cell>
          <cell r="G239">
            <v>0.23</v>
          </cell>
        </row>
        <row r="240">
          <cell r="B240" t="str">
            <v>Холмск</v>
          </cell>
          <cell r="G240">
            <v>0.73</v>
          </cell>
        </row>
        <row r="241">
          <cell r="B241" t="str">
            <v>нагорный</v>
          </cell>
          <cell r="G241">
            <v>0.3</v>
          </cell>
        </row>
        <row r="242">
          <cell r="B242" t="str">
            <v>Большой Камень</v>
          </cell>
          <cell r="G242">
            <v>0.48</v>
          </cell>
        </row>
        <row r="243">
          <cell r="B243" t="str">
            <v>Кушва</v>
          </cell>
          <cell r="G243">
            <v>0.23</v>
          </cell>
        </row>
        <row r="244">
          <cell r="B244" t="str">
            <v>Удомля</v>
          </cell>
          <cell r="G244">
            <v>0.23</v>
          </cell>
        </row>
        <row r="245">
          <cell r="B245" t="str">
            <v>Улукулево</v>
          </cell>
          <cell r="G245">
            <v>0.3</v>
          </cell>
        </row>
        <row r="246">
          <cell r="B246" t="str">
            <v>Тарко-Сале</v>
          </cell>
          <cell r="G246">
            <v>0.3</v>
          </cell>
        </row>
        <row r="247">
          <cell r="B247" t="str">
            <v>Змеиногорск</v>
          </cell>
          <cell r="G247">
            <v>0.38</v>
          </cell>
        </row>
        <row r="248">
          <cell r="B248" t="str">
            <v>Кунгурский район</v>
          </cell>
          <cell r="G248">
            <v>0.23</v>
          </cell>
        </row>
        <row r="249">
          <cell r="B249" t="str">
            <v>Дудинка</v>
          </cell>
          <cell r="G249">
            <v>0.48</v>
          </cell>
        </row>
        <row r="250">
          <cell r="B250" t="str">
            <v>Высокая Гора</v>
          </cell>
          <cell r="G250">
            <v>0.3</v>
          </cell>
        </row>
        <row r="251">
          <cell r="B251" t="str">
            <v>Улан-Батор</v>
          </cell>
          <cell r="G251">
            <v>0.6</v>
          </cell>
        </row>
        <row r="252">
          <cell r="B252" t="str">
            <v>Паюта</v>
          </cell>
          <cell r="G252">
            <v>0.48</v>
          </cell>
        </row>
        <row r="253">
          <cell r="B253" t="str">
            <v>Верхнее Дуброво</v>
          </cell>
          <cell r="G253">
            <v>0.23</v>
          </cell>
        </row>
        <row r="254">
          <cell r="B254" t="str">
            <v>Усть-Луга</v>
          </cell>
          <cell r="G254">
            <v>0.3</v>
          </cell>
        </row>
        <row r="255">
          <cell r="B255" t="str">
            <v xml:space="preserve">п.Новый </v>
          </cell>
          <cell r="G255">
            <v>0.6</v>
          </cell>
        </row>
        <row r="256">
          <cell r="B256" t="str">
            <v>Нартан</v>
          </cell>
          <cell r="G256">
            <v>0.48</v>
          </cell>
        </row>
        <row r="257">
          <cell r="B257" t="str">
            <v>Горный Щит</v>
          </cell>
          <cell r="G257">
            <v>0.23</v>
          </cell>
        </row>
        <row r="258">
          <cell r="B258" t="str">
            <v>Лесное</v>
          </cell>
          <cell r="G258">
            <v>0.3</v>
          </cell>
        </row>
        <row r="259">
          <cell r="B259" t="str">
            <v>Долгодеревенское</v>
          </cell>
          <cell r="G259">
            <v>0.3</v>
          </cell>
        </row>
        <row r="260">
          <cell r="B260" t="str">
            <v>Надым</v>
          </cell>
          <cell r="G260">
            <v>0.38</v>
          </cell>
        </row>
        <row r="261">
          <cell r="B261" t="str">
            <v>Углегорск</v>
          </cell>
          <cell r="G261">
            <v>0.73</v>
          </cell>
        </row>
        <row r="262">
          <cell r="B262" t="str">
            <v>Ужевка</v>
          </cell>
          <cell r="G262">
            <v>0.3</v>
          </cell>
        </row>
        <row r="263">
          <cell r="B263" t="str">
            <v>Эльгинское мр</v>
          </cell>
          <cell r="G263">
            <v>0.3</v>
          </cell>
        </row>
        <row r="264">
          <cell r="B264" t="str">
            <v>Гай</v>
          </cell>
          <cell r="G264">
            <v>0.38</v>
          </cell>
        </row>
        <row r="265">
          <cell r="B265" t="str">
            <v>Симферополь</v>
          </cell>
          <cell r="G265">
            <v>0.3</v>
          </cell>
        </row>
        <row r="266">
          <cell r="B266" t="str">
            <v>Усинск</v>
          </cell>
          <cell r="G266">
            <v>0.3</v>
          </cell>
        </row>
        <row r="267">
          <cell r="B267" t="str">
            <v>Железнодорожный</v>
          </cell>
          <cell r="G267">
            <v>0.3</v>
          </cell>
        </row>
        <row r="268">
          <cell r="B268" t="str">
            <v>Новониколаевский</v>
          </cell>
          <cell r="G268">
            <v>0.3</v>
          </cell>
        </row>
        <row r="269">
          <cell r="B269" t="str">
            <v>Красноуфимск</v>
          </cell>
          <cell r="G269">
            <v>0.23</v>
          </cell>
        </row>
        <row r="270">
          <cell r="B270" t="str">
            <v>Верхнетемерницкий</v>
          </cell>
          <cell r="G270">
            <v>0.38</v>
          </cell>
        </row>
        <row r="271">
          <cell r="B271" t="str">
            <v>Актобе</v>
          </cell>
          <cell r="G271">
            <v>0.38</v>
          </cell>
        </row>
        <row r="272">
          <cell r="B272" t="str">
            <v>ст. Кодар</v>
          </cell>
          <cell r="G272">
            <v>0.23</v>
          </cell>
        </row>
        <row r="273">
          <cell r="B273" t="str">
            <v>Щелково</v>
          </cell>
          <cell r="G273">
            <v>0.23</v>
          </cell>
        </row>
        <row r="274">
          <cell r="B274" t="str">
            <v>Нименьга</v>
          </cell>
          <cell r="G274">
            <v>0.3</v>
          </cell>
        </row>
        <row r="275">
          <cell r="B275" t="str">
            <v>Истра</v>
          </cell>
          <cell r="G275">
            <v>0.23</v>
          </cell>
        </row>
        <row r="276">
          <cell r="B276" t="str">
            <v>Алабуга</v>
          </cell>
          <cell r="G276">
            <v>0.3</v>
          </cell>
        </row>
        <row r="277">
          <cell r="B277" t="str">
            <v>Тымовское</v>
          </cell>
          <cell r="G277">
            <v>0.38</v>
          </cell>
        </row>
        <row r="278">
          <cell r="B278" t="str">
            <v>Тазовский</v>
          </cell>
          <cell r="G278">
            <v>0.48</v>
          </cell>
        </row>
        <row r="279">
          <cell r="B279" t="str">
            <v>п.Птицетоварной фермы</v>
          </cell>
          <cell r="G279">
            <v>0.38</v>
          </cell>
        </row>
        <row r="280">
          <cell r="B280" t="str">
            <v>Новоуральск</v>
          </cell>
          <cell r="G280">
            <v>0.23</v>
          </cell>
        </row>
        <row r="281">
          <cell r="B281" t="str">
            <v>Новый</v>
          </cell>
          <cell r="G281">
            <v>0.23</v>
          </cell>
        </row>
        <row r="282">
          <cell r="B282" t="str">
            <v xml:space="preserve">Бор </v>
          </cell>
          <cell r="G282">
            <v>0.23</v>
          </cell>
        </row>
        <row r="283">
          <cell r="B283" t="str">
            <v>Ерзовск</v>
          </cell>
          <cell r="G283">
            <v>0.38</v>
          </cell>
        </row>
        <row r="284">
          <cell r="B284" t="str">
            <v>Сочи</v>
          </cell>
          <cell r="G284">
            <v>0.38</v>
          </cell>
        </row>
        <row r="285">
          <cell r="B285" t="str">
            <v>Улан-Батор</v>
          </cell>
          <cell r="G285">
            <v>0.3</v>
          </cell>
        </row>
        <row r="286">
          <cell r="B286" t="str">
            <v>Канаш</v>
          </cell>
          <cell r="G286">
            <v>0.3</v>
          </cell>
        </row>
        <row r="287">
          <cell r="B287" t="str">
            <v>Владивосток</v>
          </cell>
          <cell r="G287">
            <v>0.48</v>
          </cell>
        </row>
        <row r="288">
          <cell r="B288" t="str">
            <v>Солнечногорск</v>
          </cell>
          <cell r="G288">
            <v>0.23</v>
          </cell>
        </row>
        <row r="289">
          <cell r="B289" t="str">
            <v>Новороссийск</v>
          </cell>
          <cell r="G289">
            <v>0.73</v>
          </cell>
        </row>
        <row r="290">
          <cell r="B290" t="str">
            <v>Кислый Ключ</v>
          </cell>
          <cell r="G290">
            <v>0.3</v>
          </cell>
        </row>
        <row r="291">
          <cell r="B291" t="str">
            <v>Лигово</v>
          </cell>
          <cell r="G291">
            <v>0.3</v>
          </cell>
        </row>
        <row r="292">
          <cell r="B292" t="str">
            <v>Муравленко</v>
          </cell>
          <cell r="G292">
            <v>0.23</v>
          </cell>
        </row>
        <row r="293">
          <cell r="B293" t="str">
            <v>Когалым</v>
          </cell>
          <cell r="G293">
            <v>0.23</v>
          </cell>
        </row>
        <row r="294">
          <cell r="B294" t="str">
            <v>Верхняя Пышма</v>
          </cell>
          <cell r="G294">
            <v>0.23</v>
          </cell>
        </row>
        <row r="295">
          <cell r="B295" t="str">
            <v>Верхний Индырчи</v>
          </cell>
          <cell r="G295">
            <v>0.3</v>
          </cell>
        </row>
        <row r="296">
          <cell r="B296" t="str">
            <v>Ишим</v>
          </cell>
          <cell r="G296">
            <v>0.23</v>
          </cell>
        </row>
        <row r="297">
          <cell r="B297" t="str">
            <v>Пайяха</v>
          </cell>
          <cell r="G297">
            <v>0.48</v>
          </cell>
        </row>
        <row r="298">
          <cell r="B298" t="str">
            <v>Заозерный</v>
          </cell>
          <cell r="G298">
            <v>0.3</v>
          </cell>
        </row>
        <row r="299">
          <cell r="B299" t="str">
            <v>Ноглики</v>
          </cell>
          <cell r="G299">
            <v>0.48</v>
          </cell>
        </row>
        <row r="300">
          <cell r="B300" t="str">
            <v>Зирган</v>
          </cell>
          <cell r="G300">
            <v>0.38</v>
          </cell>
        </row>
        <row r="301">
          <cell r="B301" t="str">
            <v>Кощаково</v>
          </cell>
          <cell r="G301">
            <v>0.3</v>
          </cell>
        </row>
        <row r="302">
          <cell r="B302" t="str">
            <v>Лазаревское</v>
          </cell>
          <cell r="G302">
            <v>0.38</v>
          </cell>
        </row>
        <row r="303">
          <cell r="B303" t="str">
            <v>Байкал</v>
          </cell>
          <cell r="G303">
            <v>0.38</v>
          </cell>
        </row>
        <row r="304">
          <cell r="B304" t="str">
            <v>Шумово</v>
          </cell>
          <cell r="G304">
            <v>0.3</v>
          </cell>
        </row>
        <row r="305">
          <cell r="B305" t="str">
            <v>Зирган</v>
          </cell>
          <cell r="G305">
            <v>0.38</v>
          </cell>
        </row>
        <row r="306">
          <cell r="B306" t="str">
            <v>Павловский Посад</v>
          </cell>
          <cell r="G306">
            <v>0.23</v>
          </cell>
        </row>
        <row r="307">
          <cell r="B307" t="str">
            <v>Чебаркуль</v>
          </cell>
          <cell r="G307">
            <v>0.3</v>
          </cell>
        </row>
        <row r="308">
          <cell r="B308" t="str">
            <v>Оленегорск</v>
          </cell>
          <cell r="G308">
            <v>0.3</v>
          </cell>
        </row>
        <row r="309">
          <cell r="B309" t="str">
            <v>Коркино</v>
          </cell>
          <cell r="G309">
            <v>0.3</v>
          </cell>
        </row>
        <row r="310">
          <cell r="B310" t="str">
            <v xml:space="preserve">Химки </v>
          </cell>
          <cell r="G310">
            <v>0.23</v>
          </cell>
        </row>
        <row r="311">
          <cell r="B311" t="str">
            <v>Феодосия</v>
          </cell>
          <cell r="G311">
            <v>0.3</v>
          </cell>
        </row>
        <row r="312">
          <cell r="B312" t="str">
            <v>Сарбала</v>
          </cell>
          <cell r="G312">
            <v>0.38</v>
          </cell>
        </row>
        <row r="313">
          <cell r="B313" t="str">
            <v>Селятино</v>
          </cell>
          <cell r="G313">
            <v>0.23</v>
          </cell>
        </row>
        <row r="314">
          <cell r="B314" t="str">
            <v>Субутак</v>
          </cell>
          <cell r="G314">
            <v>0.3</v>
          </cell>
        </row>
        <row r="315">
          <cell r="B315" t="str">
            <v>п.Ленина</v>
          </cell>
          <cell r="G315">
            <v>0.38</v>
          </cell>
        </row>
        <row r="316">
          <cell r="B316" t="str">
            <v>бухта Север</v>
          </cell>
          <cell r="G316">
            <v>0.85</v>
          </cell>
        </row>
        <row r="317">
          <cell r="B317" t="str">
            <v>Душанбе</v>
          </cell>
          <cell r="G317">
            <v>0.38</v>
          </cell>
        </row>
        <row r="318">
          <cell r="B318" t="str">
            <v>Николаевка</v>
          </cell>
          <cell r="G318">
            <v>0.3</v>
          </cell>
        </row>
        <row r="319">
          <cell r="B319" t="str">
            <v>Мегион</v>
          </cell>
          <cell r="G319">
            <v>0.23</v>
          </cell>
        </row>
        <row r="320">
          <cell r="B320" t="str">
            <v>Верхние Серги</v>
          </cell>
          <cell r="G320">
            <v>0.23</v>
          </cell>
        </row>
        <row r="321">
          <cell r="B321" t="str">
            <v>п.Никола</v>
          </cell>
          <cell r="G321">
            <v>0.38</v>
          </cell>
        </row>
        <row r="322">
          <cell r="B322" t="str">
            <v>Еткуль</v>
          </cell>
          <cell r="G322">
            <v>0.3</v>
          </cell>
        </row>
        <row r="323">
          <cell r="B323" t="str">
            <v xml:space="preserve">Ереван </v>
          </cell>
          <cell r="G323">
            <v>0.38</v>
          </cell>
        </row>
        <row r="324">
          <cell r="B324" t="str">
            <v>Кыштым</v>
          </cell>
          <cell r="G324">
            <v>0.3</v>
          </cell>
        </row>
        <row r="325">
          <cell r="B325" t="str">
            <v>Качканар</v>
          </cell>
          <cell r="G325">
            <v>0.23</v>
          </cell>
        </row>
        <row r="326">
          <cell r="B326" t="str">
            <v>Волоколамск</v>
          </cell>
          <cell r="G326">
            <v>0.23</v>
          </cell>
        </row>
        <row r="327">
          <cell r="B327" t="str">
            <v>Ишалино</v>
          </cell>
          <cell r="G327">
            <v>0.3</v>
          </cell>
        </row>
        <row r="328">
          <cell r="B328" t="str">
            <v>Петровское</v>
          </cell>
          <cell r="G328">
            <v>0.3</v>
          </cell>
        </row>
        <row r="329">
          <cell r="B329" t="str">
            <v>Лабытнанги</v>
          </cell>
          <cell r="G329">
            <v>0.48</v>
          </cell>
        </row>
        <row r="330">
          <cell r="B330" t="str">
            <v>Усть-Куйга</v>
          </cell>
          <cell r="G330">
            <v>0.48</v>
          </cell>
        </row>
        <row r="331">
          <cell r="B331" t="str">
            <v>Сусуман</v>
          </cell>
          <cell r="G331">
            <v>0.23</v>
          </cell>
        </row>
        <row r="332">
          <cell r="B332" t="str">
            <v>Южа</v>
          </cell>
          <cell r="G332">
            <v>0.23</v>
          </cell>
        </row>
        <row r="333">
          <cell r="B333" t="str">
            <v>Ковдор</v>
          </cell>
          <cell r="G333">
            <v>0.3</v>
          </cell>
        </row>
        <row r="334">
          <cell r="B334" t="str">
            <v>Калга</v>
          </cell>
          <cell r="G334">
            <v>0.3</v>
          </cell>
        </row>
        <row r="335">
          <cell r="B335" t="str">
            <v>Артемовский</v>
          </cell>
          <cell r="G335">
            <v>0.23</v>
          </cell>
        </row>
        <row r="336">
          <cell r="B336" t="str">
            <v>Кокшетау</v>
          </cell>
          <cell r="G336">
            <v>0.6</v>
          </cell>
        </row>
        <row r="337">
          <cell r="B337" t="str">
            <v>Усолье-Сибирское</v>
          </cell>
          <cell r="G337">
            <v>0.38</v>
          </cell>
        </row>
        <row r="338">
          <cell r="B338" t="str">
            <v>Сысерть</v>
          </cell>
          <cell r="G338">
            <v>0.3</v>
          </cell>
        </row>
        <row r="339">
          <cell r="B339" t="str">
            <v>Невьянск</v>
          </cell>
          <cell r="G339">
            <v>0.23</v>
          </cell>
        </row>
        <row r="340">
          <cell r="B340" t="str">
            <v>Северомуйск</v>
          </cell>
          <cell r="G340">
            <v>0.23</v>
          </cell>
        </row>
        <row r="341">
          <cell r="B341" t="str">
            <v>Кировград</v>
          </cell>
          <cell r="G341">
            <v>0.23</v>
          </cell>
        </row>
        <row r="342">
          <cell r="B342" t="str">
            <v>Тбилиси</v>
          </cell>
          <cell r="G342">
            <v>0.48</v>
          </cell>
        </row>
        <row r="343">
          <cell r="B343" t="str">
            <v>Южный</v>
          </cell>
          <cell r="G343">
            <v>0.48</v>
          </cell>
        </row>
        <row r="344">
          <cell r="B344" t="str">
            <v>Белореченск</v>
          </cell>
          <cell r="G344">
            <v>0.48</v>
          </cell>
        </row>
        <row r="345">
          <cell r="B345" t="str">
            <v>Садовый</v>
          </cell>
          <cell r="G345">
            <v>0.23</v>
          </cell>
        </row>
        <row r="346">
          <cell r="B346" t="str">
            <v>Ерофей Павлович</v>
          </cell>
          <cell r="G346">
            <v>0.3</v>
          </cell>
        </row>
        <row r="347">
          <cell r="B347" t="str">
            <v>Уват</v>
          </cell>
          <cell r="G347">
            <v>0.23</v>
          </cell>
        </row>
        <row r="348">
          <cell r="B348" t="str">
            <v>Подольск</v>
          </cell>
          <cell r="G348">
            <v>0.23</v>
          </cell>
        </row>
        <row r="349">
          <cell r="B349" t="str">
            <v>Северо-Курильск</v>
          </cell>
          <cell r="G349">
            <v>0.85</v>
          </cell>
        </row>
        <row r="350">
          <cell r="B350" t="str">
            <v>Курчатов</v>
          </cell>
          <cell r="G350">
            <v>0.23</v>
          </cell>
        </row>
        <row r="351">
          <cell r="B351" t="str">
            <v>Ботрулиновка</v>
          </cell>
          <cell r="G351">
            <v>0.3</v>
          </cell>
        </row>
        <row r="352">
          <cell r="B352" t="str">
            <v>Алдан</v>
          </cell>
          <cell r="G352">
            <v>0.23</v>
          </cell>
        </row>
        <row r="353">
          <cell r="B353" t="str">
            <v>Аша</v>
          </cell>
          <cell r="G353">
            <v>0.3</v>
          </cell>
        </row>
        <row r="354">
          <cell r="B354" t="str">
            <v>Кукмор</v>
          </cell>
          <cell r="G354">
            <v>0.3</v>
          </cell>
        </row>
        <row r="355">
          <cell r="B355" t="str">
            <v>Хужир</v>
          </cell>
          <cell r="G355">
            <v>0.38</v>
          </cell>
        </row>
        <row r="356">
          <cell r="B356" t="str">
            <v>Губкинский</v>
          </cell>
          <cell r="G356">
            <v>0.23</v>
          </cell>
        </row>
        <row r="357">
          <cell r="B357" t="str">
            <v>Заринск</v>
          </cell>
          <cell r="G357">
            <v>0.38</v>
          </cell>
        </row>
        <row r="358">
          <cell r="B358" t="str">
            <v>Мариуполь</v>
          </cell>
          <cell r="G358">
            <v>0.38</v>
          </cell>
        </row>
        <row r="359">
          <cell r="B359" t="str">
            <v>Нововаршавка</v>
          </cell>
          <cell r="G359">
            <v>0.38</v>
          </cell>
        </row>
        <row r="360">
          <cell r="B360" t="str">
            <v>Михайловск</v>
          </cell>
          <cell r="G360">
            <v>0.3</v>
          </cell>
        </row>
        <row r="361">
          <cell r="B361" t="str">
            <v>Ильинка</v>
          </cell>
          <cell r="G361">
            <v>0.38</v>
          </cell>
        </row>
        <row r="362">
          <cell r="B362" t="str">
            <v>Артыбаш</v>
          </cell>
          <cell r="G362">
            <v>0.38</v>
          </cell>
        </row>
        <row r="363">
          <cell r="B363" t="str">
            <v>Новосинеглазово</v>
          </cell>
          <cell r="G363">
            <v>0.3</v>
          </cell>
        </row>
        <row r="364">
          <cell r="B364" t="str">
            <v>Люберцы</v>
          </cell>
          <cell r="G364">
            <v>0.23</v>
          </cell>
        </row>
        <row r="365">
          <cell r="B365" t="str">
            <v>Ханты-Мансийск</v>
          </cell>
          <cell r="G365">
            <v>0.23</v>
          </cell>
        </row>
        <row r="366">
          <cell r="B366" t="str">
            <v>Верх-Тула</v>
          </cell>
          <cell r="G366">
            <v>0.38</v>
          </cell>
        </row>
        <row r="367">
          <cell r="B367" t="str">
            <v>Кононовка</v>
          </cell>
          <cell r="G367">
            <v>0.38</v>
          </cell>
        </row>
        <row r="368">
          <cell r="B368" t="str">
            <v>Реж</v>
          </cell>
          <cell r="G368">
            <v>0.23</v>
          </cell>
        </row>
        <row r="369">
          <cell r="B369" t="str">
            <v>Озерск</v>
          </cell>
          <cell r="G369">
            <v>0.3</v>
          </cell>
        </row>
        <row r="370">
          <cell r="B370" t="str">
            <v>Грановщина</v>
          </cell>
          <cell r="G370">
            <v>0.38</v>
          </cell>
        </row>
        <row r="371">
          <cell r="B371" t="str">
            <v>Линево</v>
          </cell>
          <cell r="G371">
            <v>0.38</v>
          </cell>
        </row>
        <row r="372">
          <cell r="B372" t="str">
            <v>Красногорский</v>
          </cell>
          <cell r="G372">
            <v>0.3</v>
          </cell>
        </row>
        <row r="373">
          <cell r="B373" t="str">
            <v>Пески</v>
          </cell>
          <cell r="G373">
            <v>0.3</v>
          </cell>
        </row>
        <row r="374">
          <cell r="B374" t="str">
            <v>Забайкальский</v>
          </cell>
          <cell r="G374">
            <v>0.3</v>
          </cell>
        </row>
        <row r="375">
          <cell r="B375" t="str">
            <v>Лыткарино</v>
          </cell>
          <cell r="G375">
            <v>0.23</v>
          </cell>
        </row>
        <row r="376">
          <cell r="B376" t="str">
            <v>Таловка</v>
          </cell>
          <cell r="G376">
            <v>0.3</v>
          </cell>
        </row>
        <row r="377">
          <cell r="B377" t="str">
            <v>Мужи</v>
          </cell>
          <cell r="G377">
            <v>0.48</v>
          </cell>
        </row>
        <row r="378">
          <cell r="B378" t="str">
            <v>Вишневогорск</v>
          </cell>
          <cell r="G378">
            <v>0.3</v>
          </cell>
        </row>
        <row r="379">
          <cell r="B379" t="str">
            <v>Экажево</v>
          </cell>
          <cell r="G379">
            <v>0.48</v>
          </cell>
        </row>
        <row r="380">
          <cell r="B380" t="str">
            <v>Спасск-Дальний</v>
          </cell>
          <cell r="G380">
            <v>0.38</v>
          </cell>
        </row>
        <row r="381">
          <cell r="B381" t="str">
            <v>Воркута</v>
          </cell>
          <cell r="G381">
            <v>0.48</v>
          </cell>
        </row>
        <row r="382">
          <cell r="B382" t="str">
            <v>Тутаев</v>
          </cell>
          <cell r="G382">
            <v>0.23</v>
          </cell>
        </row>
        <row r="383">
          <cell r="B383" t="str">
            <v>Мучукей-Дуа</v>
          </cell>
          <cell r="G383">
            <v>0.73</v>
          </cell>
        </row>
        <row r="384">
          <cell r="B384" t="str">
            <v>Игарка</v>
          </cell>
          <cell r="G384">
            <v>0.3</v>
          </cell>
        </row>
        <row r="385">
          <cell r="B385" t="str">
            <v>Коломинские Гривы</v>
          </cell>
          <cell r="G385">
            <v>0.23</v>
          </cell>
        </row>
        <row r="386">
          <cell r="B386" t="str">
            <v>Центральное</v>
          </cell>
          <cell r="G386">
            <v>0.38</v>
          </cell>
        </row>
        <row r="387">
          <cell r="B387" t="str">
            <v>Билибино</v>
          </cell>
          <cell r="G387">
            <v>0.23</v>
          </cell>
        </row>
        <row r="388">
          <cell r="B388" t="str">
            <v>Лянтор</v>
          </cell>
          <cell r="G388">
            <v>0.23</v>
          </cell>
        </row>
        <row r="389">
          <cell r="B389" t="str">
            <v>Южноуральск</v>
          </cell>
          <cell r="G389">
            <v>0.3</v>
          </cell>
        </row>
        <row r="390">
          <cell r="B390" t="str">
            <v>Чепош</v>
          </cell>
          <cell r="G390">
            <v>0.38</v>
          </cell>
        </row>
        <row r="391">
          <cell r="B391" t="str">
            <v>Юрюзань</v>
          </cell>
          <cell r="G391">
            <v>0.3</v>
          </cell>
        </row>
        <row r="392">
          <cell r="B392" t="str">
            <v>Алмазный</v>
          </cell>
          <cell r="G392">
            <v>0.23</v>
          </cell>
        </row>
        <row r="393">
          <cell r="B393" t="str">
            <v>Северо-Енисейск</v>
          </cell>
          <cell r="G393">
            <v>0.23</v>
          </cell>
        </row>
        <row r="394">
          <cell r="B394" t="str">
            <v>Бобровский</v>
          </cell>
          <cell r="G394">
            <v>0.23</v>
          </cell>
        </row>
        <row r="395">
          <cell r="B395" t="str">
            <v>Центральное</v>
          </cell>
          <cell r="G395">
            <v>0.38</v>
          </cell>
        </row>
        <row r="396">
          <cell r="B396" t="str">
            <v>Абовян</v>
          </cell>
          <cell r="G396">
            <v>0.38</v>
          </cell>
        </row>
        <row r="397">
          <cell r="B397" t="str">
            <v>Кунгур</v>
          </cell>
          <cell r="G397">
            <v>0.23</v>
          </cell>
        </row>
        <row r="398">
          <cell r="B398" t="str">
            <v>Кушвинский ГО</v>
          </cell>
          <cell r="G398">
            <v>0.23</v>
          </cell>
        </row>
        <row r="399">
          <cell r="B399" t="str">
            <v>Певек</v>
          </cell>
          <cell r="G399">
            <v>0.48</v>
          </cell>
        </row>
        <row r="400">
          <cell r="B400" t="str">
            <v>Нижняя Тура</v>
          </cell>
          <cell r="G400">
            <v>0.23</v>
          </cell>
        </row>
        <row r="401">
          <cell r="B401" t="str">
            <v>Бердянск</v>
          </cell>
          <cell r="G401">
            <v>0.38</v>
          </cell>
        </row>
        <row r="402">
          <cell r="B402" t="str">
            <v>Далматово</v>
          </cell>
          <cell r="G402">
            <v>0.3</v>
          </cell>
        </row>
        <row r="403">
          <cell r="B403" t="str">
            <v>Внуково</v>
          </cell>
          <cell r="G403">
            <v>0.23</v>
          </cell>
        </row>
        <row r="404">
          <cell r="B404" t="str">
            <v>Усть-Кут</v>
          </cell>
          <cell r="G404">
            <v>0.3</v>
          </cell>
        </row>
        <row r="405">
          <cell r="B405" t="str">
            <v>Долматово</v>
          </cell>
          <cell r="G405">
            <v>0.3</v>
          </cell>
        </row>
        <row r="406">
          <cell r="B406" t="str">
            <v>Асбест</v>
          </cell>
          <cell r="G406">
            <v>0.23</v>
          </cell>
        </row>
        <row r="407">
          <cell r="B407" t="str">
            <v>Оверята</v>
          </cell>
          <cell r="G407">
            <v>0.23</v>
          </cell>
        </row>
        <row r="408">
          <cell r="B408" t="str">
            <v>усть-камчатский</v>
          </cell>
          <cell r="G408">
            <v>0.48</v>
          </cell>
        </row>
        <row r="409">
          <cell r="B409" t="str">
            <v>Нарян-Мар</v>
          </cell>
          <cell r="G409">
            <v>0.48</v>
          </cell>
        </row>
        <row r="410">
          <cell r="B410" t="str">
            <v>Панковка</v>
          </cell>
          <cell r="G410">
            <v>0.23</v>
          </cell>
        </row>
        <row r="411">
          <cell r="B411" t="str">
            <v>Луганск</v>
          </cell>
          <cell r="G411">
            <v>0.38</v>
          </cell>
        </row>
        <row r="412">
          <cell r="B412" t="str">
            <v>Нерюнги</v>
          </cell>
          <cell r="G412">
            <v>0.23</v>
          </cell>
        </row>
        <row r="413">
          <cell r="B413" t="str">
            <v>Новопокровка</v>
          </cell>
          <cell r="G413">
            <v>0.38</v>
          </cell>
        </row>
        <row r="414">
          <cell r="B414" t="str">
            <v>Ванино</v>
          </cell>
          <cell r="G414">
            <v>0.73</v>
          </cell>
        </row>
        <row r="415">
          <cell r="B415" t="str">
            <v>Псекупс</v>
          </cell>
          <cell r="G415">
            <v>0.48</v>
          </cell>
        </row>
        <row r="416">
          <cell r="B416" t="str">
            <v>Варна</v>
          </cell>
          <cell r="G416">
            <v>0.3</v>
          </cell>
        </row>
        <row r="417">
          <cell r="B417" t="str">
            <v>Караганда</v>
          </cell>
          <cell r="G417">
            <v>0.48</v>
          </cell>
        </row>
        <row r="418">
          <cell r="B418" t="str">
            <v>Оха</v>
          </cell>
          <cell r="G418">
            <v>0.73</v>
          </cell>
        </row>
        <row r="419">
          <cell r="B419" t="str">
            <v>Александров</v>
          </cell>
          <cell r="G419">
            <v>0.23</v>
          </cell>
        </row>
        <row r="420">
          <cell r="B420" t="str">
            <v>Солнцевка</v>
          </cell>
          <cell r="G420">
            <v>0.3</v>
          </cell>
        </row>
        <row r="421">
          <cell r="B421" t="str">
            <v>Пахачи</v>
          </cell>
          <cell r="G421">
            <v>0.73</v>
          </cell>
        </row>
        <row r="422">
          <cell r="B422" t="str">
            <v>Новошешеминск</v>
          </cell>
          <cell r="G422">
            <v>0.3</v>
          </cell>
        </row>
        <row r="423">
          <cell r="B423" t="str">
            <v>Формачево</v>
          </cell>
          <cell r="G423">
            <v>0.3</v>
          </cell>
        </row>
        <row r="424">
          <cell r="B424" t="str">
            <v>Петровский</v>
          </cell>
          <cell r="G424">
            <v>0.3</v>
          </cell>
        </row>
        <row r="425">
          <cell r="B425" t="str">
            <v>Раменское</v>
          </cell>
          <cell r="G425">
            <v>0.23</v>
          </cell>
        </row>
        <row r="426">
          <cell r="B426" t="str">
            <v>Можайск</v>
          </cell>
          <cell r="G426">
            <v>0.23</v>
          </cell>
        </row>
        <row r="427">
          <cell r="B427" t="str">
            <v>Саров</v>
          </cell>
          <cell r="G427">
            <v>0.23</v>
          </cell>
        </row>
        <row r="428">
          <cell r="B428" t="str">
            <v>Шадринск</v>
          </cell>
          <cell r="G428">
            <v>0.3</v>
          </cell>
        </row>
        <row r="429">
          <cell r="B429" t="str">
            <v>Ярцево</v>
          </cell>
          <cell r="G429">
            <v>0.23</v>
          </cell>
        </row>
        <row r="430">
          <cell r="B430" t="str">
            <v>Репьево</v>
          </cell>
          <cell r="G430">
            <v>0.38</v>
          </cell>
        </row>
        <row r="431">
          <cell r="B431" t="str">
            <v>Карпинск</v>
          </cell>
          <cell r="G431">
            <v>0.23</v>
          </cell>
        </row>
        <row r="432">
          <cell r="B432" t="str">
            <v>Нязепетровск</v>
          </cell>
          <cell r="G432">
            <v>0.3</v>
          </cell>
        </row>
        <row r="433">
          <cell r="B433" t="str">
            <v>Балашиха</v>
          </cell>
          <cell r="G433">
            <v>0.23</v>
          </cell>
        </row>
        <row r="434">
          <cell r="B434" t="str">
            <v>Заволжск</v>
          </cell>
          <cell r="G434">
            <v>0.23</v>
          </cell>
        </row>
        <row r="435">
          <cell r="B435" t="str">
            <v>Кулуево</v>
          </cell>
          <cell r="G435">
            <v>0.3</v>
          </cell>
        </row>
        <row r="436">
          <cell r="B436" t="str">
            <v>кузнецкое</v>
          </cell>
          <cell r="G436">
            <v>0.3</v>
          </cell>
        </row>
        <row r="437">
          <cell r="B437" t="str">
            <v>Михеево</v>
          </cell>
          <cell r="G437">
            <v>0.23</v>
          </cell>
        </row>
        <row r="438">
          <cell r="B438" t="str">
            <v>Байкалово</v>
          </cell>
          <cell r="G438">
            <v>0.23</v>
          </cell>
        </row>
        <row r="439">
          <cell r="B439" t="str">
            <v>Новая</v>
          </cell>
          <cell r="G439">
            <v>0.3</v>
          </cell>
        </row>
        <row r="440">
          <cell r="B440" t="str">
            <v>Кузнецкое</v>
          </cell>
          <cell r="G440">
            <v>0.3</v>
          </cell>
        </row>
        <row r="441">
          <cell r="B441" t="str">
            <v>Новый Мир</v>
          </cell>
          <cell r="G441">
            <v>0.3</v>
          </cell>
        </row>
        <row r="442">
          <cell r="B442" t="str">
            <v>Лисичанск</v>
          </cell>
          <cell r="G442">
            <v>0.38</v>
          </cell>
        </row>
        <row r="443">
          <cell r="B443" t="str">
            <v>Лесная Дача (ЛНР)</v>
          </cell>
          <cell r="G443">
            <v>0.38</v>
          </cell>
        </row>
        <row r="444">
          <cell r="B444" t="str">
            <v>Авдон</v>
          </cell>
          <cell r="G444">
            <v>0.3</v>
          </cell>
        </row>
        <row r="445">
          <cell r="B445" t="str">
            <v>Благовещенск(рб)</v>
          </cell>
          <cell r="G445">
            <v>0.3</v>
          </cell>
        </row>
        <row r="446">
          <cell r="B446" t="str">
            <v>Уэлен</v>
          </cell>
          <cell r="G446">
            <v>0.85</v>
          </cell>
        </row>
        <row r="447">
          <cell r="B447" t="str">
            <v>Мончегорск</v>
          </cell>
          <cell r="G447">
            <v>0.3</v>
          </cell>
        </row>
        <row r="448">
          <cell r="B448" t="str">
            <v>Елабуга</v>
          </cell>
          <cell r="G448">
            <v>0.3</v>
          </cell>
        </row>
        <row r="449">
          <cell r="B449" t="str">
            <v>Болчары</v>
          </cell>
          <cell r="G449">
            <v>0.23</v>
          </cell>
        </row>
        <row r="450">
          <cell r="B450" t="str">
            <v>Солонешное</v>
          </cell>
          <cell r="G450">
            <v>0.38</v>
          </cell>
        </row>
        <row r="451">
          <cell r="B451" t="str">
            <v>Ключи</v>
          </cell>
          <cell r="G451">
            <v>0.38</v>
          </cell>
        </row>
        <row r="452">
          <cell r="B452" t="str">
            <v>Саранпауль</v>
          </cell>
          <cell r="G452">
            <v>0.3</v>
          </cell>
        </row>
        <row r="453">
          <cell r="B453" t="str">
            <v>Поронайск</v>
          </cell>
          <cell r="G453">
            <v>0.6</v>
          </cell>
        </row>
        <row r="454">
          <cell r="B454" t="str">
            <v>Обнинск</v>
          </cell>
          <cell r="G454">
            <v>0.23</v>
          </cell>
        </row>
        <row r="455">
          <cell r="B455" t="str">
            <v>Чистополь</v>
          </cell>
          <cell r="G455">
            <v>0.3</v>
          </cell>
        </row>
        <row r="456">
          <cell r="B456" t="str">
            <v>Сибай</v>
          </cell>
          <cell r="G456">
            <v>0.3</v>
          </cell>
        </row>
        <row r="457">
          <cell r="B457" t="str">
            <v>Угольные Копи</v>
          </cell>
          <cell r="G457">
            <v>0.85</v>
          </cell>
        </row>
        <row r="458">
          <cell r="B458" t="str">
            <v>Купино</v>
          </cell>
          <cell r="G458">
            <v>0.38</v>
          </cell>
        </row>
        <row r="459">
          <cell r="B459" t="str">
            <v>Краснопольское</v>
          </cell>
          <cell r="G459">
            <v>0.3</v>
          </cell>
        </row>
        <row r="460">
          <cell r="B460" t="str">
            <v>Гусиный брод</v>
          </cell>
          <cell r="G460">
            <v>0.38</v>
          </cell>
        </row>
        <row r="461">
          <cell r="B461" t="str">
            <v>Бизнес-парк Развитие</v>
          </cell>
          <cell r="G461">
            <v>0.38</v>
          </cell>
        </row>
        <row r="462">
          <cell r="B462" t="str">
            <v>Шмидтово</v>
          </cell>
          <cell r="G462">
            <v>0.3</v>
          </cell>
        </row>
        <row r="463">
          <cell r="B463" t="str">
            <v>Новая Ладога</v>
          </cell>
          <cell r="G463">
            <v>0.3</v>
          </cell>
        </row>
        <row r="464">
          <cell r="B464" t="str">
            <v>Карабаш</v>
          </cell>
          <cell r="G464">
            <v>0.3</v>
          </cell>
        </row>
        <row r="465">
          <cell r="B465" t="str">
            <v>г.Ростов</v>
          </cell>
          <cell r="G465">
            <v>0.23</v>
          </cell>
        </row>
        <row r="466">
          <cell r="B466" t="str">
            <v>Анадырь</v>
          </cell>
          <cell r="G466">
            <v>0.85</v>
          </cell>
        </row>
        <row r="467">
          <cell r="B467" t="str">
            <v>Лосино-Петровский</v>
          </cell>
          <cell r="G467">
            <v>0.23</v>
          </cell>
        </row>
        <row r="468">
          <cell r="B468" t="str">
            <v>Корсаков</v>
          </cell>
          <cell r="G468">
            <v>0.73</v>
          </cell>
        </row>
        <row r="469">
          <cell r="B469" t="str">
            <v>Пыть-Ях</v>
          </cell>
          <cell r="G469">
            <v>0.23</v>
          </cell>
        </row>
        <row r="470">
          <cell r="B470" t="str">
            <v>Нижний Уфалей</v>
          </cell>
          <cell r="G470">
            <v>0.3</v>
          </cell>
        </row>
        <row r="471">
          <cell r="B471" t="str">
            <v>Алгатуй</v>
          </cell>
          <cell r="G471">
            <v>0.38</v>
          </cell>
        </row>
        <row r="472">
          <cell r="B472" t="str">
            <v>Ленск</v>
          </cell>
          <cell r="G472">
            <v>0.23</v>
          </cell>
        </row>
        <row r="473">
          <cell r="B473" t="str">
            <v>Воронцовское Лесничество</v>
          </cell>
          <cell r="G473">
            <v>0.23</v>
          </cell>
        </row>
        <row r="474">
          <cell r="B474" t="str">
            <v>Черняховск</v>
          </cell>
          <cell r="G474">
            <v>0.23</v>
          </cell>
        </row>
        <row r="475">
          <cell r="B475" t="str">
            <v>Долгодеревенское</v>
          </cell>
          <cell r="G475">
            <v>0.3</v>
          </cell>
        </row>
        <row r="476">
          <cell r="G476" t="e">
            <v>#N/A</v>
          </cell>
        </row>
        <row r="477">
          <cell r="G477" t="e">
            <v>#N/A</v>
          </cell>
        </row>
        <row r="478">
          <cell r="G478" t="e">
            <v>#N/A</v>
          </cell>
        </row>
        <row r="479">
          <cell r="G479" t="e">
            <v>#N/A</v>
          </cell>
        </row>
        <row r="480">
          <cell r="G480" t="e">
            <v>#N/A</v>
          </cell>
        </row>
        <row r="481">
          <cell r="G481" t="e">
            <v>#N/A</v>
          </cell>
        </row>
        <row r="482">
          <cell r="G482" t="e">
            <v>#N/A</v>
          </cell>
        </row>
        <row r="483">
          <cell r="G483" t="e">
            <v>#N/A</v>
          </cell>
        </row>
        <row r="484">
          <cell r="G484" t="e">
            <v>#N/A</v>
          </cell>
        </row>
        <row r="485">
          <cell r="G485" t="e">
            <v>#N/A</v>
          </cell>
        </row>
        <row r="486">
          <cell r="G486" t="e">
            <v>#N/A</v>
          </cell>
        </row>
        <row r="487">
          <cell r="G487" t="e">
            <v>#N/A</v>
          </cell>
        </row>
        <row r="488">
          <cell r="G488" t="e">
            <v>#N/A</v>
          </cell>
        </row>
        <row r="489">
          <cell r="G489" t="e">
            <v>#N/A</v>
          </cell>
        </row>
        <row r="490">
          <cell r="G490" t="e">
            <v>#N/A</v>
          </cell>
        </row>
        <row r="491">
          <cell r="G491" t="e">
            <v>#N/A</v>
          </cell>
        </row>
        <row r="492">
          <cell r="G492" t="e">
            <v>#N/A</v>
          </cell>
        </row>
        <row r="493">
          <cell r="G493" t="e">
            <v>#N/A</v>
          </cell>
        </row>
        <row r="494">
          <cell r="G494" t="e">
            <v>#N/A</v>
          </cell>
        </row>
        <row r="495">
          <cell r="G495" t="e">
            <v>#N/A</v>
          </cell>
        </row>
        <row r="496">
          <cell r="G496" t="e">
            <v>#N/A</v>
          </cell>
        </row>
        <row r="497">
          <cell r="G497" t="e">
            <v>#N/A</v>
          </cell>
        </row>
        <row r="498">
          <cell r="G498" t="e">
            <v>#N/A</v>
          </cell>
        </row>
        <row r="499">
          <cell r="G499" t="e">
            <v>#N/A</v>
          </cell>
        </row>
        <row r="500">
          <cell r="G500" t="e">
            <v>#N/A</v>
          </cell>
        </row>
        <row r="501">
          <cell r="G501" t="e">
            <v>#N/A</v>
          </cell>
        </row>
        <row r="502">
          <cell r="G502" t="e">
            <v>#N/A</v>
          </cell>
        </row>
        <row r="503">
          <cell r="G503" t="e">
            <v>#N/A</v>
          </cell>
        </row>
        <row r="504">
          <cell r="G504" t="e">
            <v>#N/A</v>
          </cell>
        </row>
        <row r="505">
          <cell r="G505" t="e">
            <v>#N/A</v>
          </cell>
        </row>
        <row r="506">
          <cell r="G506" t="e">
            <v>#N/A</v>
          </cell>
        </row>
        <row r="507">
          <cell r="G507" t="e">
            <v>#N/A</v>
          </cell>
        </row>
        <row r="508">
          <cell r="G508" t="e">
            <v>#N/A</v>
          </cell>
        </row>
        <row r="509">
          <cell r="G509" t="e">
            <v>#N/A</v>
          </cell>
        </row>
        <row r="510">
          <cell r="G510" t="e">
            <v>#N/A</v>
          </cell>
        </row>
        <row r="511">
          <cell r="G511" t="e">
            <v>#N/A</v>
          </cell>
        </row>
        <row r="512">
          <cell r="G512" t="e">
            <v>#N/A</v>
          </cell>
        </row>
        <row r="513">
          <cell r="G513" t="e">
            <v>#N/A</v>
          </cell>
        </row>
        <row r="514">
          <cell r="G514" t="e">
            <v>#N/A</v>
          </cell>
        </row>
        <row r="515">
          <cell r="G515" t="e">
            <v>#N/A</v>
          </cell>
        </row>
        <row r="516">
          <cell r="G516" t="e">
            <v>#N/A</v>
          </cell>
        </row>
        <row r="517">
          <cell r="G517" t="e">
            <v>#N/A</v>
          </cell>
        </row>
        <row r="518">
          <cell r="G518" t="e">
            <v>#N/A</v>
          </cell>
        </row>
        <row r="519">
          <cell r="G519" t="e">
            <v>#N/A</v>
          </cell>
        </row>
        <row r="520">
          <cell r="G520" t="e">
            <v>#N/A</v>
          </cell>
        </row>
        <row r="521">
          <cell r="G521" t="e">
            <v>#N/A</v>
          </cell>
        </row>
        <row r="522">
          <cell r="G522" t="e">
            <v>#N/A</v>
          </cell>
        </row>
        <row r="523">
          <cell r="G523" t="e">
            <v>#N/A</v>
          </cell>
        </row>
        <row r="524">
          <cell r="G524" t="e">
            <v>#N/A</v>
          </cell>
        </row>
        <row r="525">
          <cell r="G525" t="e">
            <v>#N/A</v>
          </cell>
        </row>
        <row r="526">
          <cell r="G526" t="e">
            <v>#N/A</v>
          </cell>
        </row>
        <row r="527">
          <cell r="G527" t="e">
            <v>#N/A</v>
          </cell>
        </row>
        <row r="528">
          <cell r="G528" t="e">
            <v>#N/A</v>
          </cell>
        </row>
        <row r="529">
          <cell r="G529" t="e">
            <v>#N/A</v>
          </cell>
        </row>
        <row r="530">
          <cell r="G530" t="e">
            <v>#N/A</v>
          </cell>
        </row>
        <row r="531">
          <cell r="G531" t="e">
            <v>#N/A</v>
          </cell>
        </row>
        <row r="532">
          <cell r="G532" t="e">
            <v>#N/A</v>
          </cell>
        </row>
        <row r="533">
          <cell r="G533" t="e">
            <v>#N/A</v>
          </cell>
        </row>
        <row r="534">
          <cell r="G534" t="e">
            <v>#N/A</v>
          </cell>
        </row>
        <row r="535">
          <cell r="G535" t="e">
            <v>#N/A</v>
          </cell>
        </row>
        <row r="536">
          <cell r="G536" t="e">
            <v>#N/A</v>
          </cell>
        </row>
        <row r="537">
          <cell r="G537" t="e">
            <v>#N/A</v>
          </cell>
        </row>
        <row r="538">
          <cell r="G538" t="e">
            <v>#N/A</v>
          </cell>
        </row>
        <row r="539">
          <cell r="G539" t="e">
            <v>#N/A</v>
          </cell>
        </row>
        <row r="540">
          <cell r="G540" t="e">
            <v>#N/A</v>
          </cell>
        </row>
        <row r="541">
          <cell r="G541" t="e">
            <v>#N/A</v>
          </cell>
        </row>
        <row r="542">
          <cell r="G542" t="e">
            <v>#N/A</v>
          </cell>
        </row>
        <row r="543">
          <cell r="G543" t="e">
            <v>#N/A</v>
          </cell>
        </row>
        <row r="544">
          <cell r="G544" t="e">
            <v>#N/A</v>
          </cell>
        </row>
        <row r="545">
          <cell r="G545" t="e">
            <v>#N/A</v>
          </cell>
        </row>
        <row r="546">
          <cell r="G546" t="e">
            <v>#N/A</v>
          </cell>
        </row>
        <row r="547">
          <cell r="G547" t="e">
            <v>#N/A</v>
          </cell>
        </row>
        <row r="548">
          <cell r="G548" t="e">
            <v>#N/A</v>
          </cell>
        </row>
        <row r="549">
          <cell r="G549" t="e">
            <v>#N/A</v>
          </cell>
        </row>
        <row r="550">
          <cell r="G550" t="e">
            <v>#N/A</v>
          </cell>
        </row>
        <row r="551">
          <cell r="G551" t="e">
            <v>#N/A</v>
          </cell>
        </row>
        <row r="552">
          <cell r="G552" t="e">
            <v>#N/A</v>
          </cell>
        </row>
        <row r="553">
          <cell r="G553" t="e">
            <v>#N/A</v>
          </cell>
        </row>
        <row r="554">
          <cell r="G554" t="e">
            <v>#N/A</v>
          </cell>
        </row>
        <row r="555">
          <cell r="G555" t="e">
            <v>#N/A</v>
          </cell>
        </row>
        <row r="556">
          <cell r="G556" t="e">
            <v>#N/A</v>
          </cell>
        </row>
        <row r="557">
          <cell r="G557" t="e">
            <v>#N/A</v>
          </cell>
        </row>
        <row r="558">
          <cell r="G558" t="e">
            <v>#N/A</v>
          </cell>
        </row>
        <row r="559">
          <cell r="G559" t="e">
            <v>#N/A</v>
          </cell>
        </row>
        <row r="560">
          <cell r="G560" t="e">
            <v>#N/A</v>
          </cell>
        </row>
        <row r="561">
          <cell r="G561" t="e">
            <v>#N/A</v>
          </cell>
        </row>
        <row r="562">
          <cell r="G562" t="e">
            <v>#N/A</v>
          </cell>
        </row>
        <row r="563">
          <cell r="G563" t="e">
            <v>#N/A</v>
          </cell>
        </row>
        <row r="564">
          <cell r="G564" t="e">
            <v>#N/A</v>
          </cell>
        </row>
        <row r="565">
          <cell r="G565" t="e">
            <v>#N/A</v>
          </cell>
        </row>
        <row r="566">
          <cell r="G566" t="e">
            <v>#N/A</v>
          </cell>
        </row>
        <row r="567">
          <cell r="G567" t="e">
            <v>#N/A</v>
          </cell>
        </row>
        <row r="568">
          <cell r="G568" t="e">
            <v>#N/A</v>
          </cell>
        </row>
        <row r="569">
          <cell r="G569" t="e">
            <v>#N/A</v>
          </cell>
        </row>
        <row r="570">
          <cell r="G570" t="e">
            <v>#N/A</v>
          </cell>
        </row>
        <row r="571">
          <cell r="G571" t="e">
            <v>#N/A</v>
          </cell>
        </row>
        <row r="572">
          <cell r="G572" t="e">
            <v>#N/A</v>
          </cell>
        </row>
        <row r="573">
          <cell r="G573" t="e">
            <v>#N/A</v>
          </cell>
        </row>
        <row r="574">
          <cell r="G574" t="e">
            <v>#N/A</v>
          </cell>
        </row>
        <row r="575">
          <cell r="G575" t="e">
            <v>#N/A</v>
          </cell>
        </row>
        <row r="576">
          <cell r="G576" t="e">
            <v>#N/A</v>
          </cell>
        </row>
        <row r="577">
          <cell r="G577" t="e">
            <v>#N/A</v>
          </cell>
        </row>
        <row r="578">
          <cell r="G578" t="e">
            <v>#N/A</v>
          </cell>
        </row>
        <row r="579">
          <cell r="G579" t="e">
            <v>#N/A</v>
          </cell>
        </row>
        <row r="580">
          <cell r="G580" t="e">
            <v>#N/A</v>
          </cell>
        </row>
        <row r="581">
          <cell r="G581" t="e">
            <v>#N/A</v>
          </cell>
        </row>
        <row r="582">
          <cell r="G582" t="e">
            <v>#N/A</v>
          </cell>
        </row>
        <row r="583">
          <cell r="G583" t="e">
            <v>#N/A</v>
          </cell>
        </row>
        <row r="584">
          <cell r="G584" t="e">
            <v>#N/A</v>
          </cell>
        </row>
        <row r="585">
          <cell r="G585" t="e">
            <v>#N/A</v>
          </cell>
        </row>
        <row r="586">
          <cell r="G586" t="e">
            <v>#N/A</v>
          </cell>
        </row>
        <row r="587">
          <cell r="G587" t="e">
            <v>#N/A</v>
          </cell>
        </row>
        <row r="588">
          <cell r="G588" t="e">
            <v>#N/A</v>
          </cell>
        </row>
        <row r="589">
          <cell r="G589" t="e">
            <v>#N/A</v>
          </cell>
        </row>
        <row r="590">
          <cell r="G590" t="e">
            <v>#N/A</v>
          </cell>
        </row>
        <row r="591">
          <cell r="G591" t="e">
            <v>#N/A</v>
          </cell>
        </row>
        <row r="592">
          <cell r="G592" t="e">
            <v>#N/A</v>
          </cell>
        </row>
        <row r="593">
          <cell r="G593" t="e">
            <v>#N/A</v>
          </cell>
        </row>
        <row r="594">
          <cell r="G594" t="e">
            <v>#N/A</v>
          </cell>
        </row>
        <row r="595">
          <cell r="G595" t="e">
            <v>#N/A</v>
          </cell>
        </row>
        <row r="596">
          <cell r="G596" t="e">
            <v>#N/A</v>
          </cell>
        </row>
        <row r="597">
          <cell r="G597" t="e">
            <v>#N/A</v>
          </cell>
        </row>
        <row r="598">
          <cell r="G598" t="e">
            <v>#N/A</v>
          </cell>
        </row>
        <row r="599">
          <cell r="G599" t="e">
            <v>#N/A</v>
          </cell>
        </row>
        <row r="600">
          <cell r="G600" t="e">
            <v>#N/A</v>
          </cell>
        </row>
        <row r="601">
          <cell r="G601" t="e">
            <v>#N/A</v>
          </cell>
        </row>
        <row r="602">
          <cell r="G602" t="e">
            <v>#N/A</v>
          </cell>
        </row>
        <row r="603">
          <cell r="G603" t="e">
            <v>#N/A</v>
          </cell>
        </row>
        <row r="604">
          <cell r="G604" t="e">
            <v>#N/A</v>
          </cell>
        </row>
        <row r="605">
          <cell r="G605" t="e">
            <v>#N/A</v>
          </cell>
        </row>
        <row r="606">
          <cell r="G606" t="e">
            <v>#N/A</v>
          </cell>
        </row>
        <row r="607">
          <cell r="G607" t="e">
            <v>#N/A</v>
          </cell>
        </row>
        <row r="608">
          <cell r="G608" t="e">
            <v>#N/A</v>
          </cell>
        </row>
        <row r="609">
          <cell r="G609" t="e">
            <v>#N/A</v>
          </cell>
        </row>
        <row r="610">
          <cell r="G610" t="e">
            <v>#N/A</v>
          </cell>
        </row>
        <row r="611">
          <cell r="G611" t="e">
            <v>#N/A</v>
          </cell>
        </row>
        <row r="612">
          <cell r="G612" t="e">
            <v>#N/A</v>
          </cell>
        </row>
        <row r="613">
          <cell r="G613" t="e">
            <v>#N/A</v>
          </cell>
        </row>
        <row r="614">
          <cell r="G614" t="e">
            <v>#N/A</v>
          </cell>
        </row>
        <row r="615">
          <cell r="G615" t="e">
            <v>#N/A</v>
          </cell>
        </row>
        <row r="616">
          <cell r="G616" t="e">
            <v>#N/A</v>
          </cell>
        </row>
        <row r="617">
          <cell r="G617" t="e">
            <v>#N/A</v>
          </cell>
        </row>
        <row r="618">
          <cell r="G618" t="e">
            <v>#N/A</v>
          </cell>
        </row>
        <row r="619">
          <cell r="G619" t="e">
            <v>#N/A</v>
          </cell>
        </row>
        <row r="620">
          <cell r="G620" t="e">
            <v>#N/A</v>
          </cell>
        </row>
        <row r="621">
          <cell r="G621" t="e">
            <v>#N/A</v>
          </cell>
        </row>
        <row r="622">
          <cell r="G622" t="e">
            <v>#N/A</v>
          </cell>
        </row>
        <row r="623">
          <cell r="G623" t="e">
            <v>#N/A</v>
          </cell>
        </row>
      </sheetData>
      <sheetData sheetId="1">
        <row r="3">
          <cell r="B3" t="str">
            <v>Костанай</v>
          </cell>
          <cell r="C3" t="str">
            <v>II</v>
          </cell>
          <cell r="H3">
            <v>0.38</v>
          </cell>
          <cell r="I3">
            <v>0.56000000000000005</v>
          </cell>
        </row>
        <row r="4">
          <cell r="B4"/>
          <cell r="C4" t="str">
            <v>III</v>
          </cell>
          <cell r="H4" t="e">
            <v>#N/A</v>
          </cell>
          <cell r="I4" t="e">
            <v>#N/A</v>
          </cell>
        </row>
        <row r="5">
          <cell r="B5" t="str">
            <v>Астана</v>
          </cell>
          <cell r="C5" t="str">
            <v>III</v>
          </cell>
          <cell r="H5">
            <v>0.38</v>
          </cell>
          <cell r="I5">
            <v>0.77</v>
          </cell>
        </row>
        <row r="6">
          <cell r="B6" t="str">
            <v>Атырау</v>
          </cell>
          <cell r="C6" t="str">
            <v>I</v>
          </cell>
          <cell r="H6">
            <v>0.38</v>
          </cell>
          <cell r="I6">
            <v>0.56000000000000005</v>
          </cell>
        </row>
        <row r="7">
          <cell r="B7" t="str">
            <v>Романовка (СПБ)</v>
          </cell>
          <cell r="C7" t="str">
            <v>III</v>
          </cell>
          <cell r="H7">
            <v>0.38</v>
          </cell>
          <cell r="I7">
            <v>0.56000000000000005</v>
          </cell>
        </row>
        <row r="8">
          <cell r="B8" t="str">
            <v>Н. Серьги (СВ обл)</v>
          </cell>
          <cell r="C8" t="str">
            <v>IV</v>
          </cell>
          <cell r="H8">
            <v>0.6</v>
          </cell>
          <cell r="I8">
            <v>1</v>
          </cell>
        </row>
        <row r="9">
          <cell r="B9"/>
          <cell r="C9" t="str">
            <v>III</v>
          </cell>
          <cell r="H9">
            <v>0.38</v>
          </cell>
          <cell r="I9">
            <v>0.56000000000000005</v>
          </cell>
        </row>
        <row r="10">
          <cell r="B10"/>
          <cell r="C10"/>
          <cell r="H10"/>
          <cell r="I10"/>
        </row>
        <row r="11">
          <cell r="B11" t="str">
            <v>Туркестан</v>
          </cell>
          <cell r="C11" t="str">
            <v>I</v>
          </cell>
          <cell r="H11" t="e">
            <v>#N/A</v>
          </cell>
          <cell r="I11" t="e">
            <v>#N/A</v>
          </cell>
        </row>
        <row r="12">
          <cell r="B12"/>
          <cell r="C12"/>
          <cell r="H12"/>
          <cell r="I12">
            <v>0.56000000000000005</v>
          </cell>
        </row>
        <row r="13">
          <cell r="B13" t="str">
            <v>Аральск</v>
          </cell>
          <cell r="C13" t="str">
            <v>I</v>
          </cell>
          <cell r="H13">
            <v>0.38</v>
          </cell>
          <cell r="I13">
            <v>0.56000000000000005</v>
          </cell>
        </row>
        <row r="14">
          <cell r="B14" t="str">
            <v>Петропавловск</v>
          </cell>
          <cell r="C14" t="str">
            <v>II</v>
          </cell>
          <cell r="H14">
            <v>0.3</v>
          </cell>
          <cell r="I14">
            <v>0.39</v>
          </cell>
        </row>
        <row r="15">
          <cell r="B15" t="str">
            <v>Билибино</v>
          </cell>
          <cell r="C15" t="str">
            <v>III</v>
          </cell>
          <cell r="H15">
            <v>0.38</v>
          </cell>
          <cell r="I15">
            <v>0.56000000000000005</v>
          </cell>
        </row>
        <row r="16">
          <cell r="B16" t="str">
            <v>Алматы</v>
          </cell>
          <cell r="C16" t="str">
            <v>II</v>
          </cell>
          <cell r="H16">
            <v>0.3</v>
          </cell>
          <cell r="I16">
            <v>0.39</v>
          </cell>
        </row>
        <row r="17">
          <cell r="B17" t="str">
            <v>Приобье</v>
          </cell>
          <cell r="C17" t="str">
            <v>V</v>
          </cell>
          <cell r="H17">
            <v>0.6</v>
          </cell>
          <cell r="I17">
            <v>1</v>
          </cell>
        </row>
        <row r="18">
          <cell r="B18"/>
          <cell r="C18"/>
          <cell r="H18" t="e">
            <v>#N/A</v>
          </cell>
          <cell r="I18" t="e">
            <v>#N/A</v>
          </cell>
        </row>
        <row r="19">
          <cell r="B19" t="str">
            <v>Луховицы</v>
          </cell>
          <cell r="C19" t="str">
            <v>III</v>
          </cell>
          <cell r="H19">
            <v>0.38</v>
          </cell>
          <cell r="I19">
            <v>0.56000000000000005</v>
          </cell>
        </row>
        <row r="20">
          <cell r="B20" t="str">
            <v>Кулан</v>
          </cell>
          <cell r="C20" t="str">
            <v>II</v>
          </cell>
          <cell r="H20" t="e">
            <v>#N/A</v>
          </cell>
          <cell r="I20" t="e">
            <v>#N/A</v>
          </cell>
        </row>
        <row r="21">
          <cell r="B21" t="str">
            <v>Туринская слобода</v>
          </cell>
          <cell r="C21" t="str">
            <v>IV</v>
          </cell>
          <cell r="H21">
            <v>0.48</v>
          </cell>
          <cell r="I21">
            <v>0.77</v>
          </cell>
        </row>
        <row r="22">
          <cell r="B22" t="str">
            <v>Новая Чара</v>
          </cell>
          <cell r="C22" t="str">
            <v>II</v>
          </cell>
          <cell r="H22">
            <v>0.3</v>
          </cell>
          <cell r="I22">
            <v>0.39</v>
          </cell>
        </row>
        <row r="23">
          <cell r="B23"/>
          <cell r="C23"/>
          <cell r="H23"/>
          <cell r="I23"/>
        </row>
        <row r="24">
          <cell r="B24" t="str">
            <v>Ишимбай</v>
          </cell>
          <cell r="C24" t="str">
            <v>V</v>
          </cell>
          <cell r="H24">
            <v>0.6</v>
          </cell>
          <cell r="I24">
            <v>1</v>
          </cell>
        </row>
        <row r="25">
          <cell r="B25"/>
          <cell r="C25"/>
          <cell r="H25"/>
          <cell r="I25"/>
        </row>
        <row r="26">
          <cell r="B26" t="str">
            <v>Шымкент</v>
          </cell>
          <cell r="C26" t="str">
            <v>I</v>
          </cell>
          <cell r="H26">
            <v>0.38</v>
          </cell>
          <cell r="I26">
            <v>0.56000000000000005</v>
          </cell>
        </row>
        <row r="27">
          <cell r="B27"/>
          <cell r="C27">
            <v>0</v>
          </cell>
          <cell r="H27" t="e">
            <v>#N/A</v>
          </cell>
          <cell r="I27" t="e">
            <v>#N/A</v>
          </cell>
        </row>
        <row r="28">
          <cell r="B28" t="str">
            <v>Караганда</v>
          </cell>
          <cell r="C28" t="str">
            <v>III</v>
          </cell>
          <cell r="H28">
            <v>0.48</v>
          </cell>
          <cell r="I28">
            <v>0.77</v>
          </cell>
        </row>
        <row r="29">
          <cell r="B29" t="str">
            <v>Риддер</v>
          </cell>
          <cell r="C29" t="str">
            <v>IV</v>
          </cell>
          <cell r="H29" t="e">
            <v>#N/A</v>
          </cell>
          <cell r="I29" t="e">
            <v>#N/A</v>
          </cell>
        </row>
        <row r="30">
          <cell r="B30" t="str">
            <v>Магас</v>
          </cell>
          <cell r="C30" t="str">
            <v>I</v>
          </cell>
          <cell r="H30">
            <v>0.23</v>
          </cell>
          <cell r="I30">
            <v>0.25</v>
          </cell>
        </row>
        <row r="31">
          <cell r="B31" t="str">
            <v>Шира</v>
          </cell>
          <cell r="C31" t="str">
            <v>VII</v>
          </cell>
          <cell r="H31">
            <v>0.85</v>
          </cell>
          <cell r="I31">
            <v>1.56</v>
          </cell>
        </row>
        <row r="32">
          <cell r="B32"/>
          <cell r="C32" t="str">
            <v>III</v>
          </cell>
          <cell r="H32">
            <v>0.38</v>
          </cell>
          <cell r="I32">
            <v>0.56000000000000005</v>
          </cell>
        </row>
        <row r="33">
          <cell r="B33"/>
          <cell r="C33"/>
          <cell r="H33"/>
          <cell r="I33"/>
        </row>
        <row r="34">
          <cell r="B34" t="str">
            <v>Талдыкорган</v>
          </cell>
          <cell r="C34" t="str">
            <v>II</v>
          </cell>
          <cell r="H34">
            <v>0.3</v>
          </cell>
          <cell r="I34">
            <v>0.39</v>
          </cell>
        </row>
        <row r="35">
          <cell r="B35" t="str">
            <v>Самотлорское мр</v>
          </cell>
          <cell r="C35" t="str">
            <v>V</v>
          </cell>
          <cell r="H35">
            <v>0.6</v>
          </cell>
          <cell r="I35">
            <v>1</v>
          </cell>
        </row>
        <row r="36">
          <cell r="B36"/>
          <cell r="C36"/>
          <cell r="H36" t="e">
            <v>#N/A</v>
          </cell>
          <cell r="I36" t="e">
            <v>#N/A</v>
          </cell>
        </row>
        <row r="37">
          <cell r="B37" t="str">
            <v>Московщина</v>
          </cell>
          <cell r="C37" t="str">
            <v>II</v>
          </cell>
          <cell r="H37">
            <v>0.3</v>
          </cell>
          <cell r="I37">
            <v>0.39</v>
          </cell>
        </row>
        <row r="38">
          <cell r="B38"/>
          <cell r="C38"/>
          <cell r="H38"/>
          <cell r="I38"/>
        </row>
        <row r="39">
          <cell r="B39"/>
          <cell r="C39"/>
          <cell r="H39" t="e">
            <v>#N/A</v>
          </cell>
          <cell r="I39" t="e">
            <v>#N/A</v>
          </cell>
        </row>
        <row r="40">
          <cell r="B40"/>
          <cell r="C40"/>
          <cell r="H40"/>
          <cell r="I40"/>
        </row>
        <row r="41">
          <cell r="B41"/>
          <cell r="C41"/>
          <cell r="H41"/>
          <cell r="I41"/>
        </row>
        <row r="42">
          <cell r="B42"/>
          <cell r="C42"/>
          <cell r="H42" t="e">
            <v>#N/A</v>
          </cell>
          <cell r="I42" t="e">
            <v>#N/A</v>
          </cell>
        </row>
        <row r="43">
          <cell r="B43" t="str">
            <v>Югорск</v>
          </cell>
          <cell r="C43" t="str">
            <v>IV</v>
          </cell>
          <cell r="H43">
            <v>0.48</v>
          </cell>
          <cell r="I43">
            <v>0.77</v>
          </cell>
        </row>
        <row r="44">
          <cell r="B44"/>
          <cell r="C44"/>
          <cell r="H44"/>
          <cell r="I44"/>
        </row>
        <row r="45">
          <cell r="B45" t="str">
            <v>Черногорск</v>
          </cell>
          <cell r="C45" t="str">
            <v>II</v>
          </cell>
          <cell r="H45">
            <v>0.3</v>
          </cell>
          <cell r="I45">
            <v>0.39</v>
          </cell>
        </row>
        <row r="46">
          <cell r="B46"/>
          <cell r="C46"/>
          <cell r="H46"/>
          <cell r="I46"/>
        </row>
        <row r="47">
          <cell r="B47" t="str">
            <v>Семей</v>
          </cell>
          <cell r="C47" t="str">
            <v>III</v>
          </cell>
          <cell r="H47">
            <v>0.38</v>
          </cell>
          <cell r="I47">
            <v>0.56000000000000005</v>
          </cell>
        </row>
        <row r="48">
          <cell r="B48" t="str">
            <v>Жибек Жолы</v>
          </cell>
          <cell r="C48" t="str">
            <v>III</v>
          </cell>
          <cell r="H48" t="e">
            <v>#N/A</v>
          </cell>
          <cell r="I48" t="e">
            <v>#N/A</v>
          </cell>
        </row>
        <row r="49">
          <cell r="B49" t="str">
            <v>Тенгиз</v>
          </cell>
          <cell r="C49" t="str">
            <v>III</v>
          </cell>
          <cell r="H49">
            <v>0.6</v>
          </cell>
          <cell r="I49">
            <v>1</v>
          </cell>
        </row>
        <row r="50">
          <cell r="B50" t="str">
            <v>Экибастуз</v>
          </cell>
          <cell r="C50" t="str">
            <v>I</v>
          </cell>
          <cell r="H50">
            <v>0.6</v>
          </cell>
          <cell r="I50">
            <v>1</v>
          </cell>
        </row>
        <row r="51">
          <cell r="B51" t="str">
            <v>Ерейментау</v>
          </cell>
          <cell r="C51" t="str">
            <v>III</v>
          </cell>
          <cell r="H51">
            <v>0.38</v>
          </cell>
          <cell r="I51">
            <v>0.56000000000000005</v>
          </cell>
        </row>
        <row r="52">
          <cell r="B52" t="str">
            <v>Кабанбай</v>
          </cell>
          <cell r="C52" t="str">
            <v>IV</v>
          </cell>
          <cell r="H52">
            <v>0.85</v>
          </cell>
          <cell r="I52">
            <v>1.56</v>
          </cell>
        </row>
        <row r="53">
          <cell r="B53" t="str">
            <v>Павлодар</v>
          </cell>
          <cell r="C53" t="str">
            <v>II</v>
          </cell>
          <cell r="H53">
            <v>0.38</v>
          </cell>
          <cell r="I53">
            <v>0.56000000000000005</v>
          </cell>
        </row>
        <row r="54">
          <cell r="B54" t="str">
            <v>Актау</v>
          </cell>
          <cell r="C54" t="str">
            <v>I</v>
          </cell>
          <cell r="H54">
            <v>0.48</v>
          </cell>
          <cell r="I54">
            <v>0.77</v>
          </cell>
        </row>
        <row r="55">
          <cell r="B55" t="str">
            <v>Степногорск</v>
          </cell>
          <cell r="C55" t="str">
            <v>IV</v>
          </cell>
          <cell r="H55">
            <v>0.48</v>
          </cell>
          <cell r="I55">
            <v>0.77</v>
          </cell>
        </row>
        <row r="56">
          <cell r="B56" t="str">
            <v>Рудный</v>
          </cell>
          <cell r="C56" t="str">
            <v>III</v>
          </cell>
          <cell r="H56">
            <v>0.48</v>
          </cell>
          <cell r="I56">
            <v>0.77</v>
          </cell>
        </row>
        <row r="57">
          <cell r="B57" t="str">
            <v>Тобыл</v>
          </cell>
          <cell r="C57" t="str">
            <v>IV</v>
          </cell>
          <cell r="H57">
            <v>0.48</v>
          </cell>
          <cell r="I57">
            <v>0.77</v>
          </cell>
        </row>
        <row r="58">
          <cell r="B58" t="str">
            <v>Уральск</v>
          </cell>
          <cell r="C58" t="str">
            <v>IV</v>
          </cell>
          <cell r="H58">
            <v>0.38</v>
          </cell>
          <cell r="I58">
            <v>0.56000000000000005</v>
          </cell>
        </row>
        <row r="59">
          <cell r="B59" t="str">
            <v>Кызылорда</v>
          </cell>
          <cell r="C59" t="str">
            <v>I</v>
          </cell>
          <cell r="H59">
            <v>0.38</v>
          </cell>
          <cell r="I59">
            <v>0.56000000000000005</v>
          </cell>
        </row>
        <row r="60">
          <cell r="B60" t="str">
            <v>Усть-Каменогорск</v>
          </cell>
          <cell r="C60" t="str">
            <v>III</v>
          </cell>
          <cell r="H60">
            <v>0.38</v>
          </cell>
          <cell r="I60">
            <v>0.56000000000000005</v>
          </cell>
        </row>
        <row r="61">
          <cell r="B61" t="str">
            <v>Байсерке</v>
          </cell>
          <cell r="C61" t="str">
            <v>II</v>
          </cell>
          <cell r="H61">
            <v>0.3</v>
          </cell>
          <cell r="I61">
            <v>0.39</v>
          </cell>
        </row>
        <row r="62">
          <cell r="B62" t="str">
            <v>Кульсары</v>
          </cell>
          <cell r="C62" t="str">
            <v>II</v>
          </cell>
          <cell r="H62">
            <v>0.38</v>
          </cell>
          <cell r="I62">
            <v>0.56000000000000005</v>
          </cell>
        </row>
        <row r="63">
          <cell r="B63" t="str">
            <v>Шолаккорган</v>
          </cell>
          <cell r="C63" t="str">
            <v>I</v>
          </cell>
          <cell r="H63">
            <v>0.38</v>
          </cell>
          <cell r="I63">
            <v>0.56000000000000005</v>
          </cell>
        </row>
        <row r="64">
          <cell r="B64" t="str">
            <v>Актау</v>
          </cell>
          <cell r="C64" t="str">
            <v>I</v>
          </cell>
          <cell r="H64">
            <v>0.48</v>
          </cell>
          <cell r="I64">
            <v>0.77</v>
          </cell>
        </row>
        <row r="65">
          <cell r="B65" t="str">
            <v>Шимкент</v>
          </cell>
          <cell r="C65" t="str">
            <v>I</v>
          </cell>
          <cell r="H65">
            <v>0.38</v>
          </cell>
          <cell r="I65">
            <v>0.56000000000000005</v>
          </cell>
        </row>
        <row r="66">
          <cell r="B66" t="str">
            <v>Актобе</v>
          </cell>
          <cell r="C66" t="str">
            <v>III</v>
          </cell>
          <cell r="H66">
            <v>0.38</v>
          </cell>
          <cell r="I66">
            <v>0.56000000000000005</v>
          </cell>
        </row>
        <row r="67">
          <cell r="B67" t="str">
            <v>Жанаозен</v>
          </cell>
          <cell r="C67" t="str">
            <v>I</v>
          </cell>
          <cell r="H67">
            <v>0.48</v>
          </cell>
          <cell r="I67">
            <v>0.77</v>
          </cell>
        </row>
        <row r="68">
          <cell r="B68" t="str">
            <v>Бородулиха</v>
          </cell>
          <cell r="C68" t="str">
            <v>III</v>
          </cell>
          <cell r="H68">
            <v>0.38</v>
          </cell>
          <cell r="I68">
            <v>0.56000000000000005</v>
          </cell>
        </row>
        <row r="69">
          <cell r="B69"/>
          <cell r="C69"/>
          <cell r="H69" t="e">
            <v>#N/A</v>
          </cell>
          <cell r="I69" t="e">
            <v>#N/A</v>
          </cell>
        </row>
        <row r="70">
          <cell r="B70" t="str">
            <v>Песчанка</v>
          </cell>
          <cell r="C70" t="str">
            <v>III</v>
          </cell>
          <cell r="H70">
            <v>0.38</v>
          </cell>
          <cell r="I70">
            <v>0.56000000000000005</v>
          </cell>
        </row>
        <row r="71">
          <cell r="B71" t="str">
            <v>Степняк</v>
          </cell>
          <cell r="C71" t="str">
            <v>III</v>
          </cell>
          <cell r="H71">
            <v>0.48</v>
          </cell>
          <cell r="I71">
            <v>0.77</v>
          </cell>
        </row>
        <row r="72">
          <cell r="B72" t="str">
            <v>Шу</v>
          </cell>
          <cell r="C72" t="str">
            <v>IV</v>
          </cell>
          <cell r="H72">
            <v>0.48</v>
          </cell>
          <cell r="I72">
            <v>0.77</v>
          </cell>
        </row>
        <row r="73">
          <cell r="B73" t="str">
            <v>Кокшетау</v>
          </cell>
          <cell r="C73" t="str">
            <v>III</v>
          </cell>
          <cell r="H73">
            <v>0.48</v>
          </cell>
          <cell r="I73">
            <v>0.77</v>
          </cell>
        </row>
        <row r="74">
          <cell r="B74" t="str">
            <v>Сауытбек</v>
          </cell>
          <cell r="C74" t="str">
            <v>II</v>
          </cell>
          <cell r="H74">
            <v>0.48</v>
          </cell>
          <cell r="I74">
            <v>0.77</v>
          </cell>
        </row>
        <row r="75">
          <cell r="B75" t="str">
            <v>Саякский рудник</v>
          </cell>
          <cell r="C75" t="str">
            <v>II</v>
          </cell>
          <cell r="H75">
            <v>0.38</v>
          </cell>
          <cell r="I75">
            <v>0.56000000000000005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abSelected="1" zoomScale="115" zoomScaleNormal="115" workbookViewId="0">
      <selection activeCell="B15" sqref="B15"/>
    </sheetView>
  </sheetViews>
  <sheetFormatPr defaultRowHeight="15" x14ac:dyDescent="0.25"/>
  <cols>
    <col min="1" max="1" width="16.42578125" customWidth="1"/>
    <col min="2" max="2" width="18.42578125" customWidth="1"/>
    <col min="3" max="3" width="13.42578125" customWidth="1"/>
    <col min="4" max="4" width="24.140625" customWidth="1"/>
    <col min="5" max="5" width="23.140625" hidden="1" customWidth="1"/>
    <col min="6" max="6" width="19.5703125" hidden="1" customWidth="1"/>
    <col min="7" max="7" width="16.140625" hidden="1" customWidth="1"/>
    <col min="8" max="9" width="9.140625" hidden="1" customWidth="1"/>
    <col min="10" max="10" width="11.140625" hidden="1" customWidth="1"/>
    <col min="11" max="15" width="9.140625" hidden="1" customWidth="1"/>
    <col min="16" max="16" width="34.42578125" hidden="1" customWidth="1"/>
    <col min="17" max="21" width="9.140625" hidden="1" customWidth="1"/>
    <col min="22" max="22" width="6.85546875" hidden="1" customWidth="1"/>
  </cols>
  <sheetData>
    <row r="1" spans="1:17" ht="15.75" thickBot="1" x14ac:dyDescent="0.3"/>
    <row r="2" spans="1:17" x14ac:dyDescent="0.25">
      <c r="A2" s="188" t="s">
        <v>317</v>
      </c>
      <c r="B2" s="199" t="s">
        <v>428</v>
      </c>
    </row>
    <row r="3" spans="1:17" ht="15.75" hidden="1" thickBot="1" x14ac:dyDescent="0.3">
      <c r="A3" s="190" t="s">
        <v>318</v>
      </c>
      <c r="B3" s="200">
        <v>1</v>
      </c>
    </row>
    <row r="4" spans="1:17" ht="15.75" thickBot="1" x14ac:dyDescent="0.3">
      <c r="P4" s="127"/>
      <c r="Q4" s="127"/>
    </row>
    <row r="5" spans="1:17" ht="15.75" thickBot="1" x14ac:dyDescent="0.3">
      <c r="A5" s="249" t="s">
        <v>324</v>
      </c>
      <c r="B5" s="250"/>
      <c r="H5" s="3" t="s">
        <v>4</v>
      </c>
      <c r="M5" s="6" t="s">
        <v>13</v>
      </c>
      <c r="P5" s="127"/>
      <c r="Q5" s="127"/>
    </row>
    <row r="6" spans="1:17" ht="15.75" thickBot="1" x14ac:dyDescent="0.3">
      <c r="A6" s="188" t="s">
        <v>325</v>
      </c>
      <c r="B6" s="201">
        <v>1</v>
      </c>
      <c r="C6" t="s">
        <v>11</v>
      </c>
      <c r="H6" s="3" t="s">
        <v>5</v>
      </c>
      <c r="M6" s="6" t="s">
        <v>14</v>
      </c>
      <c r="P6" s="127"/>
      <c r="Q6" s="127"/>
    </row>
    <row r="7" spans="1:17" ht="15.75" thickBot="1" x14ac:dyDescent="0.3">
      <c r="A7" s="189" t="s">
        <v>1</v>
      </c>
      <c r="B7" s="202">
        <v>6</v>
      </c>
      <c r="C7" t="s">
        <v>11</v>
      </c>
      <c r="E7" s="209"/>
      <c r="F7" s="225" t="s">
        <v>331</v>
      </c>
      <c r="G7" s="226" t="s">
        <v>332</v>
      </c>
      <c r="H7" s="4" t="s">
        <v>6</v>
      </c>
      <c r="M7" s="6" t="s">
        <v>15</v>
      </c>
      <c r="P7" s="127"/>
      <c r="Q7" s="127"/>
    </row>
    <row r="8" spans="1:17" ht="15.75" thickBot="1" x14ac:dyDescent="0.3">
      <c r="A8" s="213" t="s">
        <v>326</v>
      </c>
      <c r="B8" s="214">
        <v>1</v>
      </c>
      <c r="E8" s="222" t="s">
        <v>343</v>
      </c>
      <c r="F8" s="223">
        <f>INDEX(J34:J38,MATCH(B8,I34:I38,0),1)</f>
        <v>0.125</v>
      </c>
      <c r="G8" s="224">
        <v>0.125</v>
      </c>
      <c r="M8" s="6" t="s">
        <v>16</v>
      </c>
      <c r="P8" s="127"/>
      <c r="Q8" s="127"/>
    </row>
    <row r="9" spans="1:17" ht="15.75" thickBot="1" x14ac:dyDescent="0.3">
      <c r="A9" s="217" t="s">
        <v>81</v>
      </c>
      <c r="B9" s="201">
        <v>6</v>
      </c>
      <c r="C9" t="s">
        <v>11</v>
      </c>
      <c r="H9" t="s">
        <v>7</v>
      </c>
      <c r="J9" s="5" t="s">
        <v>10</v>
      </c>
      <c r="M9" s="6" t="s">
        <v>17</v>
      </c>
      <c r="P9" s="127"/>
      <c r="Q9" s="127"/>
    </row>
    <row r="10" spans="1:17" ht="15.75" thickBot="1" x14ac:dyDescent="0.3">
      <c r="A10" s="218" t="s">
        <v>335</v>
      </c>
      <c r="B10" s="202">
        <v>18</v>
      </c>
      <c r="C10" t="s">
        <v>11</v>
      </c>
      <c r="H10" t="s">
        <v>8</v>
      </c>
      <c r="J10" t="s">
        <v>145</v>
      </c>
      <c r="M10" s="6" t="s">
        <v>18</v>
      </c>
      <c r="P10" s="127"/>
      <c r="Q10" s="127"/>
    </row>
    <row r="11" spans="1:17" ht="15.75" thickBot="1" x14ac:dyDescent="0.3">
      <c r="A11" s="219" t="s">
        <v>86</v>
      </c>
      <c r="B11" s="203">
        <v>42</v>
      </c>
      <c r="C11" t="s">
        <v>11</v>
      </c>
      <c r="M11" s="6" t="s">
        <v>19</v>
      </c>
      <c r="P11" s="127"/>
      <c r="Q11" s="127"/>
    </row>
    <row r="12" spans="1:17" ht="15.75" thickBot="1" x14ac:dyDescent="0.3">
      <c r="A12" s="23"/>
      <c r="B12" s="23"/>
      <c r="C12" s="23"/>
      <c r="H12" t="s">
        <v>314</v>
      </c>
      <c r="J12">
        <v>1.1000000000000001</v>
      </c>
      <c r="M12" s="6" t="s">
        <v>20</v>
      </c>
      <c r="P12" s="127"/>
      <c r="Q12" s="127"/>
    </row>
    <row r="13" spans="1:17" ht="15.75" thickBot="1" x14ac:dyDescent="0.3">
      <c r="A13" s="251" t="s">
        <v>2</v>
      </c>
      <c r="B13" s="252"/>
      <c r="C13" s="252"/>
      <c r="D13" s="253"/>
      <c r="H13" t="s">
        <v>315</v>
      </c>
      <c r="J13">
        <v>1</v>
      </c>
      <c r="M13" s="6" t="s">
        <v>89</v>
      </c>
      <c r="P13" s="127" t="s">
        <v>328</v>
      </c>
      <c r="Q13" s="127">
        <f>1*25*1.2</f>
        <v>30</v>
      </c>
    </row>
    <row r="14" spans="1:17" ht="15.75" thickBot="1" x14ac:dyDescent="0.3">
      <c r="A14" s="198" t="s">
        <v>3</v>
      </c>
      <c r="B14" s="207" t="s">
        <v>4</v>
      </c>
      <c r="J14">
        <v>0.8</v>
      </c>
      <c r="P14" s="127" t="s">
        <v>329</v>
      </c>
      <c r="Q14" s="127">
        <f>1*35*1.2</f>
        <v>42</v>
      </c>
    </row>
    <row r="15" spans="1:17" ht="30.75" thickBot="1" x14ac:dyDescent="0.3">
      <c r="A15" s="193" t="s">
        <v>148</v>
      </c>
      <c r="B15" s="192">
        <f>IF(J19="да",IF(D15="по СП РК EN",INDEX('[1]СП РК EN'!$I$3:$I$1000,MATCH(B2,'[1]СП РК EN'!$B$3:$B$1000,0),1),INDEX('[1]СП РК EN'!$H$3:$H$1000,MATCH(B2,'[1]СП РК EN'!$B$3:$B$1000,0),1)),INDEX('[1]СП 20'!$G$3:$G$1000,MATCH(B2,'[1]СП 20'!$B$3:$B$1000,0),1))</f>
        <v>0.38</v>
      </c>
      <c r="C15" s="195" t="s">
        <v>9</v>
      </c>
      <c r="D15" s="205" t="s">
        <v>145</v>
      </c>
      <c r="P15" s="127" t="s">
        <v>330</v>
      </c>
      <c r="Q15" s="127">
        <f>1*45*1.2</f>
        <v>54</v>
      </c>
    </row>
    <row r="16" spans="1:17" ht="15.75" hidden="1" thickBot="1" x14ac:dyDescent="0.3">
      <c r="A16" s="194"/>
      <c r="B16" s="197"/>
      <c r="C16" s="195"/>
      <c r="D16" s="206"/>
      <c r="M16" s="210" t="s">
        <v>323</v>
      </c>
      <c r="P16" s="127"/>
      <c r="Q16" s="127"/>
    </row>
    <row r="17" spans="1:17" ht="30.75" thickBot="1" x14ac:dyDescent="0.3">
      <c r="A17" s="191" t="s">
        <v>327</v>
      </c>
      <c r="B17" s="204" t="s">
        <v>329</v>
      </c>
      <c r="C17" s="208" t="s">
        <v>319</v>
      </c>
      <c r="D17" s="196">
        <f>INDEX(Q13:Q15,MATCH(B17,P13:P15,0),1)/100</f>
        <v>0.42</v>
      </c>
      <c r="E17" t="s">
        <v>25</v>
      </c>
      <c r="J17" t="s">
        <v>146</v>
      </c>
      <c r="M17">
        <v>1</v>
      </c>
      <c r="P17" s="127"/>
      <c r="Q17" s="127"/>
    </row>
    <row r="18" spans="1:17" x14ac:dyDescent="0.25">
      <c r="J18" t="e">
        <f>INDEX('[1]СП РК EN'!$C$3:$C$1000,MATCH(B2,'[1]СП РК EN'!$B$3:$B$1000,0),1)</f>
        <v>#N/A</v>
      </c>
      <c r="K18" t="str">
        <f>IFERROR(J18,"нет")</f>
        <v>нет</v>
      </c>
      <c r="M18">
        <v>2</v>
      </c>
      <c r="P18" s="127"/>
      <c r="Q18" s="127"/>
    </row>
    <row r="19" spans="1:17" ht="14.25" customHeight="1" thickBot="1" x14ac:dyDescent="0.3">
      <c r="I19" t="s">
        <v>147</v>
      </c>
      <c r="J19" t="str">
        <f>IF(K18="нет","нет","да")</f>
        <v>нет</v>
      </c>
      <c r="M19">
        <v>3</v>
      </c>
      <c r="P19" s="127"/>
      <c r="Q19" s="127"/>
    </row>
    <row r="20" spans="1:17" ht="15.75" thickBot="1" x14ac:dyDescent="0.3">
      <c r="A20" s="209" t="s">
        <v>311</v>
      </c>
      <c r="B20" s="212">
        <v>0.85</v>
      </c>
    </row>
    <row r="21" spans="1:17" x14ac:dyDescent="0.25">
      <c r="E21" s="187"/>
    </row>
    <row r="22" spans="1:17" ht="30.75" customHeight="1" thickBot="1" x14ac:dyDescent="0.3">
      <c r="A22" s="254" t="s">
        <v>423</v>
      </c>
      <c r="B22" s="254"/>
      <c r="C22" s="254"/>
      <c r="D22" s="254"/>
    </row>
    <row r="23" spans="1:17" ht="15.75" thickBot="1" x14ac:dyDescent="0.3">
      <c r="A23" s="237" t="s">
        <v>312</v>
      </c>
      <c r="B23" s="239" t="s">
        <v>316</v>
      </c>
      <c r="C23" s="237" t="s">
        <v>298</v>
      </c>
      <c r="D23" s="248" t="s">
        <v>426</v>
      </c>
      <c r="E23" s="220"/>
    </row>
    <row r="24" spans="1:17" x14ac:dyDescent="0.25">
      <c r="A24" s="238">
        <v>1</v>
      </c>
      <c r="B24" s="240" t="str">
        <f>Расчет!B22</f>
        <v>кв.120х3</v>
      </c>
      <c r="C24" s="238" t="str">
        <f>Расчет!B23</f>
        <v>С245</v>
      </c>
      <c r="D24" s="245">
        <f>Расчет!B21</f>
        <v>66.001599999999996</v>
      </c>
      <c r="E24" s="221"/>
    </row>
    <row r="25" spans="1:17" x14ac:dyDescent="0.25">
      <c r="A25" s="241">
        <v>2</v>
      </c>
      <c r="B25" s="242" t="str">
        <f>Расчет!C22</f>
        <v>кв.120х3</v>
      </c>
      <c r="C25" s="241" t="str">
        <f>Расчет!C23</f>
        <v>С345</v>
      </c>
      <c r="D25" s="246">
        <f>Расчет!C21</f>
        <v>66.014799999999994</v>
      </c>
    </row>
    <row r="26" spans="1:17" x14ac:dyDescent="0.25">
      <c r="A26" s="241">
        <v>3</v>
      </c>
      <c r="B26" s="242" t="str">
        <f>Расчет!D22</f>
        <v>кв.120х4</v>
      </c>
      <c r="C26" s="241" t="str">
        <f>Расчет!D23</f>
        <v>С245</v>
      </c>
      <c r="D26" s="246">
        <f>Расчет!D21</f>
        <v>87.0017</v>
      </c>
    </row>
    <row r="27" spans="1:17" x14ac:dyDescent="0.25">
      <c r="A27" s="241">
        <v>4</v>
      </c>
      <c r="B27" s="242" t="str">
        <f>Расчет!E22</f>
        <v>пр.140х100х4</v>
      </c>
      <c r="C27" s="241" t="str">
        <f>Расчет!E23</f>
        <v>С245</v>
      </c>
      <c r="D27" s="246">
        <f>Расчет!E21</f>
        <v>87.007800000000003</v>
      </c>
    </row>
    <row r="28" spans="1:17" x14ac:dyDescent="0.25">
      <c r="A28" s="241">
        <v>5</v>
      </c>
      <c r="B28" s="242" t="str">
        <f>Расчет!F22</f>
        <v>кв.120х4</v>
      </c>
      <c r="C28" s="241" t="str">
        <f>Расчет!F23</f>
        <v>С345</v>
      </c>
      <c r="D28" s="246">
        <f>Расчет!F21</f>
        <v>87.014899999999997</v>
      </c>
    </row>
    <row r="29" spans="1:17" x14ac:dyDescent="0.25">
      <c r="A29" s="241">
        <v>6</v>
      </c>
      <c r="B29" s="242" t="str">
        <f>Расчет!G22</f>
        <v>пр.140х100х4</v>
      </c>
      <c r="C29" s="241" t="str">
        <f>Расчет!G23</f>
        <v>С345</v>
      </c>
      <c r="D29" s="246">
        <f>Расчет!G21</f>
        <v>87.021000000000001</v>
      </c>
    </row>
    <row r="30" spans="1:17" x14ac:dyDescent="0.25">
      <c r="A30" s="241">
        <v>7</v>
      </c>
      <c r="B30" s="242" t="str">
        <f>Расчет!H22</f>
        <v>пр.140х100х4 90°</v>
      </c>
      <c r="C30" s="241" t="str">
        <f>Расчет!H23</f>
        <v>С245</v>
      </c>
      <c r="D30" s="246">
        <f>Расчет!H21</f>
        <v>87.028300000000002</v>
      </c>
    </row>
    <row r="31" spans="1:17" x14ac:dyDescent="0.25">
      <c r="A31" s="241">
        <v>8</v>
      </c>
      <c r="B31" s="242" t="str">
        <f>Расчет!I22</f>
        <v>пр.140х100х4 90°</v>
      </c>
      <c r="C31" s="241" t="str">
        <f>Расчет!I23</f>
        <v>С345</v>
      </c>
      <c r="D31" s="246">
        <f>Расчет!I21</f>
        <v>87.035600000000002</v>
      </c>
    </row>
    <row r="32" spans="1:17" x14ac:dyDescent="0.25">
      <c r="A32" s="241">
        <v>9</v>
      </c>
      <c r="B32" s="242" t="str">
        <f>Расчет!J22</f>
        <v>кв.100х5</v>
      </c>
      <c r="C32" s="241" t="str">
        <f>Расчет!J23</f>
        <v>С245</v>
      </c>
      <c r="D32" s="246">
        <f>Расчет!J21</f>
        <v>88.801300000000012</v>
      </c>
    </row>
    <row r="33" spans="1:12" ht="15.75" thickBot="1" x14ac:dyDescent="0.3">
      <c r="A33" s="243">
        <v>10</v>
      </c>
      <c r="B33" s="244" t="str">
        <f>Расчет!K22</f>
        <v>кв.100х5</v>
      </c>
      <c r="C33" s="243" t="str">
        <f>Расчет!K23</f>
        <v>С345</v>
      </c>
      <c r="D33" s="247">
        <f>Расчет!K21</f>
        <v>88.81450000000001</v>
      </c>
      <c r="J33" t="s">
        <v>342</v>
      </c>
      <c r="K33" t="s">
        <v>0</v>
      </c>
      <c r="L33" t="s">
        <v>341</v>
      </c>
    </row>
    <row r="34" spans="1:12" ht="30.75" customHeight="1" x14ac:dyDescent="0.25">
      <c r="I34">
        <v>1</v>
      </c>
      <c r="J34">
        <v>0.125</v>
      </c>
      <c r="K34">
        <v>1</v>
      </c>
      <c r="L34">
        <v>1</v>
      </c>
    </row>
    <row r="35" spans="1:12" ht="15.75" thickBot="1" x14ac:dyDescent="0.3">
      <c r="A35" t="s">
        <v>422</v>
      </c>
      <c r="I35">
        <v>2</v>
      </c>
      <c r="J35">
        <v>5.5E-2</v>
      </c>
      <c r="K35">
        <f>5/6</f>
        <v>0.83333333333333337</v>
      </c>
      <c r="L35">
        <v>0.13</v>
      </c>
    </row>
    <row r="36" spans="1:12" ht="15.75" thickBot="1" x14ac:dyDescent="0.3">
      <c r="A36" s="237" t="s">
        <v>312</v>
      </c>
      <c r="B36" s="239" t="s">
        <v>316</v>
      </c>
      <c r="C36" s="237" t="s">
        <v>298</v>
      </c>
      <c r="D36" s="248" t="s">
        <v>426</v>
      </c>
      <c r="I36">
        <v>3</v>
      </c>
      <c r="J36">
        <v>6.2E-2</v>
      </c>
      <c r="K36">
        <v>0.33</v>
      </c>
      <c r="L36">
        <v>0.24</v>
      </c>
    </row>
    <row r="37" spans="1:12" x14ac:dyDescent="0.25">
      <c r="A37" s="238">
        <v>1</v>
      </c>
      <c r="B37" s="240" t="str">
        <f>Расчет!B27</f>
        <v>кв.100х3</v>
      </c>
      <c r="C37" s="238" t="str">
        <f>Расчет!B28</f>
        <v>С245</v>
      </c>
      <c r="D37" s="245">
        <f>Расчет!B26</f>
        <v>54.601099999999995</v>
      </c>
      <c r="I37">
        <v>4</v>
      </c>
      <c r="J37">
        <v>7.8E-2</v>
      </c>
      <c r="K37">
        <v>0.5</v>
      </c>
      <c r="L37">
        <v>0.5</v>
      </c>
    </row>
    <row r="38" spans="1:12" x14ac:dyDescent="0.25">
      <c r="A38" s="241">
        <v>2</v>
      </c>
      <c r="B38" s="242" t="str">
        <f>Расчет!C27</f>
        <v>кв.100х3</v>
      </c>
      <c r="C38" s="241" t="str">
        <f>Расчет!C28</f>
        <v>С345</v>
      </c>
      <c r="D38" s="246">
        <f>Расчет!C26</f>
        <v>54.614299999999993</v>
      </c>
      <c r="I38">
        <v>5</v>
      </c>
      <c r="J38">
        <v>7.2999999999999995E-2</v>
      </c>
      <c r="K38">
        <v>0.75</v>
      </c>
      <c r="L38">
        <v>0.2</v>
      </c>
    </row>
    <row r="39" spans="1:12" x14ac:dyDescent="0.25">
      <c r="A39" s="241">
        <v>3</v>
      </c>
      <c r="B39" s="242" t="str">
        <f>Расчет!D27</f>
        <v>пр.120х80х3 90°</v>
      </c>
      <c r="C39" s="241" t="str">
        <f>Расчет!D28</f>
        <v>С245</v>
      </c>
      <c r="D39" s="246">
        <f>Расчет!D26</f>
        <v>54.627399999999994</v>
      </c>
    </row>
    <row r="40" spans="1:12" x14ac:dyDescent="0.25">
      <c r="A40" s="241">
        <v>4</v>
      </c>
      <c r="B40" s="242" t="str">
        <f>Расчет!E27</f>
        <v>пр.120х80х3 90°</v>
      </c>
      <c r="C40" s="241" t="str">
        <f>Расчет!E28</f>
        <v>С345</v>
      </c>
      <c r="D40" s="246">
        <f>Расчет!E26</f>
        <v>54.634699999999995</v>
      </c>
    </row>
    <row r="41" spans="1:12" x14ac:dyDescent="0.25">
      <c r="A41" s="241">
        <v>5</v>
      </c>
      <c r="B41" s="242" t="str">
        <f>Расчет!F27</f>
        <v>кв.120х3</v>
      </c>
      <c r="C41" s="241" t="str">
        <f>Расчет!F28</f>
        <v>С245</v>
      </c>
      <c r="D41" s="246">
        <f>Расчет!F26</f>
        <v>66.001599999999996</v>
      </c>
    </row>
    <row r="42" spans="1:12" x14ac:dyDescent="0.25">
      <c r="A42" s="241">
        <v>6</v>
      </c>
      <c r="B42" s="242" t="str">
        <f>Расчет!G27</f>
        <v>кв.120х3</v>
      </c>
      <c r="C42" s="241" t="str">
        <f>Расчет!G28</f>
        <v>С345</v>
      </c>
      <c r="D42" s="246">
        <f>Расчет!G26</f>
        <v>66.014799999999994</v>
      </c>
    </row>
    <row r="43" spans="1:12" x14ac:dyDescent="0.25">
      <c r="A43" s="241">
        <v>7</v>
      </c>
      <c r="B43" s="242" t="str">
        <f>Расчет!H27</f>
        <v>кв.100х4</v>
      </c>
      <c r="C43" s="241" t="str">
        <f>Расчет!H28</f>
        <v>С245</v>
      </c>
      <c r="D43" s="246">
        <f>Расчет!H26</f>
        <v>72.001199999999997</v>
      </c>
    </row>
    <row r="44" spans="1:12" x14ac:dyDescent="0.25">
      <c r="A44" s="241">
        <v>8</v>
      </c>
      <c r="B44" s="242" t="str">
        <f>Расчет!I27</f>
        <v>пр.120х80х4</v>
      </c>
      <c r="C44" s="241" t="str">
        <f>Расчет!I28</f>
        <v>С245</v>
      </c>
      <c r="D44" s="246">
        <f>Расчет!I26</f>
        <v>72.007000000000005</v>
      </c>
    </row>
    <row r="45" spans="1:12" x14ac:dyDescent="0.25">
      <c r="A45" s="241">
        <v>9</v>
      </c>
      <c r="B45" s="242" t="str">
        <f>Расчет!J27</f>
        <v>кв.100х4</v>
      </c>
      <c r="C45" s="241" t="str">
        <f>Расчет!J28</f>
        <v>С345</v>
      </c>
      <c r="D45" s="246">
        <f>Расчет!J26</f>
        <v>72.014399999999995</v>
      </c>
    </row>
    <row r="46" spans="1:12" ht="15.75" thickBot="1" x14ac:dyDescent="0.3">
      <c r="A46" s="243">
        <v>10</v>
      </c>
      <c r="B46" s="244" t="str">
        <f>Расчет!K27</f>
        <v>пр.120х80х4</v>
      </c>
      <c r="C46" s="243" t="str">
        <f>Расчет!K28</f>
        <v>С345</v>
      </c>
      <c r="D46" s="247">
        <f>Расчет!K26</f>
        <v>72.020200000000003</v>
      </c>
    </row>
    <row r="48" spans="1:12" ht="15" customHeight="1" x14ac:dyDescent="0.25">
      <c r="A48" s="254" t="s">
        <v>427</v>
      </c>
      <c r="B48" s="254"/>
      <c r="C48" s="254"/>
      <c r="D48" s="254"/>
      <c r="E48" s="254"/>
      <c r="F48" s="254"/>
      <c r="G48" s="254"/>
    </row>
    <row r="49" spans="1:7" x14ac:dyDescent="0.25">
      <c r="A49" s="254"/>
      <c r="B49" s="254"/>
      <c r="C49" s="254"/>
      <c r="D49" s="254"/>
      <c r="E49" s="254"/>
      <c r="F49" s="254"/>
      <c r="G49" s="254"/>
    </row>
    <row r="50" spans="1:7" x14ac:dyDescent="0.25">
      <c r="A50" s="254"/>
      <c r="B50" s="254"/>
      <c r="C50" s="254"/>
      <c r="D50" s="254"/>
      <c r="E50" s="254"/>
      <c r="F50" s="254"/>
      <c r="G50" s="254"/>
    </row>
    <row r="51" spans="1:7" x14ac:dyDescent="0.25">
      <c r="A51" s="254"/>
      <c r="B51" s="254"/>
      <c r="C51" s="254"/>
      <c r="D51" s="254"/>
      <c r="E51" s="254"/>
      <c r="F51" s="254"/>
      <c r="G51" s="254"/>
    </row>
    <row r="53" spans="1:7" x14ac:dyDescent="0.25">
      <c r="A53" t="s">
        <v>429</v>
      </c>
    </row>
  </sheetData>
  <mergeCells count="4">
    <mergeCell ref="A5:B5"/>
    <mergeCell ref="A13:D13"/>
    <mergeCell ref="A22:D22"/>
    <mergeCell ref="A48:G51"/>
  </mergeCells>
  <dataValidations count="5">
    <dataValidation type="list" allowBlank="1" showInputMessage="1" showErrorMessage="1" sqref="B14">
      <formula1>$H$5:$H$7</formula1>
    </dataValidation>
    <dataValidation type="list" allowBlank="1" showInputMessage="1" showErrorMessage="1" sqref="D15:D16">
      <formula1>$J$9:$J$10</formula1>
    </dataValidation>
    <dataValidation type="list" allowBlank="1" showInputMessage="1" showErrorMessage="1" sqref="B3">
      <formula1>$J$12:$J$14</formula1>
    </dataValidation>
    <dataValidation type="list" allowBlank="1" showInputMessage="1" showErrorMessage="1" sqref="B17">
      <formula1>$P$13:$P$15</formula1>
    </dataValidation>
    <dataValidation type="list" allowBlank="1" showInputMessage="1" showErrorMessage="1" sqref="B8">
      <formula1>$I$34:$I$38</formula1>
    </dataValidation>
  </dataValidations>
  <pageMargins left="0.7" right="0.7" top="0.75" bottom="0.75" header="0.3" footer="0.3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3"/>
  <sheetViews>
    <sheetView topLeftCell="O1" zoomScale="85" zoomScaleNormal="85" workbookViewId="0">
      <selection activeCell="AK16" sqref="AK16"/>
    </sheetView>
  </sheetViews>
  <sheetFormatPr defaultRowHeight="15" x14ac:dyDescent="0.25"/>
  <cols>
    <col min="2" max="2" width="11.5703125" customWidth="1"/>
    <col min="3" max="3" width="14.140625" customWidth="1"/>
    <col min="14" max="14" width="14.85546875" customWidth="1"/>
    <col min="16" max="17" width="9.140625" style="1"/>
    <col min="18" max="18" width="21.5703125" customWidth="1"/>
    <col min="33" max="33" width="12" customWidth="1"/>
    <col min="34" max="34" width="12.28515625" customWidth="1"/>
    <col min="35" max="35" width="12" customWidth="1"/>
    <col min="37" max="37" width="19" customWidth="1"/>
    <col min="39" max="39" width="13" customWidth="1"/>
    <col min="40" max="40" width="18" customWidth="1"/>
    <col min="43" max="46" width="12.28515625" customWidth="1"/>
    <col min="47" max="47" width="12" customWidth="1"/>
    <col min="48" max="48" width="12.28515625" customWidth="1"/>
    <col min="49" max="49" width="12" customWidth="1"/>
  </cols>
  <sheetData>
    <row r="1" spans="1:50" ht="16.5" thickBot="1" x14ac:dyDescent="0.3">
      <c r="N1" t="s">
        <v>313</v>
      </c>
      <c r="O1" t="s">
        <v>312</v>
      </c>
      <c r="P1" s="1" t="s">
        <v>298</v>
      </c>
      <c r="Q1" s="1" t="s">
        <v>301</v>
      </c>
      <c r="R1" s="215"/>
      <c r="S1" s="170" t="s">
        <v>282</v>
      </c>
      <c r="T1" s="171" t="s">
        <v>283</v>
      </c>
      <c r="U1" s="171" t="s">
        <v>284</v>
      </c>
      <c r="V1" s="171" t="s">
        <v>285</v>
      </c>
      <c r="W1" s="171" t="s">
        <v>286</v>
      </c>
      <c r="X1" s="170" t="s">
        <v>294</v>
      </c>
      <c r="Y1" s="170" t="s">
        <v>295</v>
      </c>
      <c r="Z1" s="170" t="s">
        <v>287</v>
      </c>
      <c r="AA1" s="171" t="s">
        <v>288</v>
      </c>
      <c r="AB1" s="171" t="s">
        <v>289</v>
      </c>
      <c r="AC1" s="171" t="s">
        <v>290</v>
      </c>
      <c r="AD1" s="171" t="s">
        <v>291</v>
      </c>
      <c r="AE1" s="171" t="s">
        <v>292</v>
      </c>
      <c r="AF1" s="171" t="s">
        <v>293</v>
      </c>
      <c r="AG1" s="178"/>
      <c r="AH1" s="211" t="s">
        <v>322</v>
      </c>
      <c r="AI1" s="178"/>
      <c r="AJ1" s="173"/>
      <c r="AK1" s="211" t="s">
        <v>419</v>
      </c>
      <c r="AM1" s="173"/>
      <c r="AN1" s="211" t="s">
        <v>420</v>
      </c>
      <c r="AP1" s="173"/>
      <c r="AQ1" s="211" t="s">
        <v>425</v>
      </c>
      <c r="AR1" s="211"/>
      <c r="AS1" s="173"/>
      <c r="AT1" s="211" t="s">
        <v>424</v>
      </c>
      <c r="AU1" s="185"/>
      <c r="AV1" s="211" t="s">
        <v>418</v>
      </c>
      <c r="AW1" s="128"/>
      <c r="AX1" s="211" t="s">
        <v>421</v>
      </c>
    </row>
    <row r="2" spans="1:50" x14ac:dyDescent="0.25">
      <c r="R2" s="216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3"/>
      <c r="AH2" s="173">
        <v>300</v>
      </c>
      <c r="AI2" s="173"/>
      <c r="AJ2" s="173" t="s">
        <v>336</v>
      </c>
      <c r="AK2" s="173">
        <f>(D8*Лист1!B6+0.6*0.32*0.5)*Лист1!B7^2*Лист1!F8</f>
        <v>2.3220000000000001</v>
      </c>
      <c r="AM2" s="173" t="s">
        <v>336</v>
      </c>
      <c r="AN2" s="173">
        <f>(0.6*0.32*0.5)*Лист1!B7^2*Лист1!F8</f>
        <v>0.432</v>
      </c>
      <c r="AP2" s="173" t="s">
        <v>336</v>
      </c>
      <c r="AQ2" s="173">
        <f>(D8*Лист1!B6+0.6*0.3*0.5)</f>
        <v>0.51</v>
      </c>
      <c r="AR2" s="173"/>
      <c r="AS2" s="173" t="s">
        <v>336</v>
      </c>
      <c r="AT2" s="173">
        <f>(0.6*0.3*0.5)</f>
        <v>0.09</v>
      </c>
      <c r="AU2" s="173"/>
      <c r="AV2" s="173">
        <v>300</v>
      </c>
      <c r="AW2" s="173"/>
      <c r="AX2" s="173">
        <v>300</v>
      </c>
    </row>
    <row r="3" spans="1:50" ht="15.75" thickBot="1" x14ac:dyDescent="0.3">
      <c r="R3" s="216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3"/>
      <c r="AH3" s="173"/>
      <c r="AI3" s="173"/>
      <c r="AJ3" s="178" t="s">
        <v>337</v>
      </c>
      <c r="AK3" s="173">
        <f>(D9*(Лист1!B6+1.2)/2)*Лист1!B7^2*Лист1!G8</f>
        <v>4.3367760853401602</v>
      </c>
      <c r="AM3" s="178" t="s">
        <v>337</v>
      </c>
      <c r="AN3" s="173">
        <f>(D9*(Лист1!B6+1.2)/2)*Лист1!B7^2*Лист1!G8</f>
        <v>4.3367760853401602</v>
      </c>
      <c r="AP3" s="178" t="s">
        <v>337</v>
      </c>
      <c r="AQ3" s="173">
        <f>(D9*(Лист1!B6+1.2)/2)</f>
        <v>0.96372801896448013</v>
      </c>
      <c r="AR3" s="173"/>
      <c r="AS3" s="178" t="s">
        <v>337</v>
      </c>
      <c r="AT3" s="173">
        <f>(F9*(Лист1!B6+1.2)/2)</f>
        <v>0.57364763033600019</v>
      </c>
      <c r="AU3" s="173"/>
      <c r="AV3" s="173"/>
      <c r="AW3" s="173"/>
      <c r="AX3" s="173"/>
    </row>
    <row r="4" spans="1:50" ht="16.5" thickBot="1" x14ac:dyDescent="0.3">
      <c r="O4">
        <v>1</v>
      </c>
      <c r="P4" s="1" t="s">
        <v>297</v>
      </c>
      <c r="Q4" s="1">
        <v>240</v>
      </c>
      <c r="R4" s="129" t="s">
        <v>150</v>
      </c>
      <c r="S4" s="184">
        <v>50</v>
      </c>
      <c r="T4" s="184">
        <v>50</v>
      </c>
      <c r="X4" s="130">
        <v>3.9</v>
      </c>
      <c r="Y4" s="131">
        <v>3</v>
      </c>
      <c r="Z4" s="130">
        <v>14.4</v>
      </c>
      <c r="AA4" s="130">
        <v>5.7</v>
      </c>
      <c r="AC4" s="130">
        <v>1.96</v>
      </c>
      <c r="AD4" s="130">
        <v>14.4</v>
      </c>
      <c r="AE4" s="130">
        <v>5.7</v>
      </c>
      <c r="AF4" s="130">
        <v>1.96</v>
      </c>
      <c r="AG4" s="174"/>
      <c r="AH4" s="174">
        <f>MAX($D$17*100/$AC4,$D$18*100/$AF4)/200</f>
        <v>1.5306122448979593</v>
      </c>
      <c r="AI4" s="174"/>
      <c r="AJ4" s="175"/>
      <c r="AK4" s="174">
        <f>(($AK$2+Y4*Лист1!$B$7^2*Лист1!$G$8/100)/(AA4/10^6)+$AK$3/(AE4/10^6))/1000/($Q4*IF(Лист1!$J$19="да",1/1.05,1))</f>
        <v>4.9662105886989467</v>
      </c>
      <c r="AM4" s="175"/>
      <c r="AN4" s="174">
        <f>(($AK$2+Y4*Лист1!$B$7^2*Лист1!$G$8/100)/(AA4/10^6)+$AK$3/(AE4/10^6))/1000/($Q4*IF(Лист1!$J$19="да",1/1.05,1))</f>
        <v>4.9662105886989467</v>
      </c>
      <c r="AP4" s="175"/>
      <c r="AQ4" s="174">
        <f>MAX((5/384*($AQ$2+$Y4/100)*$D$17^4/(2.06*10^8*$Z4/10^8))/($D$17/300)*INDEX(Лист1!$L$34:$L$38,MATCH(Лист1!$B$8,Лист1!$I$34:$I$38,0),1),(5/384*($AQ$3)*$D$17^4/(2.06*10^8*$AD4/10^8))/($D$17/200))</f>
        <v>18.274575602330103</v>
      </c>
      <c r="AR4" s="174"/>
      <c r="AS4" s="175"/>
      <c r="AT4" s="174">
        <f>MAX((5/384*($AT$2+$Y4/100)*$D$17^4/(2.06*10^8*$Z4/10^8))/($D$17/300)*INDEX(Лист1!$L$34:$L$38,MATCH(Лист1!$B$8,Лист1!$I$34:$I$38,0),1),(5/384*($AT$3)*$D$17^4/(2.06*10^8*$AD4/10^8))/($D$17/200))</f>
        <v>10.877723572815537</v>
      </c>
      <c r="AU4" s="174"/>
      <c r="AV4" s="174">
        <f>IF(OR(MAX(AH4,AQ4)&gt;1,AK4&gt;Лист1!$B$20,N4="-"),999999999,Y4*Лист1!$B$7+0.0001*O4)</f>
        <v>999999999</v>
      </c>
      <c r="AW4" s="174"/>
      <c r="AX4" s="174">
        <f>IF(OR(MAX(AH4,AT4)&gt;1,AN4&gt;Лист1!$B$20,N4="-"),999999999,Y4*Лист1!$B$7+0.0001*O4)</f>
        <v>999999999</v>
      </c>
    </row>
    <row r="5" spans="1:50" ht="16.5" thickBot="1" x14ac:dyDescent="0.3">
      <c r="N5" t="s">
        <v>344</v>
      </c>
      <c r="O5">
        <v>2</v>
      </c>
      <c r="P5" s="1" t="s">
        <v>297</v>
      </c>
      <c r="Q5" s="1">
        <v>240</v>
      </c>
      <c r="R5" s="129" t="s">
        <v>151</v>
      </c>
      <c r="S5" s="184">
        <v>50</v>
      </c>
      <c r="T5" s="184">
        <v>50</v>
      </c>
      <c r="X5" s="132">
        <v>4.7</v>
      </c>
      <c r="Y5" s="133">
        <v>3.6</v>
      </c>
      <c r="Z5" s="132">
        <v>17.2</v>
      </c>
      <c r="AA5" s="132">
        <v>6.8</v>
      </c>
      <c r="AC5" s="132">
        <v>1.93</v>
      </c>
      <c r="AD5" s="132">
        <v>17.2</v>
      </c>
      <c r="AE5" s="132">
        <v>6.8</v>
      </c>
      <c r="AF5" s="132">
        <v>1.93</v>
      </c>
      <c r="AG5" s="174"/>
      <c r="AH5" s="174">
        <f t="shared" ref="AH5:AH68" si="0">MAX($D$18*100/$AC5,$D$17*100/$AF5)/200</f>
        <v>1.5544041450777204</v>
      </c>
      <c r="AI5" s="174"/>
      <c r="AJ5" s="175"/>
      <c r="AK5" s="174">
        <f>(($AK$2+Y5*Лист1!$B$7^2*Лист1!$G$8/100)/(AA5/10^6)+$AK$3/(AE5/10^6))/1000/($Q5*IF(Лист1!$J$19="да",1/1.05,1))</f>
        <v>4.1793971111152945</v>
      </c>
      <c r="AM5" s="175"/>
      <c r="AN5" s="174">
        <f>(($AK$2+Y5*Лист1!$B$7^2*Лист1!$G$8/100)/(AA5/10^6)+$AK$3/(AE5/10^6))/1000/($Q5*IF(Лист1!$J$19="да",1/1.05,1))</f>
        <v>4.1793971111152945</v>
      </c>
      <c r="AP5" s="175"/>
      <c r="AQ5" s="174">
        <f>MAX((5/384*($AQ$2+$Y5/100)*$D$17^4/(2.06*10^8*$Z5/10^8))/($D$17/300)*INDEX(Лист1!$L$34:$L$38,MATCH(Лист1!$B$8,Лист1!$I$34:$I$38,0),1),(5/384*($AQ$3)*$D$17^4/(2.06*10^8*$AD5/10^8))/($D$17/200))</f>
        <v>15.299644690322875</v>
      </c>
      <c r="AR5" s="174"/>
      <c r="AS5" s="175"/>
      <c r="AT5" s="174">
        <f>MAX((5/384*($AT$2+$Y5/100)*$D$17^4/(2.06*10^8*$Z5/10^8))/($D$17/300)*INDEX(Лист1!$L$34:$L$38,MATCH(Лист1!$B$8,Лист1!$I$34:$I$38,0),1),(5/384*($AT$3)*$D$17^4/(2.06*10^8*$AD5/10^8))/($D$17/200))</f>
        <v>9.1069313632874263</v>
      </c>
      <c r="AU5" s="174"/>
      <c r="AV5" s="174">
        <f>IF(OR(MAX(AH5,AQ5)&gt;1,AK5&gt;Лист1!$B$20,N5="-"),999999999,Y5*Лист1!$B$7+0.0001*O5)</f>
        <v>999999999</v>
      </c>
      <c r="AW5" s="174"/>
      <c r="AX5" s="174">
        <f>IF(OR(MAX(AH5,AT5)&gt;1,AN5&gt;Лист1!$B$20,N5="-"),999999999,Y5*Лист1!$B$7+0.0001*O5)</f>
        <v>999999999</v>
      </c>
    </row>
    <row r="6" spans="1:50" ht="16.5" thickBot="1" x14ac:dyDescent="0.3">
      <c r="O6">
        <f t="shared" ref="O6:O57" si="1">O5+1</f>
        <v>3</v>
      </c>
      <c r="P6" s="179" t="s">
        <v>297</v>
      </c>
      <c r="Q6" s="1">
        <v>240</v>
      </c>
      <c r="R6" s="129" t="s">
        <v>152</v>
      </c>
      <c r="S6" s="184">
        <v>50</v>
      </c>
      <c r="T6" s="184">
        <v>50</v>
      </c>
      <c r="X6" s="132">
        <v>5.5</v>
      </c>
      <c r="Y6" s="133">
        <v>4.3</v>
      </c>
      <c r="Z6" s="132">
        <v>19.899999999999999</v>
      </c>
      <c r="AA6" s="132">
        <v>7.9</v>
      </c>
      <c r="AC6" s="132">
        <v>1.91</v>
      </c>
      <c r="AD6" s="132">
        <v>19.899999999999999</v>
      </c>
      <c r="AE6" s="132">
        <v>7.9</v>
      </c>
      <c r="AF6" s="132">
        <v>1.91</v>
      </c>
      <c r="AG6" s="174"/>
      <c r="AH6" s="174">
        <f t="shared" si="0"/>
        <v>1.5706806282722514</v>
      </c>
      <c r="AI6" s="174"/>
      <c r="AJ6" s="175"/>
      <c r="AK6" s="174">
        <f>(($AK$2+Y6*Лист1!$B$7^2*Лист1!$G$8/100)/(AA6/10^6)+$AK$3/(AE6/10^6))/1000/($Q6*IF(Лист1!$J$19="да",1/1.05,1))</f>
        <v>3.6140696652637976</v>
      </c>
      <c r="AM6" s="175"/>
      <c r="AN6" s="174">
        <f>(($AK$2+Y6*Лист1!$B$7^2*Лист1!$G$8/100)/(AA6/10^6)+$AK$3/(AE6/10^6))/1000/($Q6*IF(Лист1!$J$19="да",1/1.05,1))</f>
        <v>3.6140696652637976</v>
      </c>
      <c r="AP6" s="175"/>
      <c r="AQ6" s="174">
        <f>MAX((5/384*($AQ$2+$Y6/100)*$D$17^4/(2.06*10^8*$Z6/10^8))/($D$17/300)*INDEX(Лист1!$L$34:$L$38,MATCH(Лист1!$B$8,Лист1!$I$34:$I$38,0),1),(5/384*($AQ$3)*$D$17^4/(2.06*10^8*$AD6/10^8))/($D$17/200))</f>
        <v>13.223813501183594</v>
      </c>
      <c r="AR6" s="174"/>
      <c r="AS6" s="175"/>
      <c r="AT6" s="174">
        <f>MAX((5/384*($AT$2+$Y6/100)*$D$17^4/(2.06*10^8*$Z6/10^8))/($D$17/300)*INDEX(Лист1!$L$34:$L$38,MATCH(Лист1!$B$8,Лист1!$I$34:$I$38,0),1),(5/384*($AT$3)*$D$17^4/(2.06*10^8*$AD6/10^8))/($D$17/200))</f>
        <v>7.8713175602283307</v>
      </c>
      <c r="AU6" s="174"/>
      <c r="AV6" s="174">
        <f>IF(OR(MAX(AH6,AQ6)&gt;1,AK6&gt;Лист1!$B$20,N6="-"),999999999,Y6*Лист1!$B$7+0.0001*O6)</f>
        <v>999999999</v>
      </c>
      <c r="AW6" s="174"/>
      <c r="AX6" s="174">
        <f>IF(OR(MAX(AH6,AT6)&gt;1,AN6&gt;Лист1!$B$20,N6="-"),999999999,Y6*Лист1!$B$7+0.0001*O6)</f>
        <v>999999999</v>
      </c>
    </row>
    <row r="7" spans="1:50" ht="16.5" thickBot="1" x14ac:dyDescent="0.3">
      <c r="A7" t="s">
        <v>300</v>
      </c>
      <c r="D7" t="s">
        <v>321</v>
      </c>
      <c r="F7" t="s">
        <v>320</v>
      </c>
      <c r="O7">
        <f t="shared" si="1"/>
        <v>4</v>
      </c>
      <c r="P7" s="179" t="s">
        <v>297</v>
      </c>
      <c r="Q7" s="1">
        <v>240</v>
      </c>
      <c r="R7" s="129" t="s">
        <v>153</v>
      </c>
      <c r="S7" s="184">
        <v>50</v>
      </c>
      <c r="T7" s="184">
        <v>50</v>
      </c>
      <c r="X7" s="132">
        <v>7.1</v>
      </c>
      <c r="Y7" s="133">
        <v>5.5</v>
      </c>
      <c r="Z7" s="132">
        <v>24.5</v>
      </c>
      <c r="AA7" s="132">
        <v>9.8000000000000007</v>
      </c>
      <c r="AC7" s="132">
        <v>1.86</v>
      </c>
      <c r="AD7" s="132">
        <v>24.5</v>
      </c>
      <c r="AE7" s="132">
        <v>9.8000000000000007</v>
      </c>
      <c r="AF7" s="132">
        <v>1.86</v>
      </c>
      <c r="AG7" s="174"/>
      <c r="AH7" s="174">
        <f t="shared" si="0"/>
        <v>1.6129032258064515</v>
      </c>
      <c r="AI7" s="174"/>
      <c r="AJ7" s="175"/>
      <c r="AK7" s="174">
        <f>(($AK$2+Y7*Лист1!$B$7^2*Лист1!$G$8/100)/(AA7/10^6)+$AK$3/(AE7/10^6))/1000/($Q7*IF(Лист1!$J$19="да",1/1.05,1))</f>
        <v>2.9363418730187756</v>
      </c>
      <c r="AM7" s="175"/>
      <c r="AN7" s="174">
        <f>(($AK$2+Y7*Лист1!$B$7^2*Лист1!$G$8/100)/(AA7/10^6)+$AK$3/(AE7/10^6))/1000/($Q7*IF(Лист1!$J$19="да",1/1.05,1))</f>
        <v>2.9363418730187756</v>
      </c>
      <c r="AP7" s="175"/>
      <c r="AQ7" s="174">
        <f>MAX((5/384*($AQ$2+$Y7/100)*$D$17^4/(2.06*10^8*$Z7/10^8))/($D$17/300)*INDEX(Лист1!$L$34:$L$38,MATCH(Лист1!$B$8,Лист1!$I$34:$I$38,0),1),(5/384*($AQ$3)*$D$17^4/(2.06*10^8*$AD7/10^8))/($D$17/200))</f>
        <v>10.740975047900143</v>
      </c>
      <c r="AR7" s="174"/>
      <c r="AS7" s="175"/>
      <c r="AT7" s="174">
        <f>MAX((5/384*($AT$2+$Y7/100)*$D$17^4/(2.06*10^8*$Z7/10^8))/($D$17/300)*INDEX(Лист1!$L$34:$L$38,MATCH(Лист1!$B$8,Лист1!$I$34:$I$38,0),1),(5/384*($AT$3)*$D$17^4/(2.06*10^8*$AD7/10^8))/($D$17/200))</f>
        <v>6.3934375285119902</v>
      </c>
      <c r="AU7" s="174"/>
      <c r="AV7" s="174">
        <f>IF(OR(MAX(AH7,AQ7)&gt;1,AK7&gt;Лист1!$B$20,N7="-"),999999999,Y7*Лист1!$B$7+0.0001*O7)</f>
        <v>999999999</v>
      </c>
      <c r="AW7" s="174"/>
      <c r="AX7" s="174">
        <f>IF(OR(MAX(AH7,AT7)&gt;1,AN7&gt;Лист1!$B$20,N7="-"),999999999,Y7*Лист1!$B$7+0.0001*O7)</f>
        <v>999999999</v>
      </c>
    </row>
    <row r="8" spans="1:50" ht="16.5" thickBot="1" x14ac:dyDescent="0.3">
      <c r="A8" s="256" t="s">
        <v>333</v>
      </c>
      <c r="B8" s="256"/>
      <c r="C8" s="256"/>
      <c r="D8" s="121">
        <f>Лист1!D17</f>
        <v>0.42</v>
      </c>
      <c r="E8" t="s">
        <v>25</v>
      </c>
      <c r="F8">
        <f>D8/1.2</f>
        <v>0.35</v>
      </c>
      <c r="M8" t="s">
        <v>25</v>
      </c>
      <c r="O8">
        <f t="shared" si="1"/>
        <v>5</v>
      </c>
      <c r="P8" s="179" t="s">
        <v>297</v>
      </c>
      <c r="Q8" s="1">
        <v>240</v>
      </c>
      <c r="R8" s="129" t="s">
        <v>154</v>
      </c>
      <c r="S8" s="184">
        <v>50</v>
      </c>
      <c r="T8" s="184">
        <v>50</v>
      </c>
      <c r="X8" s="134">
        <v>8.6</v>
      </c>
      <c r="Y8" s="135">
        <v>6.7</v>
      </c>
      <c r="Z8" s="134">
        <v>28.3</v>
      </c>
      <c r="AA8" s="134">
        <v>11.3</v>
      </c>
      <c r="AC8" s="134">
        <v>1.81</v>
      </c>
      <c r="AD8" s="134">
        <v>28.3</v>
      </c>
      <c r="AE8" s="134">
        <v>11.3</v>
      </c>
      <c r="AF8" s="134">
        <v>1.81</v>
      </c>
      <c r="AG8" s="174"/>
      <c r="AH8" s="174">
        <f t="shared" si="0"/>
        <v>1.6574585635359116</v>
      </c>
      <c r="AI8" s="174"/>
      <c r="AJ8" s="175"/>
      <c r="AK8" s="174">
        <f>(($AK$2+Y8*Лист1!$B$7^2*Лист1!$G$8/100)/(AA8/10^6)+$AK$3/(AE8/10^6))/1000/($Q8*IF(Лист1!$J$19="да",1/1.05,1))</f>
        <v>2.5664734827950442</v>
      </c>
      <c r="AM8" s="175"/>
      <c r="AN8" s="174">
        <f>(($AK$2+Y8*Лист1!$B$7^2*Лист1!$G$8/100)/(AA8/10^6)+$AK$3/(AE8/10^6))/1000/($Q8*IF(Лист1!$J$19="да",1/1.05,1))</f>
        <v>2.5664734827950442</v>
      </c>
      <c r="AP8" s="175"/>
      <c r="AQ8" s="174">
        <f>MAX((5/384*($AQ$2+$Y8/100)*$D$17^4/(2.06*10^8*$Z8/10^8))/($D$17/300)*INDEX(Лист1!$L$34:$L$38,MATCH(Лист1!$B$8,Лист1!$I$34:$I$38,0),1),(5/384*($AQ$3)*$D$17^4/(2.06*10^8*$AD8/10^8))/($D$17/200))</f>
        <v>9.2987239813976483</v>
      </c>
      <c r="AR8" s="174"/>
      <c r="AS8" s="175"/>
      <c r="AT8" s="174">
        <f>MAX((5/384*($AT$2+$Y8/100)*$D$17^4/(2.06*10^8*$Z8/10^8))/($D$17/300)*INDEX(Лист1!$L$34:$L$38,MATCH(Лист1!$B$8,Лист1!$I$34:$I$38,0),1),(5/384*($AT$3)*$D$17^4/(2.06*10^8*$AD8/10^8))/($D$17/200))</f>
        <v>5.5349547508319343</v>
      </c>
      <c r="AU8" s="174"/>
      <c r="AV8" s="174">
        <f>IF(OR(MAX(AH8,AQ8)&gt;1,AK8&gt;Лист1!$B$20,N8="-"),999999999,Y8*Лист1!$B$7+0.0001*O8)</f>
        <v>999999999</v>
      </c>
      <c r="AW8" s="174"/>
      <c r="AX8" s="174">
        <f>IF(OR(MAX(AH8,AT8)&gt;1,AN8&gt;Лист1!$B$20,N8="-"),999999999,Y8*Лист1!$B$7+0.0001*O8)</f>
        <v>999999999</v>
      </c>
    </row>
    <row r="9" spans="1:50" ht="16.5" thickBot="1" x14ac:dyDescent="0.3">
      <c r="A9" s="120" t="s">
        <v>334</v>
      </c>
      <c r="B9" s="120"/>
      <c r="C9" s="120"/>
      <c r="D9" s="121">
        <f>IF(Лист1!J20="да",-'Ветер по СП РК EN'!D28+'Ветер по СП РК EN'!C45,'Ветер СП'!G25+'Ветер СП'!G35)*Лист1!B3</f>
        <v>0.87611638087679999</v>
      </c>
      <c r="E9" t="s">
        <v>25</v>
      </c>
      <c r="F9" s="121">
        <f>IF(Лист1!J20="да",-'Ветер по СП РК EN'!D29/1.5+'Ветер по СП РК EN'!C45/1.5,'Ветер СП'!G26/1.4+'Ветер СП'!G35/1.4)*Лист1!B3</f>
        <v>0.52149784576000013</v>
      </c>
      <c r="G9" s="121"/>
      <c r="H9" s="121"/>
      <c r="I9" s="121"/>
      <c r="J9" s="121"/>
      <c r="K9" s="121"/>
      <c r="L9" s="121"/>
      <c r="M9" t="s">
        <v>25</v>
      </c>
      <c r="N9" t="s">
        <v>344</v>
      </c>
      <c r="O9">
        <f t="shared" si="1"/>
        <v>6</v>
      </c>
      <c r="P9" s="179" t="s">
        <v>297</v>
      </c>
      <c r="Q9" s="1">
        <v>240</v>
      </c>
      <c r="R9" s="129" t="s">
        <v>155</v>
      </c>
      <c r="S9" s="184">
        <v>80</v>
      </c>
      <c r="T9" s="184">
        <v>80</v>
      </c>
      <c r="X9" s="130">
        <v>7.7</v>
      </c>
      <c r="Y9" s="131">
        <v>6</v>
      </c>
      <c r="Z9" s="130">
        <v>74.599999999999994</v>
      </c>
      <c r="AA9" s="130">
        <v>18.7</v>
      </c>
      <c r="AC9" s="130">
        <v>3.12</v>
      </c>
      <c r="AD9" s="130">
        <v>74.599999999999994</v>
      </c>
      <c r="AE9" s="130">
        <v>18.7</v>
      </c>
      <c r="AF9" s="130">
        <v>3.12</v>
      </c>
      <c r="AG9" s="174"/>
      <c r="AH9" s="174">
        <f t="shared" si="0"/>
        <v>0.96153846153846145</v>
      </c>
      <c r="AI9" s="174"/>
      <c r="AJ9" s="175"/>
      <c r="AK9" s="174">
        <f>(($AK$2+Y9*Лист1!$B$7^2*Лист1!$G$8/100)/(AA9/10^6)+$AK$3/(AE9/10^6))/1000/($Q9*IF(Лист1!$J$19="да",1/1.05,1))</f>
        <v>1.5438449388012832</v>
      </c>
      <c r="AM9" s="175"/>
      <c r="AN9" s="174">
        <f>(($AK$2+Y9*Лист1!$B$7^2*Лист1!$G$8/100)/(AA9/10^6)+$AK$3/(AE9/10^6))/1000/($Q9*IF(Лист1!$J$19="да",1/1.05,1))</f>
        <v>1.5438449388012832</v>
      </c>
      <c r="AP9" s="175"/>
      <c r="AQ9" s="174">
        <f>MAX((5/384*($AQ$2+$Y9/100)*$D$17^4/(2.06*10^8*$Z9/10^8))/($D$17/300)*INDEX(Лист1!$L$34:$L$38,MATCH(Лист1!$B$8,Лист1!$I$34:$I$38,0),1),(5/384*($AQ$3)*$D$17^4/(2.06*10^8*$AD9/10^8))/($D$17/200))</f>
        <v>3.5275320197527278</v>
      </c>
      <c r="AR9" s="174"/>
      <c r="AS9" s="175"/>
      <c r="AT9" s="174">
        <f>MAX((5/384*($AT$2+$Y9/100)*$D$17^4/(2.06*10^8*$Z9/10^8))/($D$17/300)*INDEX(Лист1!$L$34:$L$38,MATCH(Лист1!$B$8,Лист1!$I$34:$I$38,0),1),(5/384*($AT$3)*$D$17^4/(2.06*10^8*$AD9/10^8))/($D$17/200))</f>
        <v>2.0997214403290045</v>
      </c>
      <c r="AU9" s="174"/>
      <c r="AV9" s="174">
        <f>IF(OR(MAX(AH9,AQ9)&gt;1,AK9&gt;Лист1!$B$20,N9="-"),999999999,Y9*Лист1!$B$7+0.0001*O9)</f>
        <v>999999999</v>
      </c>
      <c r="AW9" s="174"/>
      <c r="AX9" s="174">
        <f>IF(OR(MAX(AH9,AT9)&gt;1,AN9&gt;Лист1!$B$20,N9="-"),999999999,Y9*Лист1!$B$7+0.0001*O9)</f>
        <v>999999999</v>
      </c>
    </row>
    <row r="10" spans="1:50" ht="16.5" thickBot="1" x14ac:dyDescent="0.3">
      <c r="D10" s="121"/>
      <c r="O10">
        <f t="shared" si="1"/>
        <v>7</v>
      </c>
      <c r="P10" s="179" t="s">
        <v>297</v>
      </c>
      <c r="Q10" s="1">
        <v>240</v>
      </c>
      <c r="R10" s="129" t="s">
        <v>156</v>
      </c>
      <c r="S10" s="184">
        <v>80</v>
      </c>
      <c r="T10" s="184">
        <v>80</v>
      </c>
      <c r="X10" s="132">
        <v>9.1999999999999993</v>
      </c>
      <c r="Y10" s="133">
        <v>7.2</v>
      </c>
      <c r="Z10" s="132">
        <v>89.5</v>
      </c>
      <c r="AA10" s="132">
        <v>22.4</v>
      </c>
      <c r="AC10" s="132">
        <v>3.12</v>
      </c>
      <c r="AD10" s="132">
        <v>89.5</v>
      </c>
      <c r="AE10" s="132">
        <v>22.4</v>
      </c>
      <c r="AF10" s="132">
        <v>3.12</v>
      </c>
      <c r="AG10" s="174"/>
      <c r="AH10" s="174">
        <f t="shared" si="0"/>
        <v>0.96153846153846145</v>
      </c>
      <c r="AI10" s="174"/>
      <c r="AJ10" s="175"/>
      <c r="AK10" s="174">
        <f>(($AK$2+Y10*Лист1!$B$7^2*Лист1!$G$8/100)/(AA10/10^6)+$AK$3/(AE10/10^6))/1000/($Q10*IF(Лист1!$J$19="да",1/1.05,1))</f>
        <v>1.2988794801600001</v>
      </c>
      <c r="AM10" s="175"/>
      <c r="AN10" s="174">
        <f>(($AK$2+Y10*Лист1!$B$7^2*Лист1!$G$8/100)/(AA10/10^6)+$AK$3/(AE10/10^6))/1000/($Q10*IF(Лист1!$J$19="да",1/1.05,1))</f>
        <v>1.2988794801600001</v>
      </c>
      <c r="AP10" s="175"/>
      <c r="AQ10" s="174">
        <f>MAX((5/384*($AQ$2+$Y10/100)*$D$17^4/(2.06*10^8*$Z10/10^8))/($D$17/300)*INDEX(Лист1!$L$34:$L$38,MATCH(Лист1!$B$8,Лист1!$I$34:$I$38,0),1),(5/384*($AQ$3)*$D$17^4/(2.06*10^8*$AD10/10^8))/($D$17/200))</f>
        <v>2.9402669125536698</v>
      </c>
      <c r="AR10" s="174"/>
      <c r="AS10" s="175"/>
      <c r="AT10" s="174">
        <f>MAX((5/384*($AT$2+$Y10/100)*$D$17^4/(2.06*10^8*$Z10/10^8))/($D$17/300)*INDEX(Лист1!$L$34:$L$38,MATCH(Лист1!$B$8,Лист1!$I$34:$I$38,0),1),(5/384*($AT$3)*$D$17^4/(2.06*10^8*$AD10/10^8))/($D$17/200))</f>
        <v>1.7501588765200418</v>
      </c>
      <c r="AU10" s="174"/>
      <c r="AV10" s="174">
        <f>IF(OR(MAX(AH10,AQ10)&gt;1,AK10&gt;Лист1!$B$20,N10="-"),999999999,Y10*Лист1!$B$7+0.0001*O10)</f>
        <v>999999999</v>
      </c>
      <c r="AW10" s="174"/>
      <c r="AX10" s="174">
        <f>IF(OR(MAX(AH10,AT10)&gt;1,AN10&gt;Лист1!$B$20,N10="-"),999999999,Y10*Лист1!$B$7+0.0001*O10)</f>
        <v>999999999</v>
      </c>
    </row>
    <row r="11" spans="1:50" ht="16.5" thickBot="1" x14ac:dyDescent="0.3">
      <c r="O11">
        <f t="shared" si="1"/>
        <v>8</v>
      </c>
      <c r="P11" s="179" t="s">
        <v>297</v>
      </c>
      <c r="Q11" s="1">
        <v>240</v>
      </c>
      <c r="R11" s="129" t="s">
        <v>157</v>
      </c>
      <c r="S11" s="184">
        <v>80</v>
      </c>
      <c r="T11" s="184">
        <v>80</v>
      </c>
      <c r="X11" s="136">
        <v>12.2</v>
      </c>
      <c r="Y11" s="137">
        <v>9.6</v>
      </c>
      <c r="Z11" s="136">
        <v>115.3</v>
      </c>
      <c r="AA11" s="136">
        <v>28.8</v>
      </c>
      <c r="AC11" s="136">
        <v>3.07</v>
      </c>
      <c r="AD11" s="136">
        <v>115.3</v>
      </c>
      <c r="AE11" s="136">
        <v>28.8</v>
      </c>
      <c r="AF11" s="136">
        <v>3.07</v>
      </c>
      <c r="AG11" s="174"/>
      <c r="AH11" s="174">
        <f t="shared" si="0"/>
        <v>0.97719869706840401</v>
      </c>
      <c r="AI11" s="174"/>
      <c r="AJ11" s="176"/>
      <c r="AK11" s="174">
        <f>(($AK$2+Y11*Лист1!$B$7^2*Лист1!$G$8/100)/(AA11/10^6)+$AK$3/(AE11/10^6))/1000/($Q11*IF(Лист1!$J$19="да",1/1.05,1))</f>
        <v>1.0258645956800001</v>
      </c>
      <c r="AM11" s="176"/>
      <c r="AN11" s="174">
        <f>(($AK$2+Y11*Лист1!$B$7^2*Лист1!$G$8/100)/(AA11/10^6)+$AK$3/(AE11/10^6))/1000/($Q11*IF(Лист1!$J$19="да",1/1.05,1))</f>
        <v>1.0258645956800001</v>
      </c>
      <c r="AP11" s="176"/>
      <c r="AQ11" s="174">
        <f>MAX((5/384*($AQ$2+$Y11/100)*$D$17^4/(2.06*10^8*$Z11/10^8))/($D$17/300)*INDEX(Лист1!$L$34:$L$38,MATCH(Лист1!$B$8,Лист1!$I$34:$I$38,0),1),(5/384*($AQ$3)*$D$17^4/(2.06*10^8*$AD11/10^8))/($D$17/200))</f>
        <v>2.2823407517220593</v>
      </c>
      <c r="AR11" s="174"/>
      <c r="AS11" s="175"/>
      <c r="AT11" s="174">
        <f>MAX((5/384*($AT$2+$Y11/100)*$D$17^4/(2.06*10^8*$Z11/10^8))/($D$17/300)*INDEX(Лист1!$L$34:$L$38,MATCH(Лист1!$B$8,Лист1!$I$34:$I$38,0),1),(5/384*($AT$3)*$D$17^4/(2.06*10^8*$AD11/10^8))/($D$17/200))</f>
        <v>1.3585361617393212</v>
      </c>
      <c r="AU11" s="174"/>
      <c r="AV11" s="174">
        <f>IF(OR(MAX(AH11,AQ11)&gt;1,AK11&gt;Лист1!$B$20,N11="-"),999999999,Y11*Лист1!$B$7+0.0001*O11)</f>
        <v>999999999</v>
      </c>
      <c r="AW11" s="174"/>
      <c r="AX11" s="174">
        <f>IF(OR(MAX(AH11,AT11)&gt;1,AN11&gt;Лист1!$B$20,N11="-"),999999999,Y11*Лист1!$B$7+0.0001*O11)</f>
        <v>999999999</v>
      </c>
    </row>
    <row r="12" spans="1:50" ht="16.5" thickBot="1" x14ac:dyDescent="0.3">
      <c r="O12">
        <f t="shared" si="1"/>
        <v>9</v>
      </c>
      <c r="P12" s="179" t="s">
        <v>297</v>
      </c>
      <c r="Q12" s="1">
        <v>240</v>
      </c>
      <c r="R12" s="129" t="s">
        <v>158</v>
      </c>
      <c r="S12" s="184">
        <v>80</v>
      </c>
      <c r="T12" s="184">
        <v>80</v>
      </c>
      <c r="X12" s="132">
        <v>15</v>
      </c>
      <c r="Y12" s="133">
        <v>11.8</v>
      </c>
      <c r="Z12" s="132">
        <v>138</v>
      </c>
      <c r="AA12" s="132">
        <v>34.5</v>
      </c>
      <c r="AC12" s="132">
        <v>3.03</v>
      </c>
      <c r="AD12" s="132">
        <v>138</v>
      </c>
      <c r="AE12" s="132">
        <v>34.5</v>
      </c>
      <c r="AF12" s="132">
        <v>3.03</v>
      </c>
      <c r="AG12" s="174"/>
      <c r="AH12" s="174">
        <f t="shared" si="0"/>
        <v>0.99009900990099009</v>
      </c>
      <c r="AI12" s="174"/>
      <c r="AJ12" s="175"/>
      <c r="AK12" s="174">
        <f>(($AK$2+Y12*Лист1!$B$7^2*Лист1!$G$8/100)/(AA12/10^6)+$AK$3/(AE12/10^6))/1000/($Q12*IF(Лист1!$J$19="да",1/1.05,1))</f>
        <v>0.86833044508939139</v>
      </c>
      <c r="AM12" s="175"/>
      <c r="AN12" s="174">
        <f>(($AK$2+Y12*Лист1!$B$7^2*Лист1!$G$8/100)/(AA12/10^6)+$AK$3/(AE12/10^6))/1000/($Q12*IF(Лист1!$J$19="да",1/1.05,1))</f>
        <v>0.86833044508939139</v>
      </c>
      <c r="AP12" s="175"/>
      <c r="AQ12" s="174">
        <f>MAX((5/384*($AQ$2+$Y12/100)*$D$17^4/(2.06*10^8*$Z12/10^8))/($D$17/300)*INDEX(Лист1!$L$34:$L$38,MATCH(Лист1!$B$8,Лист1!$I$34:$I$38,0),1),(5/384*($AQ$3)*$D$17^4/(2.06*10^8*$AD12/10^8))/($D$17/200))</f>
        <v>1.9069122367648803</v>
      </c>
      <c r="AR12" s="174"/>
      <c r="AS12" s="175"/>
      <c r="AT12" s="174">
        <f>MAX((5/384*($AT$2+$Y12/100)*$D$17^4/(2.06*10^8*$Z12/10^8))/($D$17/300)*INDEX(Лист1!$L$34:$L$38,MATCH(Лист1!$B$8,Лист1!$I$34:$I$38,0),1),(5/384*($AT$3)*$D$17^4/(2.06*10^8*$AD12/10^8))/($D$17/200))</f>
        <v>1.1350668075981432</v>
      </c>
      <c r="AU12" s="174"/>
      <c r="AV12" s="174">
        <f>IF(OR(MAX(AH12,AQ12)&gt;1,AK12&gt;Лист1!$B$20,N12="-"),999999999,Y12*Лист1!$B$7+0.0001*O12)</f>
        <v>999999999</v>
      </c>
      <c r="AW12" s="174"/>
      <c r="AX12" s="174">
        <f>IF(OR(MAX(AH12,AT12)&gt;1,AN12&gt;Лист1!$B$20,N12="-"),999999999,Y12*Лист1!$B$7+0.0001*O12)</f>
        <v>999999999</v>
      </c>
    </row>
    <row r="13" spans="1:50" ht="16.5" thickBot="1" x14ac:dyDescent="0.3">
      <c r="O13">
        <f t="shared" si="1"/>
        <v>10</v>
      </c>
      <c r="P13" s="179" t="s">
        <v>297</v>
      </c>
      <c r="Q13" s="1">
        <v>240</v>
      </c>
      <c r="R13" s="129" t="s">
        <v>159</v>
      </c>
      <c r="S13" s="184">
        <v>80</v>
      </c>
      <c r="T13" s="184">
        <v>80</v>
      </c>
      <c r="X13" s="134">
        <v>17.8</v>
      </c>
      <c r="Y13" s="135">
        <v>14</v>
      </c>
      <c r="Z13" s="134">
        <v>158.1</v>
      </c>
      <c r="AA13" s="134">
        <v>39.5</v>
      </c>
      <c r="AC13" s="134">
        <v>2.98</v>
      </c>
      <c r="AD13" s="134">
        <v>158.1</v>
      </c>
      <c r="AE13" s="134">
        <v>39.5</v>
      </c>
      <c r="AF13" s="134">
        <v>2.98</v>
      </c>
      <c r="AG13" s="174"/>
      <c r="AH13" s="174">
        <f t="shared" si="0"/>
        <v>1.0067114093959733</v>
      </c>
      <c r="AI13" s="174"/>
      <c r="AJ13" s="175"/>
      <c r="AK13" s="174">
        <f>(($AK$2+Y13*Лист1!$B$7^2*Лист1!$G$8/100)/(AA13/10^6)+$AK$3/(AE13/10^6))/1000/($Q13*IF(Лист1!$J$19="да",1/1.05,1))</f>
        <v>0.76885823685022792</v>
      </c>
      <c r="AM13" s="175"/>
      <c r="AN13" s="174">
        <f>(($AK$2+Y13*Лист1!$B$7^2*Лист1!$G$8/100)/(AA13/10^6)+$AK$3/(AE13/10^6))/1000/($Q13*IF(Лист1!$J$19="да",1/1.05,1))</f>
        <v>0.76885823685022792</v>
      </c>
      <c r="AP13" s="175"/>
      <c r="AQ13" s="174">
        <f>MAX((5/384*($AQ$2+$Y13/100)*$D$17^4/(2.06*10^8*$Z13/10^8))/($D$17/300)*INDEX(Лист1!$L$34:$L$38,MATCH(Лист1!$B$8,Лист1!$I$34:$I$38,0),1),(5/384*($AQ$3)*$D$17^4/(2.06*10^8*$AD13/10^8))/($D$17/200))</f>
        <v>1.6839455794845346</v>
      </c>
      <c r="AR13" s="174"/>
      <c r="AS13" s="175"/>
      <c r="AT13" s="174">
        <f>MAX((5/384*($AT$2+$Y13/100)*$D$17^4/(2.06*10^8*$Z13/10^8))/($D$17/300)*INDEX(Лист1!$L$34:$L$38,MATCH(Лист1!$B$8,Лист1!$I$34:$I$38,0),1),(5/384*($AT$3)*$D$17^4/(2.06*10^8*$AD13/10^8))/($D$17/200))</f>
        <v>0.99076040131906229</v>
      </c>
      <c r="AU13" s="174"/>
      <c r="AV13" s="174">
        <f>IF(OR(MAX(AH13,AQ13)&gt;1,AK13&gt;Лист1!$B$20,N13="-"),999999999,Y13*Лист1!$B$7+0.0001*O13)</f>
        <v>999999999</v>
      </c>
      <c r="AW13" s="174"/>
      <c r="AX13" s="174">
        <f>IF(OR(MAX(AH13,AT13)&gt;1,AN13&gt;Лист1!$B$20,N13="-"),999999999,Y13*Лист1!$B$7+0.0001*O13)</f>
        <v>999999999</v>
      </c>
    </row>
    <row r="14" spans="1:50" ht="16.5" thickBot="1" x14ac:dyDescent="0.3">
      <c r="A14" s="120"/>
      <c r="O14">
        <f t="shared" si="1"/>
        <v>11</v>
      </c>
      <c r="P14" s="179" t="s">
        <v>297</v>
      </c>
      <c r="Q14" s="1">
        <v>240</v>
      </c>
      <c r="R14" s="129" t="s">
        <v>160</v>
      </c>
      <c r="S14" s="184">
        <v>100</v>
      </c>
      <c r="T14" s="184">
        <v>100</v>
      </c>
      <c r="X14" s="130">
        <v>11.6</v>
      </c>
      <c r="Y14" s="131">
        <v>9.1</v>
      </c>
      <c r="Z14" s="130">
        <v>180.2</v>
      </c>
      <c r="AA14" s="130">
        <v>36</v>
      </c>
      <c r="AC14" s="130">
        <v>3.94</v>
      </c>
      <c r="AD14" s="130">
        <v>180.2</v>
      </c>
      <c r="AE14" s="130">
        <v>36</v>
      </c>
      <c r="AF14" s="130">
        <v>3.94</v>
      </c>
      <c r="AG14" s="174"/>
      <c r="AH14" s="174">
        <f t="shared" si="0"/>
        <v>0.76142131979695438</v>
      </c>
      <c r="AI14" s="174"/>
      <c r="AJ14" s="175"/>
      <c r="AK14" s="174">
        <f>(($AK$2+Y14*Лист1!$B$7^2*Лист1!$G$8/100)/(AA14/10^6)+$AK$3/(AE14/10^6))/1000/($Q14*IF(Лист1!$J$19="да",1/1.05,1))</f>
        <v>0.81808750987733336</v>
      </c>
      <c r="AM14" s="175"/>
      <c r="AN14" s="174">
        <f>(($AK$2+Y14*Лист1!$B$7^2*Лист1!$G$8/100)/(AA14/10^6)+$AK$3/(AE14/10^6))/1000/($Q14*IF(Лист1!$J$19="да",1/1.05,1))</f>
        <v>0.81808750987733336</v>
      </c>
      <c r="AP14" s="175"/>
      <c r="AQ14" s="174">
        <f>MAX((5/384*($AQ$2+$Y14/100)*$D$17^4/(2.06*10^8*$Z14/10^8))/($D$17/300)*INDEX(Лист1!$L$34:$L$38,MATCH(Лист1!$B$8,Лист1!$I$34:$I$38,0),1),(5/384*($AQ$3)*$D$17^4/(2.06*10^8*$AD14/10^8))/($D$17/200))</f>
        <v>1.4603434443593422</v>
      </c>
      <c r="AR14" s="174"/>
      <c r="AS14" s="175"/>
      <c r="AT14" s="174">
        <f>MAX((5/384*($AT$2+$Y14/100)*$D$17^4/(2.06*10^8*$Z14/10^8))/($D$17/300)*INDEX(Лист1!$L$34:$L$38,MATCH(Лист1!$B$8,Лист1!$I$34:$I$38,0),1),(5/384*($AT$3)*$D$17^4/(2.06*10^8*$AD14/10^8))/($D$17/200))</f>
        <v>0.86925205021389429</v>
      </c>
      <c r="AU14" s="174"/>
      <c r="AV14" s="174">
        <f>IF(OR(MAX(AH14,AQ14)&gt;1,AK14&gt;Лист1!$B$20,N14="-"),999999999,Y14*Лист1!$B$7+0.0001*O14)</f>
        <v>999999999</v>
      </c>
      <c r="AW14" s="174"/>
      <c r="AX14" s="174">
        <f>IF(OR(MAX(AH14,AT14)&gt;1,AN14&gt;Лист1!$B$20,N14="-"),999999999,Y14*Лист1!$B$7+0.0001*O14)</f>
        <v>54.601099999999995</v>
      </c>
    </row>
    <row r="15" spans="1:50" ht="16.5" thickBot="1" x14ac:dyDescent="0.3">
      <c r="O15">
        <f t="shared" si="1"/>
        <v>12</v>
      </c>
      <c r="P15" s="179" t="s">
        <v>297</v>
      </c>
      <c r="Q15" s="1">
        <v>240</v>
      </c>
      <c r="R15" s="129" t="s">
        <v>161</v>
      </c>
      <c r="S15" s="184">
        <v>100</v>
      </c>
      <c r="T15" s="184">
        <v>100</v>
      </c>
      <c r="X15" s="136">
        <v>15.3</v>
      </c>
      <c r="Y15" s="137">
        <v>12</v>
      </c>
      <c r="Z15" s="136">
        <v>231.3</v>
      </c>
      <c r="AA15" s="136">
        <v>46.3</v>
      </c>
      <c r="AC15" s="136">
        <v>3.89</v>
      </c>
      <c r="AD15" s="136">
        <v>231.3</v>
      </c>
      <c r="AE15" s="136">
        <v>46.3</v>
      </c>
      <c r="AF15" s="136">
        <v>3.89</v>
      </c>
      <c r="AG15" s="174"/>
      <c r="AH15" s="174">
        <f t="shared" si="0"/>
        <v>0.77120822622107965</v>
      </c>
      <c r="AI15" s="174"/>
      <c r="AJ15" s="176"/>
      <c r="AK15" s="174">
        <f>(($AK$2+Y15*Лист1!$B$7^2*Лист1!$G$8/100)/(AA15/10^6)+$AK$3/(AE15/10^6))/1000/($Q15*IF(Лист1!$J$19="да",1/1.05,1))</f>
        <v>0.64783802063896334</v>
      </c>
      <c r="AM15" s="176"/>
      <c r="AN15" s="174">
        <f>(($AK$2+Y15*Лист1!$B$7^2*Лист1!$G$8/100)/(AA15/10^6)+$AK$3/(AE15/10^6))/1000/($Q15*IF(Лист1!$J$19="да",1/1.05,1))</f>
        <v>0.64783802063896334</v>
      </c>
      <c r="AP15" s="176"/>
      <c r="AQ15" s="174">
        <f>MAX((5/384*($AQ$2+$Y15/100)*$D$17^4/(2.06*10^8*$Z15/10^8))/($D$17/300)*INDEX(Лист1!$L$34:$L$38,MATCH(Лист1!$B$8,Лист1!$I$34:$I$38,0),1),(5/384*($AQ$3)*$D$17^4/(2.06*10^8*$AD15/10^8))/($D$17/200))</f>
        <v>1.1377167690166601</v>
      </c>
      <c r="AR15" s="174"/>
      <c r="AS15" s="175"/>
      <c r="AT15" s="174">
        <f>MAX((5/384*($AT$2+$Y15/100)*$D$17^4/(2.06*10^8*$Z15/10^8))/($D$17/300)*INDEX(Лист1!$L$34:$L$38,MATCH(Лист1!$B$8,Лист1!$I$34:$I$38,0),1),(5/384*($AT$3)*$D$17^4/(2.06*10^8*$AD15/10^8))/($D$17/200))</f>
        <v>0.67721236250991679</v>
      </c>
      <c r="AU15" s="174"/>
      <c r="AV15" s="174">
        <f>IF(OR(MAX(AH15,AQ15)&gt;1,AK15&gt;Лист1!$B$20,N15="-"),999999999,Y15*Лист1!$B$7+0.0001*O15)</f>
        <v>999999999</v>
      </c>
      <c r="AW15" s="174"/>
      <c r="AX15" s="174">
        <f>IF(OR(MAX(AH15,AT15)&gt;1,AN15&gt;Лист1!$B$20,N15="-"),999999999,Y15*Лист1!$B$7+0.0001*O15)</f>
        <v>72.001199999999997</v>
      </c>
    </row>
    <row r="16" spans="1:50" ht="16.5" thickBot="1" x14ac:dyDescent="0.3">
      <c r="O16">
        <f t="shared" si="1"/>
        <v>13</v>
      </c>
      <c r="P16" s="179" t="s">
        <v>297</v>
      </c>
      <c r="Q16" s="1">
        <v>240</v>
      </c>
      <c r="R16" s="129" t="s">
        <v>162</v>
      </c>
      <c r="S16" s="184">
        <v>100</v>
      </c>
      <c r="T16" s="184">
        <v>100</v>
      </c>
      <c r="X16" s="132">
        <v>18.899999999999999</v>
      </c>
      <c r="Y16" s="133">
        <v>14.8</v>
      </c>
      <c r="Z16" s="132">
        <v>278.7</v>
      </c>
      <c r="AA16" s="132">
        <v>55.7</v>
      </c>
      <c r="AC16" s="132">
        <v>3.84</v>
      </c>
      <c r="AD16" s="132">
        <v>278.7</v>
      </c>
      <c r="AE16" s="132">
        <v>55.7</v>
      </c>
      <c r="AF16" s="132">
        <v>3.84</v>
      </c>
      <c r="AG16" s="174"/>
      <c r="AH16" s="174">
        <f t="shared" si="0"/>
        <v>0.78125</v>
      </c>
      <c r="AI16" s="174"/>
      <c r="AJ16" s="175"/>
      <c r="AK16" s="174">
        <f>(($AK$2+Y16*Лист1!$B$7^2*Лист1!$G$8/100)/(AA16/10^6)+$AK$3/(AE16/10^6))/1000/($Q16*IF(Лист1!$J$19="да",1/1.05,1))</f>
        <v>0.5479335790948654</v>
      </c>
      <c r="AM16" s="175"/>
      <c r="AN16" s="174">
        <f>(($AK$2+Y16*Лист1!$B$7^2*Лист1!$G$8/100)/(AA16/10^6)+$AK$3/(AE16/10^6))/1000/($Q16*IF(Лист1!$J$19="да",1/1.05,1))</f>
        <v>0.5479335790948654</v>
      </c>
      <c r="AP16" s="175"/>
      <c r="AQ16" s="174">
        <f>MAX((5/384*($AQ$2+$Y16/100)*$D$17^4/(2.06*10^8*$Z16/10^8))/($D$17/300)*INDEX(Лист1!$L$34:$L$38,MATCH(Лист1!$B$8,Лист1!$I$34:$I$38,0),1),(5/384*($AQ$3)*$D$17^4/(2.06*10^8*$AD16/10^8))/($D$17/200))</f>
        <v>0.9670200758723756</v>
      </c>
      <c r="AR16" s="174"/>
      <c r="AS16" s="175"/>
      <c r="AT16" s="174">
        <f>MAX((5/384*($AT$2+$Y16/100)*$D$17^4/(2.06*10^8*$Z16/10^8))/($D$17/300)*INDEX(Лист1!$L$34:$L$38,MATCH(Лист1!$B$8,Лист1!$I$34:$I$38,0),1),(5/384*($AT$3)*$D$17^4/(2.06*10^8*$AD16/10^8))/($D$17/200))</f>
        <v>0.56203523304106118</v>
      </c>
      <c r="AU16" s="174"/>
      <c r="AV16" s="174">
        <f>IF(OR(MAX(AH16,AQ16)&gt;1,AK16&gt;Лист1!$B$20,N16="-"),999999999,Y16*Лист1!$B$7+0.0001*O16)</f>
        <v>88.801300000000012</v>
      </c>
      <c r="AW16" s="174"/>
      <c r="AX16" s="174">
        <f>IF(OR(MAX(AH16,AT16)&gt;1,AN16&gt;Лист1!$B$20,N16="-"),999999999,Y16*Лист1!$B$7+0.0001*O16)</f>
        <v>88.801300000000012</v>
      </c>
    </row>
    <row r="17" spans="1:50" ht="16.5" thickBot="1" x14ac:dyDescent="0.3">
      <c r="A17" s="255" t="s">
        <v>302</v>
      </c>
      <c r="B17" s="255"/>
      <c r="C17" t="s">
        <v>304</v>
      </c>
      <c r="D17">
        <f>Лист1!B7</f>
        <v>6</v>
      </c>
      <c r="E17" t="s">
        <v>11</v>
      </c>
      <c r="O17">
        <f t="shared" si="1"/>
        <v>14</v>
      </c>
      <c r="P17" s="179" t="s">
        <v>297</v>
      </c>
      <c r="Q17" s="1">
        <v>240</v>
      </c>
      <c r="R17" s="129" t="s">
        <v>163</v>
      </c>
      <c r="S17" s="184">
        <v>100</v>
      </c>
      <c r="T17" s="184">
        <v>100</v>
      </c>
      <c r="X17" s="132">
        <v>22.6</v>
      </c>
      <c r="Y17" s="133">
        <v>17.7</v>
      </c>
      <c r="Z17" s="132">
        <v>326.3</v>
      </c>
      <c r="AA17" s="132">
        <v>65.3</v>
      </c>
      <c r="AC17" s="132">
        <v>3.8</v>
      </c>
      <c r="AD17" s="132">
        <v>326.3</v>
      </c>
      <c r="AE17" s="132">
        <v>65.3</v>
      </c>
      <c r="AF17" s="132">
        <v>3.8</v>
      </c>
      <c r="AG17" s="174"/>
      <c r="AH17" s="174">
        <f t="shared" si="0"/>
        <v>0.78947368421052633</v>
      </c>
      <c r="AI17" s="174"/>
      <c r="AJ17" s="175"/>
      <c r="AK17" s="174">
        <f>(($AK$2+Y17*Лист1!$B$7^2*Лист1!$G$8/100)/(AA17/10^6)+$AK$3/(AE17/10^6))/1000/($Q17*IF(Лист1!$J$19="да",1/1.05,1))</f>
        <v>0.47570674357709031</v>
      </c>
      <c r="AM17" s="175"/>
      <c r="AN17" s="174">
        <f>(($AK$2+Y17*Лист1!$B$7^2*Лист1!$G$8/100)/(AA17/10^6)+$AK$3/(AE17/10^6))/1000/($Q17*IF(Лист1!$J$19="да",1/1.05,1))</f>
        <v>0.47570674357709031</v>
      </c>
      <c r="AP17" s="175"/>
      <c r="AQ17" s="174">
        <f>MAX((5/384*($AQ$2+$Y17/100)*$D$17^4/(2.06*10^8*$Z17/10^8))/($D$17/300)*INDEX(Лист1!$L$34:$L$38,MATCH(Лист1!$B$8,Лист1!$I$34:$I$38,0),1),(5/384*($AQ$3)*$D$17^4/(2.06*10^8*$AD17/10^8))/($D$17/200))</f>
        <v>0.86235528386826121</v>
      </c>
      <c r="AR17" s="174"/>
      <c r="AS17" s="175"/>
      <c r="AT17" s="174">
        <f>MAX((5/384*($AT$2+$Y17/100)*$D$17^4/(2.06*10^8*$Z17/10^8))/($D$17/300)*INDEX(Лист1!$L$34:$L$38,MATCH(Лист1!$B$8,Лист1!$I$34:$I$38,0),1),(5/384*($AT$3)*$D$17^4/(2.06*10^8*$AD17/10^8))/($D$17/200))</f>
        <v>0.48004664250243256</v>
      </c>
      <c r="AU17" s="174"/>
      <c r="AV17" s="174">
        <f>IF(OR(MAX(AH17,AQ17)&gt;1,AK17&gt;Лист1!$B$20,N17="-"),999999999,Y17*Лист1!$B$7+0.0001*O17)</f>
        <v>106.20139999999999</v>
      </c>
      <c r="AW17" s="174"/>
      <c r="AX17" s="174">
        <f>IF(OR(MAX(AH17,AT17)&gt;1,AN17&gt;Лист1!$B$20,N17="-"),999999999,Y17*Лист1!$B$7+0.0001*O17)</f>
        <v>106.20139999999999</v>
      </c>
    </row>
    <row r="18" spans="1:50" ht="16.5" thickBot="1" x14ac:dyDescent="0.3">
      <c r="A18" s="255"/>
      <c r="B18" s="255"/>
      <c r="C18" t="s">
        <v>303</v>
      </c>
      <c r="D18">
        <f>Лист1!B7*INDEX(Лист1!K34:K38,MATCH(Лист1!B8,Лист1!I34:I38,0),1)</f>
        <v>6</v>
      </c>
      <c r="E18" t="s">
        <v>11</v>
      </c>
      <c r="O18">
        <f t="shared" si="1"/>
        <v>15</v>
      </c>
      <c r="P18" s="179" t="s">
        <v>297</v>
      </c>
      <c r="Q18" s="1">
        <v>240</v>
      </c>
      <c r="R18" s="129" t="s">
        <v>164</v>
      </c>
      <c r="S18" s="184">
        <v>100</v>
      </c>
      <c r="T18" s="184">
        <v>100</v>
      </c>
      <c r="X18" s="134">
        <v>26.2</v>
      </c>
      <c r="Y18" s="135">
        <v>20.5</v>
      </c>
      <c r="Z18" s="134">
        <v>373.9</v>
      </c>
      <c r="AA18" s="134">
        <v>74.8</v>
      </c>
      <c r="AC18" s="134">
        <v>3.75</v>
      </c>
      <c r="AD18" s="134">
        <v>373.9</v>
      </c>
      <c r="AE18" s="134">
        <v>74.8</v>
      </c>
      <c r="AF18" s="134">
        <v>3.75</v>
      </c>
      <c r="AG18" s="174"/>
      <c r="AH18" s="174">
        <f t="shared" si="0"/>
        <v>0.8</v>
      </c>
      <c r="AI18" s="174"/>
      <c r="AJ18" s="175"/>
      <c r="AK18" s="174">
        <f>(($AK$2+Y18*Лист1!$B$7^2*Лист1!$G$8/100)/(AA18/10^6)+$AK$3/(AE18/10^6))/1000/($Q18*IF(Лист1!$J$19="да",1/1.05,1))</f>
        <v>0.42230815983401071</v>
      </c>
      <c r="AM18" s="175"/>
      <c r="AN18" s="174">
        <f>(($AK$2+Y18*Лист1!$B$7^2*Лист1!$G$8/100)/(AA18/10^6)+$AK$3/(AE18/10^6))/1000/($Q18*IF(Лист1!$J$19="да",1/1.05,1))</f>
        <v>0.42230815983401071</v>
      </c>
      <c r="AP18" s="175"/>
      <c r="AQ18" s="174">
        <f>MAX((5/384*($AQ$2+$Y18/100)*$D$17^4/(2.06*10^8*$Z18/10^8))/($D$17/300)*INDEX(Лист1!$L$34:$L$38,MATCH(Лист1!$B$8,Лист1!$I$34:$I$38,0),1),(5/384*($AQ$3)*$D$17^4/(2.06*10^8*$AD18/10^8))/($D$17/200))</f>
        <v>0.78324411802127669</v>
      </c>
      <c r="AR18" s="174"/>
      <c r="AS18" s="175"/>
      <c r="AT18" s="174">
        <f>MAX((5/384*($AT$2+$Y18/100)*$D$17^4/(2.06*10^8*$Z18/10^8))/($D$17/300)*INDEX(Лист1!$L$34:$L$38,MATCH(Лист1!$B$8,Лист1!$I$34:$I$38,0),1),(5/384*($AT$3)*$D$17^4/(2.06*10^8*$AD18/10^8))/($D$17/200))</f>
        <v>0.41893345666901238</v>
      </c>
      <c r="AU18" s="174"/>
      <c r="AV18" s="174">
        <f>IF(OR(MAX(AH18,AQ18)&gt;1,AK18&gt;Лист1!$B$20,N18="-"),999999999,Y18*Лист1!$B$7+0.0001*O18)</f>
        <v>123.00149999999999</v>
      </c>
      <c r="AW18" s="174"/>
      <c r="AX18" s="174">
        <f>IF(OR(MAX(AH18,AT18)&gt;1,AN18&gt;Лист1!$B$20,N18="-"),999999999,Y18*Лист1!$B$7+0.0001*O18)</f>
        <v>123.00149999999999</v>
      </c>
    </row>
    <row r="19" spans="1:50" ht="16.5" thickBot="1" x14ac:dyDescent="0.3">
      <c r="O19">
        <f t="shared" si="1"/>
        <v>16</v>
      </c>
      <c r="P19" s="179" t="s">
        <v>297</v>
      </c>
      <c r="Q19" s="1">
        <v>240</v>
      </c>
      <c r="R19" s="129" t="s">
        <v>165</v>
      </c>
      <c r="S19" s="184">
        <v>120</v>
      </c>
      <c r="T19" s="184">
        <v>120</v>
      </c>
      <c r="X19" s="130">
        <v>14</v>
      </c>
      <c r="Y19" s="131">
        <v>11</v>
      </c>
      <c r="Z19" s="130">
        <v>315.10000000000002</v>
      </c>
      <c r="AA19" s="130">
        <v>52.5</v>
      </c>
      <c r="AC19" s="130">
        <v>4.76</v>
      </c>
      <c r="AD19" s="130">
        <v>315.10000000000002</v>
      </c>
      <c r="AE19" s="130">
        <v>52.5</v>
      </c>
      <c r="AF19" s="130">
        <v>4.76</v>
      </c>
      <c r="AG19" s="174"/>
      <c r="AH19" s="174">
        <f t="shared" si="0"/>
        <v>0.63025210084033612</v>
      </c>
      <c r="AI19" s="174"/>
      <c r="AJ19" s="175"/>
      <c r="AK19" s="174">
        <f>(($AK$2+Y19*Лист1!$B$7^2*Лист1!$G$8/100)/(AA19/10^6)+$AK$3/(AE19/10^6))/1000/($Q19*IF(Лист1!$J$19="да",1/1.05,1))</f>
        <v>0.56776000677302851</v>
      </c>
      <c r="AM19" s="175"/>
      <c r="AN19" s="174">
        <f>(($AK$2+Y19*Лист1!$B$7^2*Лист1!$G$8/100)/(AA19/10^6)+$AK$3/(AE19/10^6))/1000/($Q19*IF(Лист1!$J$19="да",1/1.05,1))</f>
        <v>0.56776000677302851</v>
      </c>
      <c r="AP19" s="175"/>
      <c r="AQ19" s="174">
        <f>MAX((5/384*($AQ$2+$Y19/100)*$D$17^4/(2.06*10^8*$Z19/10^8))/($D$17/300)*INDEX(Лист1!$L$34:$L$38,MATCH(Лист1!$B$8,Лист1!$I$34:$I$38,0),1),(5/384*($AQ$3)*$D$17^4/(2.06*10^8*$AD19/10^8))/($D$17/200))</f>
        <v>0.83514404529848763</v>
      </c>
      <c r="AR19" s="174"/>
      <c r="AS19" s="175"/>
      <c r="AT19" s="174">
        <f>MAX((5/384*($AT$2+$Y19/100)*$D$17^4/(2.06*10^8*$Z19/10^8))/($D$17/300)*INDEX(Лист1!$L$34:$L$38,MATCH(Лист1!$B$8,Лист1!$I$34:$I$38,0),1),(5/384*($AT$3)*$D$17^4/(2.06*10^8*$AD19/10^8))/($D$17/200))</f>
        <v>0.4971095507729093</v>
      </c>
      <c r="AU19" s="174"/>
      <c r="AV19" s="174">
        <f>IF(OR(MAX(AH19,AQ19)&gt;1,AK19&gt;Лист1!$B$20,N19="-"),999999999,Y19*Лист1!$B$7+0.0001*O19)</f>
        <v>66.001599999999996</v>
      </c>
      <c r="AW19" s="174"/>
      <c r="AX19" s="174">
        <f>IF(OR(MAX(AH19,AT19)&gt;1,AN19&gt;Лист1!$B$20,N19="-"),999999999,Y19*Лист1!$B$7+0.0001*O19)</f>
        <v>66.001599999999996</v>
      </c>
    </row>
    <row r="20" spans="1:50" ht="16.5" thickBot="1" x14ac:dyDescent="0.3"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O20">
        <f t="shared" si="1"/>
        <v>17</v>
      </c>
      <c r="P20" s="179" t="s">
        <v>297</v>
      </c>
      <c r="Q20" s="1">
        <v>240</v>
      </c>
      <c r="R20" s="129" t="s">
        <v>166</v>
      </c>
      <c r="S20" s="184">
        <v>120</v>
      </c>
      <c r="T20" s="184">
        <v>120</v>
      </c>
      <c r="X20" s="136">
        <v>18.5</v>
      </c>
      <c r="Y20" s="137">
        <v>14.5</v>
      </c>
      <c r="Z20" s="136">
        <v>408.5</v>
      </c>
      <c r="AA20" s="136">
        <v>68.099999999999994</v>
      </c>
      <c r="AC20" s="136">
        <v>4.71</v>
      </c>
      <c r="AD20" s="136">
        <v>408.5</v>
      </c>
      <c r="AE20" s="136">
        <v>68.099999999999994</v>
      </c>
      <c r="AF20" s="136">
        <v>4.71</v>
      </c>
      <c r="AG20" s="174"/>
      <c r="AH20" s="174">
        <f t="shared" si="0"/>
        <v>0.63694267515923575</v>
      </c>
      <c r="AI20" s="174"/>
      <c r="AJ20" s="176"/>
      <c r="AK20" s="174">
        <f>(($AK$2+Y20*Лист1!$B$7^2*Лист1!$G$8/100)/(AA20/10^6)+$AK$3/(AE20/10^6))/1000/($Q20*IF(Лист1!$J$19="да",1/1.05,1))</f>
        <v>0.44733700962678424</v>
      </c>
      <c r="AM20" s="176"/>
      <c r="AN20" s="174">
        <f>(($AK$2+Y20*Лист1!$B$7^2*Лист1!$G$8/100)/(AA20/10^6)+$AK$3/(AE20/10^6))/1000/($Q20*IF(Лист1!$J$19="да",1/1.05,1))</f>
        <v>0.44733700962678424</v>
      </c>
      <c r="AP20" s="176"/>
      <c r="AQ20" s="174">
        <f>MAX((5/384*($AQ$2+$Y20/100)*$D$17^4/(2.06*10^8*$Z20/10^8))/($D$17/300)*INDEX(Лист1!$L$34:$L$38,MATCH(Лист1!$B$8,Лист1!$I$34:$I$38,0),1),(5/384*($AQ$3)*$D$17^4/(2.06*10^8*$AD20/10^8))/($D$17/200))</f>
        <v>0.65674353245950734</v>
      </c>
      <c r="AR20" s="174"/>
      <c r="AS20" s="175"/>
      <c r="AT20" s="174">
        <f>MAX((5/384*($AT$2+$Y20/100)*$D$17^4/(2.06*10^8*$Z20/10^8))/($D$17/300)*INDEX(Лист1!$L$34:$L$38,MATCH(Лист1!$B$8,Лист1!$I$34:$I$38,0),1),(5/384*($AT$3)*$D$17^4/(2.06*10^8*$AD20/10^8))/($D$17/200))</f>
        <v>0.38344974161210216</v>
      </c>
      <c r="AU20" s="174"/>
      <c r="AV20" s="174">
        <f>IF(OR(MAX(AH20,AQ20)&gt;1,AK20&gt;Лист1!$B$20,N20="-"),999999999,Y20*Лист1!$B$7+0.0001*O20)</f>
        <v>87.0017</v>
      </c>
      <c r="AW20" s="174"/>
      <c r="AX20" s="174">
        <f>IF(OR(MAX(AH20,AT20)&gt;1,AN20&gt;Лист1!$B$20,N20="-"),999999999,Y20*Лист1!$B$7+0.0001*O20)</f>
        <v>87.0017</v>
      </c>
    </row>
    <row r="21" spans="1:50" ht="16.5" thickBot="1" x14ac:dyDescent="0.3">
      <c r="A21" t="s">
        <v>338</v>
      </c>
      <c r="B21">
        <f>SMALL($AV$4:$AV$413,B20)</f>
        <v>66.001599999999996</v>
      </c>
      <c r="C21">
        <f t="shared" ref="C21:K21" si="2">SMALL($AV$4:$AV$413,C20)</f>
        <v>66.014799999999994</v>
      </c>
      <c r="D21">
        <f t="shared" si="2"/>
        <v>87.0017</v>
      </c>
      <c r="E21">
        <f t="shared" si="2"/>
        <v>87.007800000000003</v>
      </c>
      <c r="F21">
        <f t="shared" si="2"/>
        <v>87.014899999999997</v>
      </c>
      <c r="G21">
        <f t="shared" si="2"/>
        <v>87.021000000000001</v>
      </c>
      <c r="H21">
        <f t="shared" si="2"/>
        <v>87.028300000000002</v>
      </c>
      <c r="I21">
        <f t="shared" si="2"/>
        <v>87.035600000000002</v>
      </c>
      <c r="J21">
        <f t="shared" si="2"/>
        <v>88.801300000000012</v>
      </c>
      <c r="K21">
        <f t="shared" si="2"/>
        <v>88.81450000000001</v>
      </c>
      <c r="O21">
        <f t="shared" si="1"/>
        <v>18</v>
      </c>
      <c r="P21" s="179" t="s">
        <v>297</v>
      </c>
      <c r="Q21" s="1">
        <v>240</v>
      </c>
      <c r="R21" s="129" t="s">
        <v>167</v>
      </c>
      <c r="S21" s="184">
        <v>120</v>
      </c>
      <c r="T21" s="184">
        <v>120</v>
      </c>
      <c r="X21" s="132">
        <v>22.9</v>
      </c>
      <c r="Y21" s="133">
        <v>18</v>
      </c>
      <c r="Z21" s="132">
        <v>497.9</v>
      </c>
      <c r="AA21" s="132">
        <v>83</v>
      </c>
      <c r="AC21" s="132">
        <v>4.66</v>
      </c>
      <c r="AD21" s="132">
        <v>497.9</v>
      </c>
      <c r="AE21" s="132">
        <v>83</v>
      </c>
      <c r="AF21" s="132">
        <v>4.66</v>
      </c>
      <c r="AG21" s="174"/>
      <c r="AH21" s="174">
        <f t="shared" si="0"/>
        <v>0.64377682403433467</v>
      </c>
      <c r="AI21" s="174"/>
      <c r="AJ21" s="175"/>
      <c r="AK21" s="174">
        <f>(($AK$2+Y21*Лист1!$B$7^2*Лист1!$G$8/100)/(AA21/10^6)+$AK$3/(AE21/10^6))/1000/($Q21*IF(Лист1!$J$19="да",1/1.05,1))</f>
        <v>0.3749385585010121</v>
      </c>
      <c r="AM21" s="175"/>
      <c r="AN21" s="174">
        <f>(($AK$2+Y21*Лист1!$B$7^2*Лист1!$G$8/100)/(AA21/10^6)+$AK$3/(AE21/10^6))/1000/($Q21*IF(Лист1!$J$19="да",1/1.05,1))</f>
        <v>0.3749385585010121</v>
      </c>
      <c r="AP21" s="175"/>
      <c r="AQ21" s="174">
        <f>MAX((5/384*($AQ$2+$Y21/100)*$D$17^4/(2.06*10^8*$Z21/10^8))/($D$17/300)*INDEX(Лист1!$L$34:$L$38,MATCH(Лист1!$B$8,Лист1!$I$34:$I$38,0),1),(5/384*($AQ$3)*$D$17^4/(2.06*10^8*$AD21/10^8))/($D$17/200))</f>
        <v>0.56761456369177721</v>
      </c>
      <c r="AR21" s="174"/>
      <c r="AS21" s="175"/>
      <c r="AT21" s="174">
        <f>MAX((5/384*($AT$2+$Y21/100)*$D$17^4/(2.06*10^8*$Z21/10^8))/($D$17/300)*INDEX(Лист1!$L$34:$L$38,MATCH(Лист1!$B$8,Лист1!$I$34:$I$38,0),1),(5/384*($AT$3)*$D$17^4/(2.06*10^8*$AD21/10^8))/($D$17/200))</f>
        <v>0.31459975788018429</v>
      </c>
      <c r="AU21" s="174"/>
      <c r="AV21" s="174">
        <f>IF(OR(MAX(AH21,AQ21)&gt;1,AK21&gt;Лист1!$B$20,N21="-"),999999999,Y21*Лист1!$B$7+0.0001*O21)</f>
        <v>108.0018</v>
      </c>
      <c r="AW21" s="174"/>
      <c r="AX21" s="174">
        <f>IF(OR(MAX(AH21,AT21)&gt;1,AN21&gt;Лист1!$B$20,N21="-"),999999999,Y21*Лист1!$B$7+0.0001*O21)</f>
        <v>108.0018</v>
      </c>
    </row>
    <row r="22" spans="1:50" ht="16.5" thickBot="1" x14ac:dyDescent="0.3">
      <c r="A22" t="s">
        <v>339</v>
      </c>
      <c r="B22" t="str">
        <f>INDEX($R$4:$R$413,MATCH(B21,$AV$4:$AV$413,0),1)</f>
        <v>кв.120х3</v>
      </c>
      <c r="C22" t="str">
        <f t="shared" ref="C22:K22" si="3">INDEX($R$4:$R$413,MATCH(C21,$AV$4:$AV$413,0),1)</f>
        <v>кв.120х3</v>
      </c>
      <c r="D22" t="str">
        <f t="shared" si="3"/>
        <v>кв.120х4</v>
      </c>
      <c r="E22" t="str">
        <f t="shared" si="3"/>
        <v>пр.140х100х4</v>
      </c>
      <c r="F22" t="str">
        <f t="shared" si="3"/>
        <v>кв.120х4</v>
      </c>
      <c r="G22" t="str">
        <f t="shared" si="3"/>
        <v>пр.140х100х4</v>
      </c>
      <c r="H22" t="str">
        <f t="shared" si="3"/>
        <v>пр.140х100х4 90°</v>
      </c>
      <c r="I22" t="str">
        <f t="shared" si="3"/>
        <v>пр.140х100х4 90°</v>
      </c>
      <c r="J22" t="str">
        <f t="shared" si="3"/>
        <v>кв.100х5</v>
      </c>
      <c r="K22" t="str">
        <f t="shared" si="3"/>
        <v>кв.100х5</v>
      </c>
      <c r="O22">
        <f t="shared" si="1"/>
        <v>19</v>
      </c>
      <c r="P22" s="179" t="s">
        <v>297</v>
      </c>
      <c r="Q22" s="1">
        <v>240</v>
      </c>
      <c r="R22" s="129" t="s">
        <v>168</v>
      </c>
      <c r="S22" s="184">
        <v>120</v>
      </c>
      <c r="T22" s="184">
        <v>120</v>
      </c>
      <c r="X22" s="134">
        <v>27.4</v>
      </c>
      <c r="Y22" s="135">
        <v>21.5</v>
      </c>
      <c r="Z22" s="134">
        <v>583.4</v>
      </c>
      <c r="AA22" s="134">
        <v>97.2</v>
      </c>
      <c r="AC22" s="134">
        <v>4.6100000000000003</v>
      </c>
      <c r="AD22" s="134">
        <v>583.4</v>
      </c>
      <c r="AE22" s="134">
        <v>97.2</v>
      </c>
      <c r="AF22" s="134">
        <v>4.6100000000000003</v>
      </c>
      <c r="AG22" s="174"/>
      <c r="AH22" s="174">
        <f t="shared" si="0"/>
        <v>0.65075921908893708</v>
      </c>
      <c r="AI22" s="174"/>
      <c r="AJ22" s="175"/>
      <c r="AK22" s="174">
        <f>(($AK$2+Y22*Лист1!$B$7^2*Лист1!$G$8/100)/(AA22/10^6)+$AK$3/(AE22/10^6))/1000/($Q22*IF(Лист1!$J$19="да",1/1.05,1))</f>
        <v>0.32691512711506177</v>
      </c>
      <c r="AM22" s="175"/>
      <c r="AN22" s="174">
        <f>(($AK$2+Y22*Лист1!$B$7^2*Лист1!$G$8/100)/(AA22/10^6)+$AK$3/(AE22/10^6))/1000/($Q22*IF(Лист1!$J$19="да",1/1.05,1))</f>
        <v>0.32691512711506177</v>
      </c>
      <c r="AP22" s="175"/>
      <c r="AQ22" s="174">
        <f>MAX((5/384*($AQ$2+$Y22/100)*$D$17^4/(2.06*10^8*$Z22/10^8))/($D$17/300)*INDEX(Лист1!$L$34:$L$38,MATCH(Лист1!$B$8,Лист1!$I$34:$I$38,0),1),(5/384*($AQ$3)*$D$17^4/(2.06*10^8*$AD22/10^8))/($D$17/200))</f>
        <v>0.50900042769037213</v>
      </c>
      <c r="AR22" s="174"/>
      <c r="AS22" s="175"/>
      <c r="AT22" s="174">
        <f>MAX((5/384*($AT$2+$Y22/100)*$D$17^4/(2.06*10^8*$Z22/10^8))/($D$17/300)*INDEX(Лист1!$L$34:$L$38,MATCH(Лист1!$B$8,Лист1!$I$34:$I$38,0),1),(5/384*($AT$3)*$D$17^4/(2.06*10^8*$AD22/10^8))/($D$17/200))</f>
        <v>0.26849369120422306</v>
      </c>
      <c r="AU22" s="174"/>
      <c r="AV22" s="174">
        <f>IF(OR(MAX(AH22,AQ22)&gt;1,AK22&gt;Лист1!$B$20,N22="-"),999999999,Y22*Лист1!$B$7+0.0001*O22)</f>
        <v>129.00190000000001</v>
      </c>
      <c r="AW22" s="174"/>
      <c r="AX22" s="174">
        <f>IF(OR(MAX(AH22,AT22)&gt;1,AN22&gt;Лист1!$B$20,N22="-"),999999999,Y22*Лист1!$B$7+0.0001*O22)</f>
        <v>129.00190000000001</v>
      </c>
    </row>
    <row r="23" spans="1:50" ht="16.5" thickBot="1" x14ac:dyDescent="0.3">
      <c r="A23" t="s">
        <v>340</v>
      </c>
      <c r="B23" t="str">
        <f>INDEX($P$4:$P$413,MATCH(B21,$AV$4:$AV$413,0),1)</f>
        <v>С245</v>
      </c>
      <c r="C23" t="str">
        <f t="shared" ref="C23:K23" si="4">INDEX($P$4:$P$413,MATCH(C21,$AV$4:$AV$413,0),1)</f>
        <v>С345</v>
      </c>
      <c r="D23" t="str">
        <f t="shared" si="4"/>
        <v>С245</v>
      </c>
      <c r="E23" t="str">
        <f t="shared" si="4"/>
        <v>С245</v>
      </c>
      <c r="F23" t="str">
        <f t="shared" si="4"/>
        <v>С345</v>
      </c>
      <c r="G23" t="str">
        <f t="shared" si="4"/>
        <v>С345</v>
      </c>
      <c r="H23" t="str">
        <f t="shared" si="4"/>
        <v>С245</v>
      </c>
      <c r="I23" t="str">
        <f t="shared" si="4"/>
        <v>С345</v>
      </c>
      <c r="J23" t="str">
        <f t="shared" si="4"/>
        <v>С245</v>
      </c>
      <c r="K23" t="str">
        <f t="shared" si="4"/>
        <v>С345</v>
      </c>
      <c r="O23">
        <f t="shared" si="1"/>
        <v>20</v>
      </c>
      <c r="P23" s="179" t="s">
        <v>297</v>
      </c>
      <c r="Q23" s="1">
        <v>240</v>
      </c>
      <c r="R23" s="129" t="s">
        <v>169</v>
      </c>
      <c r="S23" s="184">
        <v>140</v>
      </c>
      <c r="T23" s="184">
        <v>140</v>
      </c>
      <c r="X23" s="130">
        <v>21.6</v>
      </c>
      <c r="Y23" s="131">
        <v>17</v>
      </c>
      <c r="Z23" s="130">
        <v>657.9</v>
      </c>
      <c r="AA23" s="130">
        <v>94</v>
      </c>
      <c r="AC23" s="130">
        <v>5.52</v>
      </c>
      <c r="AD23" s="130">
        <v>657.9</v>
      </c>
      <c r="AE23" s="130">
        <v>94</v>
      </c>
      <c r="AF23" s="130">
        <v>5.52</v>
      </c>
      <c r="AG23" s="174"/>
      <c r="AH23" s="174">
        <f t="shared" si="0"/>
        <v>0.54347826086956519</v>
      </c>
      <c r="AI23" s="174"/>
      <c r="AJ23" s="175"/>
      <c r="AK23" s="174">
        <f>(($AK$2+Y23*Лист1!$B$7^2*Лист1!$G$8/100)/(AA23/10^6)+$AK$3/(AE23/10^6))/1000/($Q23*IF(Лист1!$J$19="да",1/1.05,1))</f>
        <v>0.32906808888919148</v>
      </c>
      <c r="AM23" s="175"/>
      <c r="AN23" s="174">
        <f>(($AK$2+Y23*Лист1!$B$7^2*Лист1!$G$8/100)/(AA23/10^6)+$AK$3/(AE23/10^6))/1000/($Q23*IF(Лист1!$J$19="да",1/1.05,1))</f>
        <v>0.32906808888919148</v>
      </c>
      <c r="AP23" s="175"/>
      <c r="AQ23" s="174">
        <f>MAX((5/384*($AQ$2+$Y23/100)*$D$17^4/(2.06*10^8*$Z23/10^8))/($D$17/300)*INDEX(Лист1!$L$34:$L$38,MATCH(Лист1!$B$8,Лист1!$I$34:$I$38,0),1),(5/384*($AQ$3)*$D$17^4/(2.06*10^8*$AD23/10^8))/($D$17/200))</f>
        <v>0.42334612779408454</v>
      </c>
      <c r="AR23" s="174"/>
      <c r="AS23" s="175"/>
      <c r="AT23" s="174">
        <f>MAX((5/384*($AT$2+$Y23/100)*$D$17^4/(2.06*10^8*$Z23/10^8))/($D$17/300)*INDEX(Лист1!$L$34:$L$38,MATCH(Лист1!$B$8,Лист1!$I$34:$I$38,0),1),(5/384*($AT$3)*$D$17^4/(2.06*10^8*$AD23/10^8))/($D$17/200))</f>
        <v>0.23808970884411573</v>
      </c>
      <c r="AU23" s="174"/>
      <c r="AV23" s="174">
        <f>IF(OR(MAX(AH23,AQ23)&gt;1,AK23&gt;Лист1!$B$20,N23="-"),999999999,Y23*Лист1!$B$7+0.0001*O23)</f>
        <v>102.002</v>
      </c>
      <c r="AW23" s="174"/>
      <c r="AX23" s="174">
        <f>IF(OR(MAX(AH23,AT23)&gt;1,AN23&gt;Лист1!$B$20,N23="-"),999999999,Y23*Лист1!$B$7+0.0001*O23)</f>
        <v>102.002</v>
      </c>
    </row>
    <row r="24" spans="1:50" ht="16.5" thickBot="1" x14ac:dyDescent="0.3">
      <c r="O24">
        <f t="shared" si="1"/>
        <v>21</v>
      </c>
      <c r="P24" s="179" t="s">
        <v>297</v>
      </c>
      <c r="Q24" s="1">
        <v>240</v>
      </c>
      <c r="R24" s="129" t="s">
        <v>170</v>
      </c>
      <c r="S24" s="184">
        <v>140</v>
      </c>
      <c r="T24" s="184">
        <v>140</v>
      </c>
      <c r="X24" s="132">
        <v>26.9</v>
      </c>
      <c r="Y24" s="133">
        <v>21.1</v>
      </c>
      <c r="Z24" s="132">
        <v>808.4</v>
      </c>
      <c r="AA24" s="132">
        <v>115.5</v>
      </c>
      <c r="AC24" s="132">
        <v>5.48</v>
      </c>
      <c r="AD24" s="132">
        <v>808.4</v>
      </c>
      <c r="AE24" s="132">
        <v>115.5</v>
      </c>
      <c r="AF24" s="132">
        <v>5.48</v>
      </c>
      <c r="AG24" s="174"/>
      <c r="AH24" s="174">
        <f t="shared" si="0"/>
        <v>0.54744525547445244</v>
      </c>
      <c r="AI24" s="174"/>
      <c r="AJ24" s="175"/>
      <c r="AK24" s="174">
        <f>(($AK$2+Y24*Лист1!$B$7^2*Лист1!$G$8/100)/(AA24/10^6)+$AK$3/(AE24/10^6))/1000/($Q24*IF(Лист1!$J$19="да",1/1.05,1))</f>
        <v>0.27446883424748053</v>
      </c>
      <c r="AM24" s="175"/>
      <c r="AN24" s="174">
        <f>(($AK$2+Y24*Лист1!$B$7^2*Лист1!$G$8/100)/(AA24/10^6)+$AK$3/(AE24/10^6))/1000/($Q24*IF(Лист1!$J$19="да",1/1.05,1))</f>
        <v>0.27446883424748053</v>
      </c>
      <c r="AP24" s="175"/>
      <c r="AQ24" s="174">
        <f>MAX((5/384*($AQ$2+$Y24/100)*$D$17^4/(2.06*10^8*$Z24/10^8))/($D$17/300)*INDEX(Лист1!$L$34:$L$38,MATCH(Лист1!$B$8,Лист1!$I$34:$I$38,0),1),(5/384*($AQ$3)*$D$17^4/(2.06*10^8*$AD24/10^8))/($D$17/200))</f>
        <v>0.36530492330529446</v>
      </c>
      <c r="AR24" s="174"/>
      <c r="AS24" s="175"/>
      <c r="AT24" s="174">
        <f>MAX((5/384*($AT$2+$Y24/100)*$D$17^4/(2.06*10^8*$Z24/10^8))/($D$17/300)*INDEX(Лист1!$L$34:$L$38,MATCH(Лист1!$B$8,Лист1!$I$34:$I$38,0),1),(5/384*($AT$3)*$D$17^4/(2.06*10^8*$AD24/10^8))/($D$17/200))</f>
        <v>0.19376449709122184</v>
      </c>
      <c r="AU24" s="174"/>
      <c r="AV24" s="174">
        <f>IF(OR(MAX(AH24,AQ24)&gt;1,AK24&gt;Лист1!$B$20,N24="-"),999999999,Y24*Лист1!$B$7+0.0001*O24)</f>
        <v>126.60210000000001</v>
      </c>
      <c r="AW24" s="174"/>
      <c r="AX24" s="174">
        <f>IF(OR(MAX(AH24,AT24)&gt;1,AN24&gt;Лист1!$B$20,N24="-"),999999999,Y24*Лист1!$B$7+0.0001*O24)</f>
        <v>126.60210000000001</v>
      </c>
    </row>
    <row r="25" spans="1:50" ht="16.5" thickBot="1" x14ac:dyDescent="0.3"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O25">
        <f t="shared" si="1"/>
        <v>22</v>
      </c>
      <c r="P25" s="179" t="s">
        <v>297</v>
      </c>
      <c r="Q25" s="1">
        <v>240</v>
      </c>
      <c r="R25" s="129" t="s">
        <v>171</v>
      </c>
      <c r="S25" s="184">
        <v>140</v>
      </c>
      <c r="T25" s="184">
        <v>140</v>
      </c>
      <c r="X25" s="132">
        <v>32.1</v>
      </c>
      <c r="Y25" s="133">
        <v>25.2</v>
      </c>
      <c r="Z25" s="132">
        <v>947.1</v>
      </c>
      <c r="AA25" s="132">
        <v>135.30000000000001</v>
      </c>
      <c r="AC25" s="132">
        <v>5.43</v>
      </c>
      <c r="AD25" s="132">
        <v>947.1</v>
      </c>
      <c r="AE25" s="132">
        <v>135.30000000000001</v>
      </c>
      <c r="AF25" s="132">
        <v>5.43</v>
      </c>
      <c r="AG25" s="174"/>
      <c r="AH25" s="174">
        <f t="shared" si="0"/>
        <v>0.5524861878453039</v>
      </c>
      <c r="AI25" s="174"/>
      <c r="AJ25" s="175"/>
      <c r="AK25" s="174">
        <f>(($AK$2+Y25*Лист1!$B$7^2*Лист1!$G$8/100)/(AA25/10^6)+$AK$3/(AE25/10^6))/1000/($Q25*IF(Лист1!$J$19="да",1/1.05,1))</f>
        <v>0.23998448156381375</v>
      </c>
      <c r="AM25" s="175"/>
      <c r="AN25" s="174">
        <f>(($AK$2+Y25*Лист1!$B$7^2*Лист1!$G$8/100)/(AA25/10^6)+$AK$3/(AE25/10^6))/1000/($Q25*IF(Лист1!$J$19="да",1/1.05,1))</f>
        <v>0.23998448156381375</v>
      </c>
      <c r="AP25" s="175"/>
      <c r="AQ25" s="174">
        <f>MAX((5/384*($AQ$2+$Y25/100)*$D$17^4/(2.06*10^8*$Z25/10^8))/($D$17/300)*INDEX(Лист1!$L$34:$L$38,MATCH(Лист1!$B$8,Лист1!$I$34:$I$38,0),1),(5/384*($AQ$3)*$D$17^4/(2.06*10^8*$AD25/10^8))/($D$17/200))</f>
        <v>0.32953815069609527</v>
      </c>
      <c r="AR25" s="174"/>
      <c r="AS25" s="175"/>
      <c r="AT25" s="174">
        <f>MAX((5/384*($AT$2+$Y25/100)*$D$17^4/(2.06*10^8*$Z25/10^8))/($D$17/300)*INDEX(Лист1!$L$34:$L$38,MATCH(Лист1!$B$8,Лист1!$I$34:$I$38,0),1),(5/384*($AT$3)*$D$17^4/(2.06*10^8*$AD25/10^8))/($D$17/200))</f>
        <v>0.16538825831331827</v>
      </c>
      <c r="AU25" s="174"/>
      <c r="AV25" s="174">
        <f>IF(OR(MAX(AH25,AQ25)&gt;1,AK25&gt;Лист1!$B$20,N25="-"),999999999,Y25*Лист1!$B$7+0.0001*O25)</f>
        <v>151.20219999999998</v>
      </c>
      <c r="AW25" s="174"/>
      <c r="AX25" s="174">
        <f>IF(OR(MAX(AH25,AT25)&gt;1,AN25&gt;Лист1!$B$20,N25="-"),999999999,Y25*Лист1!$B$7+0.0001*O25)</f>
        <v>151.20219999999998</v>
      </c>
    </row>
    <row r="26" spans="1:50" ht="16.5" thickBot="1" x14ac:dyDescent="0.3">
      <c r="A26" t="s">
        <v>338</v>
      </c>
      <c r="B26">
        <f>SMALL($AX$4:$AX$413,B25)</f>
        <v>54.601099999999995</v>
      </c>
      <c r="C26">
        <f t="shared" ref="C26:K26" si="5">SMALL($AX$4:$AX$413,C25)</f>
        <v>54.614299999999993</v>
      </c>
      <c r="D26">
        <f t="shared" si="5"/>
        <v>54.627399999999994</v>
      </c>
      <c r="E26">
        <f t="shared" si="5"/>
        <v>54.634699999999995</v>
      </c>
      <c r="F26">
        <f t="shared" si="5"/>
        <v>66.001599999999996</v>
      </c>
      <c r="G26">
        <f t="shared" si="5"/>
        <v>66.014799999999994</v>
      </c>
      <c r="H26">
        <f t="shared" si="5"/>
        <v>72.001199999999997</v>
      </c>
      <c r="I26">
        <f t="shared" si="5"/>
        <v>72.007000000000005</v>
      </c>
      <c r="J26">
        <f t="shared" si="5"/>
        <v>72.014399999999995</v>
      </c>
      <c r="K26">
        <f t="shared" si="5"/>
        <v>72.020200000000003</v>
      </c>
      <c r="O26">
        <f t="shared" si="1"/>
        <v>23</v>
      </c>
      <c r="P26" s="179" t="s">
        <v>297</v>
      </c>
      <c r="Q26" s="1">
        <v>240</v>
      </c>
      <c r="R26" s="129" t="s">
        <v>172</v>
      </c>
      <c r="S26" s="184">
        <v>140</v>
      </c>
      <c r="T26" s="184">
        <v>140</v>
      </c>
      <c r="X26" s="132">
        <v>37.200000000000003</v>
      </c>
      <c r="Y26" s="133">
        <v>29.2</v>
      </c>
      <c r="Z26" s="132">
        <v>1077.0999999999999</v>
      </c>
      <c r="AA26" s="132">
        <v>153.9</v>
      </c>
      <c r="AC26" s="132">
        <v>5.38</v>
      </c>
      <c r="AD26" s="132">
        <v>1077.0999999999999</v>
      </c>
      <c r="AE26" s="132">
        <v>153.9</v>
      </c>
      <c r="AF26" s="132">
        <v>5.38</v>
      </c>
      <c r="AG26" s="174"/>
      <c r="AH26" s="174">
        <f t="shared" si="0"/>
        <v>0.55762081784386619</v>
      </c>
      <c r="AI26" s="174"/>
      <c r="AJ26" s="175"/>
      <c r="AK26" s="174">
        <f>(($AK$2+Y26*Лист1!$B$7^2*Лист1!$G$8/100)/(AA26/10^6)+$AK$3/(AE26/10^6))/1000/($Q26*IF(Лист1!$J$19="да",1/1.05,1))</f>
        <v>0.21585380348007796</v>
      </c>
      <c r="AM26" s="175"/>
      <c r="AN26" s="174">
        <f>(($AK$2+Y26*Лист1!$B$7^2*Лист1!$G$8/100)/(AA26/10^6)+$AK$3/(AE26/10^6))/1000/($Q26*IF(Лист1!$J$19="да",1/1.05,1))</f>
        <v>0.21585380348007796</v>
      </c>
      <c r="AP26" s="175"/>
      <c r="AQ26" s="174">
        <f>MAX((5/384*($AQ$2+$Y26/100)*$D$17^4/(2.06*10^8*$Z26/10^8))/($D$17/300)*INDEX(Лист1!$L$34:$L$38,MATCH(Лист1!$B$8,Лист1!$I$34:$I$38,0),1),(5/384*($AQ$3)*$D$17^4/(2.06*10^8*$AD26/10^8))/($D$17/200))</f>
        <v>0.30497546900928701</v>
      </c>
      <c r="AR26" s="174"/>
      <c r="AS26" s="175"/>
      <c r="AT26" s="174">
        <f>MAX((5/384*($AT$2+$Y26/100)*$D$17^4/(2.06*10^8*$Z26/10^8))/($D$17/300)*INDEX(Лист1!$L$34:$L$38,MATCH(Лист1!$B$8,Лист1!$I$34:$I$38,0),1),(5/384*($AT$3)*$D$17^4/(2.06*10^8*$AD26/10^8))/($D$17/200))</f>
        <v>0.14542681222592496</v>
      </c>
      <c r="AU26" s="174"/>
      <c r="AV26" s="174">
        <f>IF(OR(MAX(AH26,AQ26)&gt;1,AK26&gt;Лист1!$B$20,N26="-"),999999999,Y26*Лист1!$B$7+0.0001*O26)</f>
        <v>175.20229999999998</v>
      </c>
      <c r="AW26" s="174"/>
      <c r="AX26" s="174">
        <f>IF(OR(MAX(AH26,AT26)&gt;1,AN26&gt;Лист1!$B$20,N26="-"),999999999,Y26*Лист1!$B$7+0.0001*O26)</f>
        <v>175.20229999999998</v>
      </c>
    </row>
    <row r="27" spans="1:50" ht="16.5" thickBot="1" x14ac:dyDescent="0.3">
      <c r="A27" t="s">
        <v>339</v>
      </c>
      <c r="B27" t="str">
        <f>INDEX($R$4:$R$413,MATCH(B26,$AX$4:$AX$413,0),1)</f>
        <v>кв.100х3</v>
      </c>
      <c r="C27" t="str">
        <f t="shared" ref="C27:K27" si="6">INDEX($R$4:$R$413,MATCH(C26,$AX$4:$AX$413,0),1)</f>
        <v>кв.100х3</v>
      </c>
      <c r="D27" t="str">
        <f t="shared" si="6"/>
        <v>пр.120х80х3 90°</v>
      </c>
      <c r="E27" t="str">
        <f t="shared" si="6"/>
        <v>пр.120х80х3 90°</v>
      </c>
      <c r="F27" t="str">
        <f t="shared" si="6"/>
        <v>кв.120х3</v>
      </c>
      <c r="G27" t="str">
        <f t="shared" si="6"/>
        <v>кв.120х3</v>
      </c>
      <c r="H27" t="str">
        <f t="shared" si="6"/>
        <v>кв.100х4</v>
      </c>
      <c r="I27" t="str">
        <f t="shared" si="6"/>
        <v>пр.120х80х4</v>
      </c>
      <c r="J27" t="str">
        <f t="shared" si="6"/>
        <v>кв.100х4</v>
      </c>
      <c r="K27" t="str">
        <f t="shared" si="6"/>
        <v>пр.120х80х4</v>
      </c>
      <c r="O27">
        <f t="shared" si="1"/>
        <v>24</v>
      </c>
      <c r="P27" s="179" t="s">
        <v>297</v>
      </c>
      <c r="Q27" s="1">
        <v>240</v>
      </c>
      <c r="R27" s="129" t="s">
        <v>173</v>
      </c>
      <c r="S27" s="184">
        <v>140</v>
      </c>
      <c r="T27" s="184">
        <v>140</v>
      </c>
      <c r="X27" s="134">
        <v>42.3</v>
      </c>
      <c r="Y27" s="135">
        <v>33.200000000000003</v>
      </c>
      <c r="Z27" s="134">
        <v>1201.7</v>
      </c>
      <c r="AA27" s="134">
        <v>171.7</v>
      </c>
      <c r="AC27" s="134">
        <v>5.33</v>
      </c>
      <c r="AD27" s="134">
        <v>1201.7</v>
      </c>
      <c r="AE27" s="134">
        <v>171.7</v>
      </c>
      <c r="AF27" s="134">
        <v>5.33</v>
      </c>
      <c r="AG27" s="174"/>
      <c r="AH27" s="174">
        <f t="shared" si="0"/>
        <v>0.56285178236397748</v>
      </c>
      <c r="AI27" s="174"/>
      <c r="AJ27" s="175"/>
      <c r="AK27" s="174">
        <f>(($AK$2+Y27*Лист1!$B$7^2*Лист1!$G$8/100)/(AA27/10^6)+$AK$3/(AE27/10^6))/1000/($Q27*IF(Лист1!$J$19="да",1/1.05,1))</f>
        <v>0.19784449828528833</v>
      </c>
      <c r="AM27" s="175"/>
      <c r="AN27" s="174">
        <f>(($AK$2+Y27*Лист1!$B$7^2*Лист1!$G$8/100)/(AA27/10^6)+$AK$3/(AE27/10^6))/1000/($Q27*IF(Лист1!$J$19="да",1/1.05,1))</f>
        <v>0.19784449828528833</v>
      </c>
      <c r="AP27" s="175"/>
      <c r="AQ27" s="174">
        <f>MAX((5/384*($AQ$2+$Y27/100)*$D$17^4/(2.06*10^8*$Z27/10^8))/($D$17/300)*INDEX(Лист1!$L$34:$L$38,MATCH(Лист1!$B$8,Лист1!$I$34:$I$38,0),1),(5/384*($AQ$3)*$D$17^4/(2.06*10^8*$AD27/10^8))/($D$17/200))</f>
        <v>0.28698724541527337</v>
      </c>
      <c r="AR27" s="174"/>
      <c r="AS27" s="175"/>
      <c r="AT27" s="174">
        <f>MAX((5/384*($AT$2+$Y27/100)*$D$17^4/(2.06*10^8*$Z27/10^8))/($D$17/300)*INDEX(Лист1!$L$34:$L$38,MATCH(Лист1!$B$8,Лист1!$I$34:$I$38,0),1),(5/384*($AT$3)*$D$17^4/(2.06*10^8*$AD27/10^8))/($D$17/200))</f>
        <v>0.14383446266656222</v>
      </c>
      <c r="AU27" s="174"/>
      <c r="AV27" s="174">
        <f>IF(OR(MAX(AH27,AQ27)&gt;1,AK27&gt;Лист1!$B$20,N27="-"),999999999,Y27*Лист1!$B$7+0.0001*O27)</f>
        <v>199.20240000000001</v>
      </c>
      <c r="AW27" s="174"/>
      <c r="AX27" s="174">
        <f>IF(OR(MAX(AH27,AT27)&gt;1,AN27&gt;Лист1!$B$20,N27="-"),999999999,Y27*Лист1!$B$7+0.0001*O27)</f>
        <v>199.20240000000001</v>
      </c>
    </row>
    <row r="28" spans="1:50" ht="16.5" thickBot="1" x14ac:dyDescent="0.3">
      <c r="A28" t="s">
        <v>340</v>
      </c>
      <c r="B28" t="str">
        <f>INDEX($P$4:$P$413,MATCH(B26,$AX$4:$AX$413,0),1)</f>
        <v>С245</v>
      </c>
      <c r="C28" t="str">
        <f t="shared" ref="C28:K28" si="7">INDEX($P$4:$P$413,MATCH(C26,$AX$4:$AX$413,0),1)</f>
        <v>С345</v>
      </c>
      <c r="D28" t="str">
        <f t="shared" si="7"/>
        <v>С245</v>
      </c>
      <c r="E28" t="str">
        <f t="shared" si="7"/>
        <v>С345</v>
      </c>
      <c r="F28" t="str">
        <f t="shared" si="7"/>
        <v>С245</v>
      </c>
      <c r="G28" t="str">
        <f t="shared" si="7"/>
        <v>С345</v>
      </c>
      <c r="H28" t="str">
        <f t="shared" si="7"/>
        <v>С245</v>
      </c>
      <c r="I28" t="str">
        <f t="shared" si="7"/>
        <v>С245</v>
      </c>
      <c r="J28" t="str">
        <f t="shared" si="7"/>
        <v>С345</v>
      </c>
      <c r="K28" t="str">
        <f t="shared" si="7"/>
        <v>С345</v>
      </c>
      <c r="O28">
        <f t="shared" si="1"/>
        <v>25</v>
      </c>
      <c r="P28" s="179" t="s">
        <v>297</v>
      </c>
      <c r="Q28" s="1">
        <v>240</v>
      </c>
      <c r="R28" s="129" t="s">
        <v>174</v>
      </c>
      <c r="S28" s="184">
        <v>160</v>
      </c>
      <c r="T28" s="184">
        <v>160</v>
      </c>
      <c r="X28" s="130">
        <v>24.7</v>
      </c>
      <c r="Y28" s="131">
        <v>19.399999999999999</v>
      </c>
      <c r="Z28" s="130">
        <v>989.7</v>
      </c>
      <c r="AA28" s="130">
        <v>123.7</v>
      </c>
      <c r="AC28" s="130">
        <v>6.33</v>
      </c>
      <c r="AD28" s="130">
        <v>989.7</v>
      </c>
      <c r="AE28" s="130">
        <v>123.7</v>
      </c>
      <c r="AF28" s="130">
        <v>6.33</v>
      </c>
      <c r="AG28" s="174"/>
      <c r="AH28" s="174">
        <f t="shared" si="0"/>
        <v>0.47393364928909953</v>
      </c>
      <c r="AI28" s="174"/>
      <c r="AJ28" s="175"/>
      <c r="AK28" s="174">
        <f>(($AK$2+Y28*Лист1!$B$7^2*Лист1!$G$8/100)/(AA28/10^6)+$AK$3/(AE28/10^6))/1000/($Q28*IF(Лист1!$J$19="да",1/1.05,1))</f>
        <v>0.25369765849299925</v>
      </c>
      <c r="AM28" s="175"/>
      <c r="AN28" s="174">
        <f>(($AK$2+Y28*Лист1!$B$7^2*Лист1!$G$8/100)/(AA28/10^6)+$AK$3/(AE28/10^6))/1000/($Q28*IF(Лист1!$J$19="да",1/1.05,1))</f>
        <v>0.25369765849299925</v>
      </c>
      <c r="AP28" s="175"/>
      <c r="AQ28" s="174">
        <f>MAX((5/384*($AQ$2+$Y28/100)*$D$17^4/(2.06*10^8*$Z28/10^8))/($D$17/300)*INDEX(Лист1!$L$34:$L$38,MATCH(Лист1!$B$8,Лист1!$I$34:$I$38,0),1),(5/384*($AQ$3)*$D$17^4/(2.06*10^8*$AD28/10^8))/($D$17/200))</f>
        <v>0.29135042392958155</v>
      </c>
      <c r="AR28" s="174"/>
      <c r="AS28" s="175"/>
      <c r="AT28" s="174">
        <f>MAX((5/384*($AT$2+$Y28/100)*$D$17^4/(2.06*10^8*$Z28/10^8))/($D$17/300)*INDEX(Лист1!$L$34:$L$38,MATCH(Лист1!$B$8,Лист1!$I$34:$I$38,0),1),(5/384*($AT$3)*$D$17^4/(2.06*10^8*$AD28/10^8))/($D$17/200))</f>
        <v>0.15826939420889538</v>
      </c>
      <c r="AU28" s="174"/>
      <c r="AV28" s="174">
        <f>IF(OR(MAX(AH28,AQ28)&gt;1,AK28&gt;Лист1!$B$20,N28="-"),999999999,Y28*Лист1!$B$7+0.0001*O28)</f>
        <v>116.40249999999999</v>
      </c>
      <c r="AW28" s="174"/>
      <c r="AX28" s="174">
        <f>IF(OR(MAX(AH28,AT28)&gt;1,AN28&gt;Лист1!$B$20,N28="-"),999999999,Y28*Лист1!$B$7+0.0001*O28)</f>
        <v>116.40249999999999</v>
      </c>
    </row>
    <row r="29" spans="1:50" ht="16.5" thickBot="1" x14ac:dyDescent="0.3">
      <c r="O29">
        <f t="shared" si="1"/>
        <v>26</v>
      </c>
      <c r="P29" s="179" t="s">
        <v>297</v>
      </c>
      <c r="Q29" s="1">
        <v>240</v>
      </c>
      <c r="R29" s="129" t="s">
        <v>175</v>
      </c>
      <c r="S29" s="184">
        <v>160</v>
      </c>
      <c r="T29" s="184">
        <v>160</v>
      </c>
      <c r="X29" s="136">
        <v>30.7</v>
      </c>
      <c r="Y29" s="137">
        <v>24.1</v>
      </c>
      <c r="Z29" s="136">
        <v>1214.5999999999999</v>
      </c>
      <c r="AA29" s="136">
        <v>151.80000000000001</v>
      </c>
      <c r="AC29" s="136">
        <v>6.29</v>
      </c>
      <c r="AD29" s="136">
        <v>1214.5999999999999</v>
      </c>
      <c r="AE29" s="136">
        <v>151.80000000000001</v>
      </c>
      <c r="AF29" s="136">
        <v>6.29</v>
      </c>
      <c r="AG29" s="174"/>
      <c r="AH29" s="174">
        <f t="shared" si="0"/>
        <v>0.47694753577106519</v>
      </c>
      <c r="AI29" s="174"/>
      <c r="AJ29" s="176"/>
      <c r="AK29" s="174">
        <f>(($AK$2+Y29*Лист1!$B$7^2*Лист1!$G$8/100)/(AA29/10^6)+$AK$3/(AE29/10^6))/1000/($Q29*IF(Лист1!$J$19="да",1/1.05,1))</f>
        <v>0.21254051617644271</v>
      </c>
      <c r="AM29" s="176"/>
      <c r="AN29" s="174">
        <f>(($AK$2+Y29*Лист1!$B$7^2*Лист1!$G$8/100)/(AA29/10^6)+$AK$3/(AE29/10^6))/1000/($Q29*IF(Лист1!$J$19="да",1/1.05,1))</f>
        <v>0.21254051617644271</v>
      </c>
      <c r="AP29" s="176"/>
      <c r="AQ29" s="174">
        <f>MAX((5/384*($AQ$2+$Y29/100)*$D$17^4/(2.06*10^8*$Z29/10^8))/($D$17/300)*INDEX(Лист1!$L$34:$L$38,MATCH(Лист1!$B$8,Лист1!$I$34:$I$38,0),1),(5/384*($AQ$3)*$D$17^4/(2.06*10^8*$AD29/10^8))/($D$17/200))</f>
        <v>0.25325219937364019</v>
      </c>
      <c r="AR29" s="174"/>
      <c r="AS29" s="175"/>
      <c r="AT29" s="174">
        <f>MAX((5/384*($AT$2+$Y29/100)*$D$17^4/(2.06*10^8*$Z29/10^8))/($D$17/300)*INDEX(Лист1!$L$34:$L$38,MATCH(Лист1!$B$8,Лист1!$I$34:$I$38,0),1),(5/384*($AT$3)*$D$17^4/(2.06*10^8*$AD29/10^8))/($D$17/200))</f>
        <v>0.12896362543104212</v>
      </c>
      <c r="AU29" s="174"/>
      <c r="AV29" s="174">
        <f>IF(OR(MAX(AH29,AQ29)&gt;1,AK29&gt;Лист1!$B$20,N29="-"),999999999,Y29*Лист1!$B$7+0.0001*O29)</f>
        <v>144.60260000000002</v>
      </c>
      <c r="AW29" s="174"/>
      <c r="AX29" s="174">
        <f>IF(OR(MAX(AH29,AT29)&gt;1,AN29&gt;Лист1!$B$20,N29="-"),999999999,Y29*Лист1!$B$7+0.0001*O29)</f>
        <v>144.60260000000002</v>
      </c>
    </row>
    <row r="30" spans="1:50" ht="16.5" thickBot="1" x14ac:dyDescent="0.3">
      <c r="O30">
        <f t="shared" si="1"/>
        <v>27</v>
      </c>
      <c r="P30" s="179" t="s">
        <v>297</v>
      </c>
      <c r="Q30" s="1">
        <v>240</v>
      </c>
      <c r="R30" s="129" t="s">
        <v>176</v>
      </c>
      <c r="S30" s="184">
        <v>160</v>
      </c>
      <c r="T30" s="184">
        <v>160</v>
      </c>
      <c r="X30" s="132">
        <v>36.799999999999997</v>
      </c>
      <c r="Y30" s="133">
        <v>28.9</v>
      </c>
      <c r="Z30" s="132">
        <v>1435.1</v>
      </c>
      <c r="AA30" s="132">
        <v>179.4</v>
      </c>
      <c r="AC30" s="132">
        <v>6.24</v>
      </c>
      <c r="AD30" s="132">
        <v>1435.1</v>
      </c>
      <c r="AE30" s="132">
        <v>179.4</v>
      </c>
      <c r="AF30" s="132">
        <v>6.24</v>
      </c>
      <c r="AG30" s="174"/>
      <c r="AH30" s="174">
        <f t="shared" si="0"/>
        <v>0.48076923076923073</v>
      </c>
      <c r="AI30" s="174"/>
      <c r="AJ30" s="175"/>
      <c r="AK30" s="174">
        <f>(($AK$2+Y30*Лист1!$B$7^2*Лист1!$G$8/100)/(AA30/10^6)+$AK$3/(AE30/10^6))/1000/($Q30*IF(Лист1!$J$19="да",1/1.05,1))</f>
        <v>0.1848586976342475</v>
      </c>
      <c r="AM30" s="175"/>
      <c r="AN30" s="174">
        <f>(($AK$2+Y30*Лист1!$B$7^2*Лист1!$G$8/100)/(AA30/10^6)+$AK$3/(AE30/10^6))/1000/($Q30*IF(Лист1!$J$19="да",1/1.05,1))</f>
        <v>0.1848586976342475</v>
      </c>
      <c r="AP30" s="175"/>
      <c r="AQ30" s="174">
        <f>MAX((5/384*($AQ$2+$Y30/100)*$D$17^4/(2.06*10^8*$Z30/10^8))/($D$17/300)*INDEX(Лист1!$L$34:$L$38,MATCH(Лист1!$B$8,Лист1!$I$34:$I$38,0),1),(5/384*($AQ$3)*$D$17^4/(2.06*10^8*$AD30/10^8))/($D$17/200))</f>
        <v>0.22804007771861232</v>
      </c>
      <c r="AR30" s="174"/>
      <c r="AS30" s="175"/>
      <c r="AT30" s="174">
        <f>MAX((5/384*($AT$2+$Y30/100)*$D$17^4/(2.06*10^8*$Z30/10^8))/($D$17/300)*INDEX(Лист1!$L$34:$L$38,MATCH(Лист1!$B$8,Лист1!$I$34:$I$38,0),1),(5/384*($AT$3)*$D$17^4/(2.06*10^8*$AD30/10^8))/($D$17/200))</f>
        <v>0.10914864430948626</v>
      </c>
      <c r="AU30" s="174"/>
      <c r="AV30" s="174">
        <f>IF(OR(MAX(AH30,AQ30)&gt;1,AK30&gt;Лист1!$B$20,N30="-"),999999999,Y30*Лист1!$B$7+0.0001*O30)</f>
        <v>173.40269999999998</v>
      </c>
      <c r="AW30" s="174"/>
      <c r="AX30" s="174">
        <f>IF(OR(MAX(AH30,AT30)&gt;1,AN30&gt;Лист1!$B$20,N30="-"),999999999,Y30*Лист1!$B$7+0.0001*O30)</f>
        <v>173.40269999999998</v>
      </c>
    </row>
    <row r="31" spans="1:50" ht="16.5" thickBot="1" x14ac:dyDescent="0.3">
      <c r="N31" t="s">
        <v>344</v>
      </c>
      <c r="O31">
        <f t="shared" si="1"/>
        <v>28</v>
      </c>
      <c r="P31" s="179" t="s">
        <v>297</v>
      </c>
      <c r="Q31" s="1">
        <v>240</v>
      </c>
      <c r="R31" s="129" t="s">
        <v>177</v>
      </c>
      <c r="S31" s="184">
        <v>160</v>
      </c>
      <c r="T31" s="184">
        <v>160</v>
      </c>
      <c r="X31" s="132">
        <v>42.8</v>
      </c>
      <c r="Y31" s="133">
        <v>33.6</v>
      </c>
      <c r="Z31" s="132">
        <v>1640.8</v>
      </c>
      <c r="AA31" s="132">
        <v>205.1</v>
      </c>
      <c r="AC31" s="132">
        <v>6.2</v>
      </c>
      <c r="AD31" s="132">
        <v>1640.8</v>
      </c>
      <c r="AE31" s="132">
        <v>205.1</v>
      </c>
      <c r="AF31" s="132">
        <v>6.2</v>
      </c>
      <c r="AG31" s="174"/>
      <c r="AH31" s="174">
        <f t="shared" si="0"/>
        <v>0.48387096774193544</v>
      </c>
      <c r="AI31" s="174"/>
      <c r="AJ31" s="175"/>
      <c r="AK31" s="174">
        <f>(($AK$2+Y31*Лист1!$B$7^2*Лист1!$G$8/100)/(AA31/10^6)+$AK$3/(AE31/10^6))/1000/($Q31*IF(Лист1!$J$19="да",1/1.05,1))</f>
        <v>0.16599171309402244</v>
      </c>
      <c r="AM31" s="175"/>
      <c r="AN31" s="174">
        <f>(($AK$2+Y31*Лист1!$B$7^2*Лист1!$G$8/100)/(AA31/10^6)+$AK$3/(AE31/10^6))/1000/($Q31*IF(Лист1!$J$19="да",1/1.05,1))</f>
        <v>0.16599171309402244</v>
      </c>
      <c r="AP31" s="175"/>
      <c r="AQ31" s="174">
        <f>MAX((5/384*($AQ$2+$Y31/100)*$D$17^4/(2.06*10^8*$Z31/10^8))/($D$17/300)*INDEX(Лист1!$L$34:$L$38,MATCH(Лист1!$B$8,Лист1!$I$34:$I$38,0),1),(5/384*($AQ$3)*$D$17^4/(2.06*10^8*$AD31/10^8))/($D$17/200))</f>
        <v>0.21118413111293094</v>
      </c>
      <c r="AR31" s="174"/>
      <c r="AS31" s="175"/>
      <c r="AT31" s="174">
        <f>MAX((5/384*($AT$2+$Y31/100)*$D$17^4/(2.06*10^8*$Z31/10^8))/($D$17/300)*INDEX(Лист1!$L$34:$L$38,MATCH(Лист1!$B$8,Лист1!$I$34:$I$38,0),1),(5/384*($AT$3)*$D$17^4/(2.06*10^8*$AD31/10^8))/($D$17/200))</f>
        <v>0.10634094545402907</v>
      </c>
      <c r="AU31" s="174"/>
      <c r="AV31" s="174">
        <f>IF(OR(MAX(AH31,AQ31)&gt;1,AK31&gt;Лист1!$B$20,N31="-"),999999999,Y31*Лист1!$B$7+0.0001*O31)</f>
        <v>999999999</v>
      </c>
      <c r="AW31" s="174"/>
      <c r="AX31" s="174">
        <f>IF(OR(MAX(AH31,AT31)&gt;1,AN31&gt;Лист1!$B$20,N31="-"),999999999,Y31*Лист1!$B$7+0.0001*O31)</f>
        <v>999999999</v>
      </c>
    </row>
    <row r="32" spans="1:50" ht="16.5" thickBot="1" x14ac:dyDescent="0.3">
      <c r="O32">
        <f t="shared" si="1"/>
        <v>29</v>
      </c>
      <c r="P32" s="179" t="s">
        <v>297</v>
      </c>
      <c r="Q32" s="1">
        <v>240</v>
      </c>
      <c r="R32" s="129" t="s">
        <v>178</v>
      </c>
      <c r="S32" s="184">
        <v>160</v>
      </c>
      <c r="T32" s="184">
        <v>160</v>
      </c>
      <c r="X32" s="134">
        <v>48.7</v>
      </c>
      <c r="Y32" s="135">
        <v>38.200000000000003</v>
      </c>
      <c r="Z32" s="134">
        <v>1836.9</v>
      </c>
      <c r="AA32" s="134">
        <v>229.6</v>
      </c>
      <c r="AC32" s="134">
        <v>6.15</v>
      </c>
      <c r="AD32" s="134">
        <v>1836.9</v>
      </c>
      <c r="AE32" s="134">
        <v>229.6</v>
      </c>
      <c r="AF32" s="134">
        <v>6.15</v>
      </c>
      <c r="AG32" s="174"/>
      <c r="AH32" s="174">
        <f t="shared" si="0"/>
        <v>0.48780487804878048</v>
      </c>
      <c r="AI32" s="174"/>
      <c r="AJ32" s="175"/>
      <c r="AK32" s="174">
        <f>(($AK$2+Y32*Лист1!$B$7^2*Лист1!$G$8/100)/(AA32/10^6)+$AK$3/(AE32/10^6))/1000/($Q32*IF(Лист1!$J$19="да",1/1.05,1))</f>
        <v>0.15203571583442513</v>
      </c>
      <c r="AM32" s="175"/>
      <c r="AN32" s="174">
        <f>(($AK$2+Y32*Лист1!$B$7^2*Лист1!$G$8/100)/(AA32/10^6)+$AK$3/(AE32/10^6))/1000/($Q32*IF(Лист1!$J$19="да",1/1.05,1))</f>
        <v>0.15203571583442513</v>
      </c>
      <c r="AP32" s="175"/>
      <c r="AQ32" s="174">
        <f>MAX((5/384*($AQ$2+$Y32/100)*$D$17^4/(2.06*10^8*$Z32/10^8))/($D$17/300)*INDEX(Лист1!$L$34:$L$38,MATCH(Лист1!$B$8,Лист1!$I$34:$I$38,0),1),(5/384*($AQ$3)*$D$17^4/(2.06*10^8*$AD32/10^8))/($D$17/200))</f>
        <v>0.19889593431736777</v>
      </c>
      <c r="AR32" s="174"/>
      <c r="AS32" s="175"/>
      <c r="AT32" s="174">
        <f>MAX((5/384*($AT$2+$Y32/100)*$D$17^4/(2.06*10^8*$Z32/10^8))/($D$17/300)*INDEX(Лист1!$L$34:$L$38,MATCH(Лист1!$B$8,Лист1!$I$34:$I$38,0),1),(5/384*($AT$3)*$D$17^4/(2.06*10^8*$AD32/10^8))/($D$17/200))</f>
        <v>0.10524538228452641</v>
      </c>
      <c r="AU32" s="174"/>
      <c r="AV32" s="174">
        <f>IF(OR(MAX(AH32,AQ32)&gt;1,AK32&gt;Лист1!$B$20,N32="-"),999999999,Y32*Лист1!$B$7+0.0001*O32)</f>
        <v>229.20290000000003</v>
      </c>
      <c r="AW32" s="174"/>
      <c r="AX32" s="174">
        <f>IF(OR(MAX(AH32,AT32)&gt;1,AN32&gt;Лист1!$B$20,N32="-"),999999999,Y32*Лист1!$B$7+0.0001*O32)</f>
        <v>229.20290000000003</v>
      </c>
    </row>
    <row r="33" spans="14:50" ht="16.5" thickBot="1" x14ac:dyDescent="0.3">
      <c r="O33">
        <f t="shared" si="1"/>
        <v>30</v>
      </c>
      <c r="P33" s="179" t="s">
        <v>297</v>
      </c>
      <c r="Q33" s="1">
        <v>240</v>
      </c>
      <c r="R33" s="129" t="s">
        <v>179</v>
      </c>
      <c r="S33" s="184">
        <v>180</v>
      </c>
      <c r="T33" s="184">
        <v>180</v>
      </c>
      <c r="X33" s="130">
        <v>34.6</v>
      </c>
      <c r="Y33" s="131">
        <v>27.2</v>
      </c>
      <c r="Z33" s="130">
        <v>1749.1</v>
      </c>
      <c r="AA33" s="130">
        <v>194.3</v>
      </c>
      <c r="AC33" s="130">
        <v>7.11</v>
      </c>
      <c r="AD33" s="130">
        <v>1749.1</v>
      </c>
      <c r="AE33" s="130">
        <v>194.3</v>
      </c>
      <c r="AF33" s="130">
        <v>7.11</v>
      </c>
      <c r="AG33" s="174"/>
      <c r="AH33" s="174">
        <f t="shared" si="0"/>
        <v>0.4219409282700422</v>
      </c>
      <c r="AI33" s="174"/>
      <c r="AJ33" s="175"/>
      <c r="AK33" s="174">
        <f>(($AK$2+Y33*Лист1!$B$7^2*Лист1!$G$8/100)/(AA33/10^6)+$AK$3/(AE33/10^6))/1000/($Q33*IF(Лист1!$J$19="да",1/1.05,1))</f>
        <v>0.16904220460928465</v>
      </c>
      <c r="AM33" s="175"/>
      <c r="AN33" s="174">
        <f>(($AK$2+Y33*Лист1!$B$7^2*Лист1!$G$8/100)/(AA33/10^6)+$AK$3/(AE33/10^6))/1000/($Q33*IF(Лист1!$J$19="да",1/1.05,1))</f>
        <v>0.16904220460928465</v>
      </c>
      <c r="AP33" s="175"/>
      <c r="AQ33" s="174">
        <f>MAX((5/384*($AQ$2+$Y33/100)*$D$17^4/(2.06*10^8*$Z33/10^8))/($D$17/300)*INDEX(Лист1!$L$34:$L$38,MATCH(Лист1!$B$8,Лист1!$I$34:$I$38,0),1),(5/384*($AQ$3)*$D$17^4/(2.06*10^8*$AD33/10^8))/($D$17/200))</f>
        <v>0.18312122239842626</v>
      </c>
      <c r="AR33" s="174"/>
      <c r="AS33" s="175"/>
      <c r="AT33" s="174">
        <f>MAX((5/384*($AT$2+$Y33/100)*$D$17^4/(2.06*10^8*$Z33/10^8))/($D$17/300)*INDEX(Лист1!$L$34:$L$38,MATCH(Лист1!$B$8,Лист1!$I$34:$I$38,0),1),(5/384*($AT$3)*$D$17^4/(2.06*10^8*$AD33/10^8))/($D$17/200))</f>
        <v>8.9554181835540411E-2</v>
      </c>
      <c r="AU33" s="174"/>
      <c r="AV33" s="174">
        <f>IF(OR(MAX(AH33,AQ33)&gt;1,AK33&gt;Лист1!$B$20,N33="-"),999999999,Y33*Лист1!$B$7+0.0001*O33)</f>
        <v>163.20299999999997</v>
      </c>
      <c r="AW33" s="174"/>
      <c r="AX33" s="174">
        <f>IF(OR(MAX(AH33,AT33)&gt;1,AN33&gt;Лист1!$B$20,N33="-"),999999999,Y33*Лист1!$B$7+0.0001*O33)</f>
        <v>163.20299999999997</v>
      </c>
    </row>
    <row r="34" spans="14:50" ht="16.5" thickBot="1" x14ac:dyDescent="0.3">
      <c r="O34">
        <f t="shared" si="1"/>
        <v>31</v>
      </c>
      <c r="P34" s="179" t="s">
        <v>297</v>
      </c>
      <c r="Q34" s="1">
        <v>240</v>
      </c>
      <c r="R34" s="129" t="s">
        <v>180</v>
      </c>
      <c r="S34" s="184">
        <v>180</v>
      </c>
      <c r="T34" s="184">
        <v>180</v>
      </c>
      <c r="X34" s="132">
        <v>41.4</v>
      </c>
      <c r="Y34" s="133">
        <v>32.5</v>
      </c>
      <c r="Z34" s="132">
        <v>2063.5</v>
      </c>
      <c r="AA34" s="132">
        <v>229.3</v>
      </c>
      <c r="AC34" s="132">
        <v>7.06</v>
      </c>
      <c r="AD34" s="132">
        <v>2063.5</v>
      </c>
      <c r="AE34" s="132">
        <v>229.3</v>
      </c>
      <c r="AF34" s="132">
        <v>7.06</v>
      </c>
      <c r="AG34" s="174"/>
      <c r="AH34" s="174">
        <f t="shared" si="0"/>
        <v>0.42492917847025496</v>
      </c>
      <c r="AI34" s="174"/>
      <c r="AJ34" s="175"/>
      <c r="AK34" s="174">
        <f>(($AK$2+Y34*Лист1!$B$7^2*Лист1!$G$8/100)/(AA34/10^6)+$AK$3/(AE34/10^6))/1000/($Q34*IF(Лист1!$J$19="да",1/1.05,1))</f>
        <v>0.14757370412378545</v>
      </c>
      <c r="AM34" s="175"/>
      <c r="AN34" s="174">
        <f>(($AK$2+Y34*Лист1!$B$7^2*Лист1!$G$8/100)/(AA34/10^6)+$AK$3/(AE34/10^6))/1000/($Q34*IF(Лист1!$J$19="да",1/1.05,1))</f>
        <v>0.14757370412378545</v>
      </c>
      <c r="AP34" s="175"/>
      <c r="AQ34" s="174">
        <f>MAX((5/384*($AQ$2+$Y34/100)*$D$17^4/(2.06*10^8*$Z34/10^8))/($D$17/300)*INDEX(Лист1!$L$34:$L$38,MATCH(Лист1!$B$8,Лист1!$I$34:$I$38,0),1),(5/384*($AQ$3)*$D$17^4/(2.06*10^8*$AD34/10^8))/($D$17/200))</f>
        <v>0.16574047063971334</v>
      </c>
      <c r="AR34" s="174"/>
      <c r="AS34" s="175"/>
      <c r="AT34" s="174">
        <f>MAX((5/384*($AT$2+$Y34/100)*$D$17^4/(2.06*10^8*$Z34/10^8))/($D$17/300)*INDEX(Лист1!$L$34:$L$38,MATCH(Лист1!$B$8,Лист1!$I$34:$I$38,0),1),(5/384*($AT$3)*$D$17^4/(2.06*10^8*$AD34/10^8))/($D$17/200))</f>
        <v>8.2374006365845562E-2</v>
      </c>
      <c r="AU34" s="174"/>
      <c r="AV34" s="174">
        <f>IF(OR(MAX(AH34,AQ34)&gt;1,AK34&gt;Лист1!$B$20,N34="-"),999999999,Y34*Лист1!$B$7+0.0001*O34)</f>
        <v>195.00309999999999</v>
      </c>
      <c r="AW34" s="174"/>
      <c r="AX34" s="174">
        <f>IF(OR(MAX(AH34,AT34)&gt;1,AN34&gt;Лист1!$B$20,N34="-"),999999999,Y34*Лист1!$B$7+0.0001*O34)</f>
        <v>195.00309999999999</v>
      </c>
    </row>
    <row r="35" spans="14:50" ht="16.5" thickBot="1" x14ac:dyDescent="0.3">
      <c r="O35">
        <f t="shared" si="1"/>
        <v>32</v>
      </c>
      <c r="P35" s="179" t="s">
        <v>297</v>
      </c>
      <c r="Q35" s="1">
        <v>240</v>
      </c>
      <c r="R35" s="129" t="s">
        <v>181</v>
      </c>
      <c r="S35" s="184">
        <v>180</v>
      </c>
      <c r="T35" s="184">
        <v>180</v>
      </c>
      <c r="X35" s="132">
        <v>48.2</v>
      </c>
      <c r="Y35" s="133">
        <v>37.799999999999997</v>
      </c>
      <c r="Z35" s="132">
        <v>2372.1</v>
      </c>
      <c r="AA35" s="132">
        <v>263.60000000000002</v>
      </c>
      <c r="AC35" s="132">
        <v>7.01</v>
      </c>
      <c r="AD35" s="132">
        <v>2372.1</v>
      </c>
      <c r="AE35" s="132">
        <v>263.60000000000002</v>
      </c>
      <c r="AF35" s="132">
        <v>7.01</v>
      </c>
      <c r="AG35" s="174"/>
      <c r="AH35" s="174">
        <f t="shared" si="0"/>
        <v>0.42796005706134094</v>
      </c>
      <c r="AI35" s="174"/>
      <c r="AJ35" s="175"/>
      <c r="AK35" s="174">
        <f>(($AK$2+Y35*Лист1!$B$7^2*Лист1!$G$8/100)/(AA35/10^6)+$AK$3/(AE35/10^6))/1000/($Q35*IF(Лист1!$J$19="да",1/1.05,1))</f>
        <v>0.13214112426245828</v>
      </c>
      <c r="AM35" s="175"/>
      <c r="AN35" s="174">
        <f>(($AK$2+Y35*Лист1!$B$7^2*Лист1!$G$8/100)/(AA35/10^6)+$AK$3/(AE35/10^6))/1000/($Q35*IF(Лист1!$J$19="да",1/1.05,1))</f>
        <v>0.13214112426245828</v>
      </c>
      <c r="AP35" s="175"/>
      <c r="AQ35" s="174">
        <f>MAX((5/384*($AQ$2+$Y35/100)*$D$17^4/(2.06*10^8*$Z35/10^8))/($D$17/300)*INDEX(Лист1!$L$34:$L$38,MATCH(Лист1!$B$8,Лист1!$I$34:$I$38,0),1),(5/384*($AQ$3)*$D$17^4/(2.06*10^8*$AD35/10^8))/($D$17/200))</f>
        <v>0.15332978889296811</v>
      </c>
      <c r="AR35" s="174"/>
      <c r="AS35" s="175"/>
      <c r="AT35" s="174">
        <f>MAX((5/384*($AT$2+$Y35/100)*$D$17^4/(2.06*10^8*$Z35/10^8))/($D$17/300)*INDEX(Лист1!$L$34:$L$38,MATCH(Лист1!$B$8,Лист1!$I$34:$I$38,0),1),(5/384*($AT$3)*$D$17^4/(2.06*10^8*$AD35/10^8))/($D$17/200))</f>
        <v>8.0808942794942662E-2</v>
      </c>
      <c r="AU35" s="174"/>
      <c r="AV35" s="174">
        <f>IF(OR(MAX(AH35,AQ35)&gt;1,AK35&gt;Лист1!$B$20,N35="-"),999999999,Y35*Лист1!$B$7+0.0001*O35)</f>
        <v>226.80319999999998</v>
      </c>
      <c r="AW35" s="174"/>
      <c r="AX35" s="174">
        <f>IF(OR(MAX(AH35,AT35)&gt;1,AN35&gt;Лист1!$B$20,N35="-"),999999999,Y35*Лист1!$B$7+0.0001*O35)</f>
        <v>226.80319999999998</v>
      </c>
    </row>
    <row r="36" spans="14:50" ht="16.5" thickBot="1" x14ac:dyDescent="0.3">
      <c r="O36">
        <f t="shared" si="1"/>
        <v>33</v>
      </c>
      <c r="P36" s="179" t="s">
        <v>297</v>
      </c>
      <c r="Q36" s="1">
        <v>240</v>
      </c>
      <c r="R36" s="129" t="s">
        <v>182</v>
      </c>
      <c r="S36" s="184">
        <v>180</v>
      </c>
      <c r="T36" s="184">
        <v>180</v>
      </c>
      <c r="X36" s="132">
        <v>54.8</v>
      </c>
      <c r="Y36" s="133">
        <v>43</v>
      </c>
      <c r="Z36" s="132">
        <v>2663.3</v>
      </c>
      <c r="AA36" s="132">
        <v>295.89999999999998</v>
      </c>
      <c r="AC36" s="132">
        <v>6.97</v>
      </c>
      <c r="AD36" s="132">
        <v>2663.3</v>
      </c>
      <c r="AE36" s="132">
        <v>295.89999999999998</v>
      </c>
      <c r="AF36" s="132">
        <v>6.97</v>
      </c>
      <c r="AG36" s="174"/>
      <c r="AH36" s="174">
        <f t="shared" si="0"/>
        <v>0.43041606886657108</v>
      </c>
      <c r="AI36" s="174"/>
      <c r="AJ36" s="175"/>
      <c r="AK36" s="174">
        <f>(($AK$2+Y36*Лист1!$B$7^2*Лист1!$G$8/100)/(AA36/10^6)+$AK$3/(AE36/10^6))/1000/($Q36*IF(Лист1!$J$19="да",1/1.05,1))</f>
        <v>0.1210118295220818</v>
      </c>
      <c r="AM36" s="175"/>
      <c r="AN36" s="174">
        <f>(($AK$2+Y36*Лист1!$B$7^2*Лист1!$G$8/100)/(AA36/10^6)+$AK$3/(AE36/10^6))/1000/($Q36*IF(Лист1!$J$19="да",1/1.05,1))</f>
        <v>0.1210118295220818</v>
      </c>
      <c r="AP36" s="175"/>
      <c r="AQ36" s="174">
        <f>MAX((5/384*($AQ$2+$Y36/100)*$D$17^4/(2.06*10^8*$Z36/10^8))/($D$17/300)*INDEX(Лист1!$L$34:$L$38,MATCH(Лист1!$B$8,Лист1!$I$34:$I$38,0),1),(5/384*($AQ$3)*$D$17^4/(2.06*10^8*$AD36/10^8))/($D$17/200))</f>
        <v>0.14456206057234636</v>
      </c>
      <c r="AR36" s="174"/>
      <c r="AS36" s="175"/>
      <c r="AT36" s="174">
        <f>MAX((5/384*($AT$2+$Y36/100)*$D$17^4/(2.06*10^8*$Z36/10^8))/($D$17/300)*INDEX(Лист1!$L$34:$L$38,MATCH(Лист1!$B$8,Лист1!$I$34:$I$38,0),1),(5/384*($AT$3)*$D$17^4/(2.06*10^8*$AD36/10^8))/($D$17/200))</f>
        <v>7.9970501593212867E-2</v>
      </c>
      <c r="AU36" s="174"/>
      <c r="AV36" s="174">
        <f>IF(OR(MAX(AH36,AQ36)&gt;1,AK36&gt;Лист1!$B$20,N36="-"),999999999,Y36*Лист1!$B$7+0.0001*O36)</f>
        <v>258.00330000000002</v>
      </c>
      <c r="AW36" s="174"/>
      <c r="AX36" s="174">
        <f>IF(OR(MAX(AH36,AT36)&gt;1,AN36&gt;Лист1!$B$20,N36="-"),999999999,Y36*Лист1!$B$7+0.0001*O36)</f>
        <v>258.00330000000002</v>
      </c>
    </row>
    <row r="37" spans="14:50" ht="16.5" thickBot="1" x14ac:dyDescent="0.3">
      <c r="O37">
        <f t="shared" si="1"/>
        <v>34</v>
      </c>
      <c r="P37" s="179" t="s">
        <v>297</v>
      </c>
      <c r="Q37" s="1">
        <v>240</v>
      </c>
      <c r="R37" s="129" t="s">
        <v>183</v>
      </c>
      <c r="S37" s="184">
        <v>180</v>
      </c>
      <c r="T37" s="184">
        <v>180</v>
      </c>
      <c r="X37" s="132">
        <v>61.5</v>
      </c>
      <c r="Y37" s="133">
        <v>48.3</v>
      </c>
      <c r="Z37" s="132">
        <v>2976.5</v>
      </c>
      <c r="AA37" s="132">
        <v>326.2</v>
      </c>
      <c r="AC37" s="132">
        <v>6.91</v>
      </c>
      <c r="AD37" s="132">
        <v>2976.5</v>
      </c>
      <c r="AE37" s="132">
        <v>326.2</v>
      </c>
      <c r="AF37" s="132">
        <v>6.91</v>
      </c>
      <c r="AG37" s="174"/>
      <c r="AH37" s="174">
        <f t="shared" si="0"/>
        <v>0.43415340086830684</v>
      </c>
      <c r="AI37" s="174"/>
      <c r="AJ37" s="175"/>
      <c r="AK37" s="174">
        <f>(($AK$2+Y37*Лист1!$B$7^2*Лист1!$G$8/100)/(AA37/10^6)+$AK$3/(AE37/10^6))/1000/($Q37*IF(Лист1!$J$19="да",1/1.05,1))</f>
        <v>0.11281775093679951</v>
      </c>
      <c r="AM37" s="175"/>
      <c r="AN37" s="174">
        <f>(($AK$2+Y37*Лист1!$B$7^2*Лист1!$G$8/100)/(AA37/10^6)+$AK$3/(AE37/10^6))/1000/($Q37*IF(Лист1!$J$19="да",1/1.05,1))</f>
        <v>0.11281775093679951</v>
      </c>
      <c r="AP37" s="175"/>
      <c r="AQ37" s="174">
        <f>MAX((5/384*($AQ$2+$Y37/100)*$D$17^4/(2.06*10^8*$Z37/10^8))/($D$17/300)*INDEX(Лист1!$L$34:$L$38,MATCH(Лист1!$B$8,Лист1!$I$34:$I$38,0),1),(5/384*($AQ$3)*$D$17^4/(2.06*10^8*$AD37/10^8))/($D$17/200))</f>
        <v>0.1366437987536675</v>
      </c>
      <c r="AR37" s="174"/>
      <c r="AS37" s="175"/>
      <c r="AT37" s="174">
        <f>MAX((5/384*($AT$2+$Y37/100)*$D$17^4/(2.06*10^8*$Z37/10^8))/($D$17/300)*INDEX(Лист1!$L$34:$L$38,MATCH(Лист1!$B$8,Лист1!$I$34:$I$38,0),1),(5/384*($AT$3)*$D$17^4/(2.06*10^8*$AD37/10^8))/($D$17/200))</f>
        <v>7.8848838555741638E-2</v>
      </c>
      <c r="AU37" s="174"/>
      <c r="AV37" s="174">
        <f>IF(OR(MAX(AH37,AQ37)&gt;1,AK37&gt;Лист1!$B$20,N37="-"),999999999,Y37*Лист1!$B$7+0.0001*O37)</f>
        <v>289.80339999999995</v>
      </c>
      <c r="AW37" s="174"/>
      <c r="AX37" s="174">
        <f>IF(OR(MAX(AH37,AT37)&gt;1,AN37&gt;Лист1!$B$20,N37="-"),999999999,Y37*Лист1!$B$7+0.0001*O37)</f>
        <v>289.80339999999995</v>
      </c>
    </row>
    <row r="38" spans="14:50" ht="16.5" thickBot="1" x14ac:dyDescent="0.3">
      <c r="O38">
        <f t="shared" si="1"/>
        <v>35</v>
      </c>
      <c r="P38" s="179" t="s">
        <v>297</v>
      </c>
      <c r="Q38" s="1">
        <v>240</v>
      </c>
      <c r="R38" s="129" t="s">
        <v>184</v>
      </c>
      <c r="S38" s="184">
        <v>180</v>
      </c>
      <c r="T38" s="184">
        <v>180</v>
      </c>
      <c r="X38" s="134">
        <v>68.2</v>
      </c>
      <c r="Y38" s="135">
        <v>53.5</v>
      </c>
      <c r="Z38" s="134">
        <v>3300.7</v>
      </c>
      <c r="AA38" s="134">
        <v>353.5</v>
      </c>
      <c r="AC38" s="134">
        <v>6.86</v>
      </c>
      <c r="AD38" s="134">
        <v>3300.7</v>
      </c>
      <c r="AE38" s="134">
        <v>353.5</v>
      </c>
      <c r="AF38" s="134">
        <v>6.86</v>
      </c>
      <c r="AG38" s="174"/>
      <c r="AH38" s="174">
        <f t="shared" si="0"/>
        <v>0.43731778425655976</v>
      </c>
      <c r="AI38" s="174"/>
      <c r="AJ38" s="175"/>
      <c r="AK38" s="174">
        <f>(($AK$2+Y38*Лист1!$B$7^2*Лист1!$G$8/100)/(AA38/10^6)+$AK$3/(AE38/10^6))/1000/($Q38*IF(Лист1!$J$19="да",1/1.05,1))</f>
        <v>0.1068632258998133</v>
      </c>
      <c r="AM38" s="175"/>
      <c r="AN38" s="174">
        <f>(($AK$2+Y38*Лист1!$B$7^2*Лист1!$G$8/100)/(AA38/10^6)+$AK$3/(AE38/10^6))/1000/($Q38*IF(Лист1!$J$19="да",1/1.05,1))</f>
        <v>0.1068632258998133</v>
      </c>
      <c r="AP38" s="175"/>
      <c r="AQ38" s="174">
        <f>MAX((5/384*($AQ$2+$Y38/100)*$D$17^4/(2.06*10^8*$Z38/10^8))/($D$17/300)*INDEX(Лист1!$L$34:$L$38,MATCH(Лист1!$B$8,Лист1!$I$34:$I$38,0),1),(5/384*($AQ$3)*$D$17^4/(2.06*10^8*$AD38/10^8))/($D$17/200))</f>
        <v>0.1296751630501444</v>
      </c>
      <c r="AR38" s="174"/>
      <c r="AS38" s="175"/>
      <c r="AT38" s="174">
        <f>MAX((5/384*($AT$2+$Y38/100)*$D$17^4/(2.06*10^8*$Z38/10^8))/($D$17/300)*INDEX(Лист1!$L$34:$L$38,MATCH(Лист1!$B$8,Лист1!$I$34:$I$38,0),1),(5/384*($AT$3)*$D$17^4/(2.06*10^8*$AD38/10^8))/($D$17/200))</f>
        <v>7.7556915699847129E-2</v>
      </c>
      <c r="AU38" s="174"/>
      <c r="AV38" s="174">
        <f>IF(OR(MAX(AH38,AQ38)&gt;1,AK38&gt;Лист1!$B$20,N38="-"),999999999,Y38*Лист1!$B$7+0.0001*O38)</f>
        <v>321.00349999999997</v>
      </c>
      <c r="AW38" s="174"/>
      <c r="AX38" s="174">
        <f>IF(OR(MAX(AH38,AT38)&gt;1,AN38&gt;Лист1!$B$20,N38="-"),999999999,Y38*Лист1!$B$7+0.0001*O38)</f>
        <v>321.00349999999997</v>
      </c>
    </row>
    <row r="39" spans="14:50" ht="16.5" thickBot="1" x14ac:dyDescent="0.3">
      <c r="N39" t="s">
        <v>344</v>
      </c>
      <c r="O39">
        <f t="shared" si="1"/>
        <v>36</v>
      </c>
      <c r="P39" s="179" t="s">
        <v>297</v>
      </c>
      <c r="Q39" s="1">
        <v>240</v>
      </c>
      <c r="R39" s="129" t="s">
        <v>185</v>
      </c>
      <c r="S39" s="184">
        <v>200</v>
      </c>
      <c r="T39" s="184">
        <v>200</v>
      </c>
      <c r="X39" s="130">
        <v>38.4</v>
      </c>
      <c r="Y39" s="131">
        <v>30.1</v>
      </c>
      <c r="Z39" s="130">
        <v>2410</v>
      </c>
      <c r="AA39" s="130">
        <v>241</v>
      </c>
      <c r="AC39" s="130">
        <v>7.93</v>
      </c>
      <c r="AD39" s="130">
        <v>2410</v>
      </c>
      <c r="AE39" s="130">
        <v>241</v>
      </c>
      <c r="AF39" s="130">
        <v>7.93</v>
      </c>
      <c r="AG39" s="174"/>
      <c r="AH39" s="174">
        <f t="shared" si="0"/>
        <v>0.37831021437578821</v>
      </c>
      <c r="AI39" s="174"/>
      <c r="AJ39" s="175"/>
      <c r="AK39" s="174">
        <f>(($AK$2+Y39*Лист1!$B$7^2*Лист1!$G$8/100)/(AA39/10^6)+$AK$3/(AE39/10^6))/1000/($Q39*IF(Лист1!$J$19="да",1/1.05,1))</f>
        <v>0.1385421176580249</v>
      </c>
      <c r="AM39" s="175"/>
      <c r="AN39" s="174">
        <f>(($AK$2+Y39*Лист1!$B$7^2*Лист1!$G$8/100)/(AA39/10^6)+$AK$3/(AE39/10^6))/1000/($Q39*IF(Лист1!$J$19="да",1/1.05,1))</f>
        <v>0.1385421176580249</v>
      </c>
      <c r="AP39" s="175"/>
      <c r="AQ39" s="174">
        <f>MAX((5/384*($AQ$2+$Y39/100)*$D$17^4/(2.06*10^8*$Z39/10^8))/($D$17/300)*INDEX(Лист1!$L$34:$L$38,MATCH(Лист1!$B$8,Лист1!$I$34:$I$38,0),1),(5/384*($AQ$3)*$D$17^4/(2.06*10^8*$AD39/10^8))/($D$17/200))</f>
        <v>0.13783210127704143</v>
      </c>
      <c r="AR39" s="174"/>
      <c r="AS39" s="175"/>
      <c r="AT39" s="174">
        <f>MAX((5/384*($AT$2+$Y39/100)*$D$17^4/(2.06*10^8*$Z39/10^8))/($D$17/300)*INDEX(Лист1!$L$34:$L$38,MATCH(Лист1!$B$8,Лист1!$I$34:$I$38,0),1),(5/384*($AT$3)*$D$17^4/(2.06*10^8*$AD39/10^8))/($D$17/200))</f>
        <v>6.6451728235910237E-2</v>
      </c>
      <c r="AU39" s="174"/>
      <c r="AV39" s="174">
        <f>IF(OR(MAX(AH39,AQ39)&gt;1,AK39&gt;Лист1!$B$20,N39="-"),999999999,Y39*Лист1!$B$7+0.0001*O39)</f>
        <v>999999999</v>
      </c>
      <c r="AW39" s="174"/>
      <c r="AX39" s="174">
        <f>IF(OR(MAX(AH39,AT39)&gt;1,AN39&gt;Лист1!$B$20,N39="-"),999999999,Y39*Лист1!$B$7+0.0001*O39)</f>
        <v>999999999</v>
      </c>
    </row>
    <row r="40" spans="14:50" ht="16.5" thickBot="1" x14ac:dyDescent="0.3">
      <c r="O40">
        <f t="shared" si="1"/>
        <v>37</v>
      </c>
      <c r="P40" s="179" t="s">
        <v>297</v>
      </c>
      <c r="Q40" s="1">
        <v>240</v>
      </c>
      <c r="R40" s="129" t="s">
        <v>186</v>
      </c>
      <c r="S40" s="184">
        <v>200</v>
      </c>
      <c r="T40" s="184">
        <v>200</v>
      </c>
      <c r="X40" s="132">
        <v>45.6</v>
      </c>
      <c r="Y40" s="133">
        <v>35.799999999999997</v>
      </c>
      <c r="Z40" s="132">
        <v>2832</v>
      </c>
      <c r="AA40" s="132">
        <v>283</v>
      </c>
      <c r="AC40" s="132">
        <v>7.88</v>
      </c>
      <c r="AD40" s="132">
        <v>2832</v>
      </c>
      <c r="AE40" s="132">
        <v>283</v>
      </c>
      <c r="AF40" s="132">
        <v>7.88</v>
      </c>
      <c r="AG40" s="174"/>
      <c r="AH40" s="174">
        <f t="shared" si="0"/>
        <v>0.38071065989847719</v>
      </c>
      <c r="AI40" s="174"/>
      <c r="AJ40" s="175"/>
      <c r="AK40" s="174">
        <f>(($AK$2+Y40*Лист1!$B$7^2*Лист1!$G$8/100)/(AA40/10^6)+$AK$3/(AE40/10^6))/1000/($Q40*IF(Лист1!$J$19="да",1/1.05,1))</f>
        <v>0.12175759842962545</v>
      </c>
      <c r="AM40" s="175"/>
      <c r="AN40" s="174">
        <f>(($AK$2+Y40*Лист1!$B$7^2*Лист1!$G$8/100)/(AA40/10^6)+$AK$3/(AE40/10^6))/1000/($Q40*IF(Лист1!$J$19="да",1/1.05,1))</f>
        <v>0.12175759842962545</v>
      </c>
      <c r="AP40" s="175"/>
      <c r="AQ40" s="174">
        <f>MAX((5/384*($AQ$2+$Y40/100)*$D$17^4/(2.06*10^8*$Z40/10^8))/($D$17/300)*INDEX(Лист1!$L$34:$L$38,MATCH(Лист1!$B$8,Лист1!$I$34:$I$38,0),1),(5/384*($AQ$3)*$D$17^4/(2.06*10^8*$AD40/10^8))/($D$17/200))</f>
        <v>0.12553737452690472</v>
      </c>
      <c r="AR40" s="174"/>
      <c r="AS40" s="175"/>
      <c r="AT40" s="174">
        <f>MAX((5/384*($AT$2+$Y40/100)*$D$17^4/(2.06*10^8*$Z40/10^8))/($D$17/300)*INDEX(Лист1!$L$34:$L$38,MATCH(Лист1!$B$8,Лист1!$I$34:$I$38,0),1),(5/384*($AT$3)*$D$17^4/(2.06*10^8*$AD40/10^8))/($D$17/200))</f>
        <v>6.4793483626789522E-2</v>
      </c>
      <c r="AU40" s="174"/>
      <c r="AV40" s="174">
        <f>IF(OR(MAX(AH40,AQ40)&gt;1,AK40&gt;Лист1!$B$20,N40="-"),999999999,Y40*Лист1!$B$7+0.0001*O40)</f>
        <v>214.80369999999999</v>
      </c>
      <c r="AW40" s="174"/>
      <c r="AX40" s="174">
        <f>IF(OR(MAX(AH40,AT40)&gt;1,AN40&gt;Лист1!$B$20,N40="-"),999999999,Y40*Лист1!$B$7+0.0001*O40)</f>
        <v>214.80369999999999</v>
      </c>
    </row>
    <row r="41" spans="14:50" ht="16.5" thickBot="1" x14ac:dyDescent="0.3">
      <c r="O41">
        <f t="shared" si="1"/>
        <v>38</v>
      </c>
      <c r="P41" s="179" t="s">
        <v>297</v>
      </c>
      <c r="Q41" s="1">
        <v>240</v>
      </c>
      <c r="R41" s="129" t="s">
        <v>187</v>
      </c>
      <c r="S41" s="184">
        <v>200</v>
      </c>
      <c r="T41" s="184">
        <v>200</v>
      </c>
      <c r="X41" s="132">
        <v>52.8</v>
      </c>
      <c r="Y41" s="133">
        <v>41.4</v>
      </c>
      <c r="Z41" s="132">
        <v>3236</v>
      </c>
      <c r="AA41" s="132">
        <v>324</v>
      </c>
      <c r="AC41" s="132">
        <v>7.83</v>
      </c>
      <c r="AD41" s="132">
        <v>3236</v>
      </c>
      <c r="AE41" s="132">
        <v>324</v>
      </c>
      <c r="AF41" s="132">
        <v>7.83</v>
      </c>
      <c r="AG41" s="174"/>
      <c r="AH41" s="174">
        <f t="shared" si="0"/>
        <v>0.38314176245210724</v>
      </c>
      <c r="AI41" s="174"/>
      <c r="AJ41" s="175"/>
      <c r="AK41" s="174">
        <f>(($AK$2+Y41*Лист1!$B$7^2*Лист1!$G$8/100)/(AA41/10^6)+$AK$3/(AE41/10^6))/1000/($Q41*IF(Лист1!$J$19="да",1/1.05,1))</f>
        <v>0.10959074183822222</v>
      </c>
      <c r="AM41" s="175"/>
      <c r="AN41" s="174">
        <f>(($AK$2+Y41*Лист1!$B$7^2*Лист1!$G$8/100)/(AA41/10^6)+$AK$3/(AE41/10^6))/1000/($Q41*IF(Лист1!$J$19="да",1/1.05,1))</f>
        <v>0.10959074183822222</v>
      </c>
      <c r="AP41" s="175"/>
      <c r="AQ41" s="174">
        <f>MAX((5/384*($AQ$2+$Y41/100)*$D$17^4/(2.06*10^8*$Z41/10^8))/($D$17/300)*INDEX(Лист1!$L$34:$L$38,MATCH(Лист1!$B$8,Лист1!$I$34:$I$38,0),1),(5/384*($AQ$3)*$D$17^4/(2.06*10^8*$AD41/10^8))/($D$17/200))</f>
        <v>0.11695263840051845</v>
      </c>
      <c r="AR41" s="174"/>
      <c r="AS41" s="175"/>
      <c r="AT41" s="174">
        <f>MAX((5/384*($AT$2+$Y41/100)*$D$17^4/(2.06*10^8*$Z41/10^8))/($D$17/300)*INDEX(Лист1!$L$34:$L$38,MATCH(Лист1!$B$8,Лист1!$I$34:$I$38,0),1),(5/384*($AT$3)*$D$17^4/(2.06*10^8*$AD41/10^8))/($D$17/200))</f>
        <v>6.3792348218464606E-2</v>
      </c>
      <c r="AU41" s="174"/>
      <c r="AV41" s="174">
        <f>IF(OR(MAX(AH41,AQ41)&gt;1,AK41&gt;Лист1!$B$20,N41="-"),999999999,Y41*Лист1!$B$7+0.0001*O41)</f>
        <v>248.40379999999999</v>
      </c>
      <c r="AW41" s="174"/>
      <c r="AX41" s="174">
        <f>IF(OR(MAX(AH41,AT41)&gt;1,AN41&gt;Лист1!$B$20,N41="-"),999999999,Y41*Лист1!$B$7+0.0001*O41)</f>
        <v>248.40379999999999</v>
      </c>
    </row>
    <row r="42" spans="14:50" ht="16.5" thickBot="1" x14ac:dyDescent="0.3">
      <c r="O42">
        <f t="shared" si="1"/>
        <v>39</v>
      </c>
      <c r="P42" s="179" t="s">
        <v>297</v>
      </c>
      <c r="Q42" s="1">
        <v>240</v>
      </c>
      <c r="R42" s="129" t="s">
        <v>188</v>
      </c>
      <c r="S42" s="184">
        <v>200</v>
      </c>
      <c r="T42" s="184">
        <v>200</v>
      </c>
      <c r="X42" s="132">
        <v>59.8</v>
      </c>
      <c r="Y42" s="133">
        <v>46.9</v>
      </c>
      <c r="Z42" s="132">
        <v>3621</v>
      </c>
      <c r="AA42" s="132">
        <v>362</v>
      </c>
      <c r="AC42" s="132">
        <v>7.78</v>
      </c>
      <c r="AD42" s="132">
        <v>3621</v>
      </c>
      <c r="AE42" s="132">
        <v>362</v>
      </c>
      <c r="AF42" s="132">
        <v>7.78</v>
      </c>
      <c r="AG42" s="174"/>
      <c r="AH42" s="174">
        <f t="shared" si="0"/>
        <v>0.38560411311053983</v>
      </c>
      <c r="AI42" s="174"/>
      <c r="AJ42" s="175"/>
      <c r="AK42" s="174">
        <f>(($AK$2+Y42*Лист1!$B$7^2*Лист1!$G$8/100)/(AA42/10^6)+$AK$3/(AE42/10^6))/1000/($Q42*IF(Лист1!$J$19="да",1/1.05,1))</f>
        <v>0.10093549821984531</v>
      </c>
      <c r="AM42" s="175"/>
      <c r="AN42" s="174">
        <f>(($AK$2+Y42*Лист1!$B$7^2*Лист1!$G$8/100)/(AA42/10^6)+$AK$3/(AE42/10^6))/1000/($Q42*IF(Лист1!$J$19="да",1/1.05,1))</f>
        <v>0.10093549821984531</v>
      </c>
      <c r="AP42" s="175"/>
      <c r="AQ42" s="174">
        <f>MAX((5/384*($AQ$2+$Y42/100)*$D$17^4/(2.06*10^8*$Z42/10^8))/($D$17/300)*INDEX(Лист1!$L$34:$L$38,MATCH(Лист1!$B$8,Лист1!$I$34:$I$38,0),1),(5/384*($AQ$3)*$D$17^4/(2.06*10^8*$AD42/10^8))/($D$17/200))</f>
        <v>0.11073903443505118</v>
      </c>
      <c r="AR42" s="174"/>
      <c r="AS42" s="175"/>
      <c r="AT42" s="174">
        <f>MAX((5/384*($AT$2+$Y42/100)*$D$17^4/(2.06*10^8*$Z42/10^8))/($D$17/300)*INDEX(Лист1!$L$34:$L$38,MATCH(Лист1!$B$8,Лист1!$I$34:$I$38,0),1),(5/384*($AT$3)*$D$17^4/(2.06*10^8*$AD42/10^8))/($D$17/200))</f>
        <v>6.3230970632475611E-2</v>
      </c>
      <c r="AU42" s="174"/>
      <c r="AV42" s="174">
        <f>IF(OR(MAX(AH42,AQ42)&gt;1,AK42&gt;Лист1!$B$20,N42="-"),999999999,Y42*Лист1!$B$7+0.0001*O42)</f>
        <v>281.40389999999996</v>
      </c>
      <c r="AW42" s="174"/>
      <c r="AX42" s="174">
        <f>IF(OR(MAX(AH42,AT42)&gt;1,AN42&gt;Лист1!$B$20,N42="-"),999999999,Y42*Лист1!$B$7+0.0001*O42)</f>
        <v>281.40389999999996</v>
      </c>
    </row>
    <row r="43" spans="14:50" ht="16.5" thickBot="1" x14ac:dyDescent="0.3">
      <c r="O43">
        <f t="shared" si="1"/>
        <v>40</v>
      </c>
      <c r="P43" s="179" t="s">
        <v>297</v>
      </c>
      <c r="Q43" s="1">
        <v>240</v>
      </c>
      <c r="R43" s="129" t="s">
        <v>189</v>
      </c>
      <c r="S43" s="184">
        <v>200</v>
      </c>
      <c r="T43" s="184">
        <v>200</v>
      </c>
      <c r="X43" s="132">
        <v>66.7</v>
      </c>
      <c r="Y43" s="133">
        <v>52.3</v>
      </c>
      <c r="Z43" s="132">
        <v>3987</v>
      </c>
      <c r="AA43" s="132">
        <v>399</v>
      </c>
      <c r="AC43" s="132">
        <v>7.73</v>
      </c>
      <c r="AD43" s="132">
        <v>3987</v>
      </c>
      <c r="AE43" s="132">
        <v>399</v>
      </c>
      <c r="AF43" s="132">
        <v>7.73</v>
      </c>
      <c r="AG43" s="174"/>
      <c r="AH43" s="174">
        <f t="shared" si="0"/>
        <v>0.38809831824062097</v>
      </c>
      <c r="AI43" s="174"/>
      <c r="AJ43" s="175"/>
      <c r="AK43" s="174">
        <f>(($AK$2+Y43*Лист1!$B$7^2*Лист1!$G$8/100)/(AA43/10^6)+$AK$3/(AE43/10^6))/1000/($Q43*IF(Лист1!$J$19="да",1/1.05,1))</f>
        <v>9.4113158785924814E-2</v>
      </c>
      <c r="AM43" s="175"/>
      <c r="AN43" s="174">
        <f>(($AK$2+Y43*Лист1!$B$7^2*Лист1!$G$8/100)/(AA43/10^6)+$AK$3/(AE43/10^6))/1000/($Q43*IF(Лист1!$J$19="да",1/1.05,1))</f>
        <v>9.4113158785924814E-2</v>
      </c>
      <c r="AP43" s="175"/>
      <c r="AQ43" s="174">
        <f>MAX((5/384*($AQ$2+$Y43/100)*$D$17^4/(2.06*10^8*$Z43/10^8))/($D$17/300)*INDEX(Лист1!$L$34:$L$38,MATCH(Лист1!$B$8,Лист1!$I$34:$I$38,0),1),(5/384*($AQ$3)*$D$17^4/(2.06*10^8*$AD43/10^8))/($D$17/200))</f>
        <v>0.10612083324201715</v>
      </c>
      <c r="AR43" s="174"/>
      <c r="AS43" s="175"/>
      <c r="AT43" s="174">
        <f>MAX((5/384*($AT$2+$Y43/100)*$D$17^4/(2.06*10^8*$Z43/10^8))/($D$17/300)*INDEX(Лист1!$L$34:$L$38,MATCH(Лист1!$B$8,Лист1!$I$34:$I$38,0),1),(5/384*($AT$3)*$D$17^4/(2.06*10^8*$AD43/10^8))/($D$17/200))</f>
        <v>6.2973931052620058E-2</v>
      </c>
      <c r="AU43" s="174"/>
      <c r="AV43" s="174">
        <f>IF(OR(MAX(AH43,AQ43)&gt;1,AK43&gt;Лист1!$B$20,N43="-"),999999999,Y43*Лист1!$B$7+0.0001*O43)</f>
        <v>313.80399999999997</v>
      </c>
      <c r="AW43" s="174"/>
      <c r="AX43" s="174">
        <f>IF(OR(MAX(AH43,AT43)&gt;1,AN43&gt;Лист1!$B$20,N43="-"),999999999,Y43*Лист1!$B$7+0.0001*O43)</f>
        <v>313.80399999999997</v>
      </c>
    </row>
    <row r="44" spans="14:50" ht="16.5" thickBot="1" x14ac:dyDescent="0.3">
      <c r="O44">
        <f t="shared" si="1"/>
        <v>41</v>
      </c>
      <c r="P44" s="179" t="s">
        <v>297</v>
      </c>
      <c r="Q44" s="1">
        <v>240</v>
      </c>
      <c r="R44" s="129" t="s">
        <v>190</v>
      </c>
      <c r="S44" s="184">
        <v>200</v>
      </c>
      <c r="T44" s="184">
        <v>200</v>
      </c>
      <c r="X44" s="132">
        <v>73.400000000000006</v>
      </c>
      <c r="Y44" s="133">
        <v>57.6</v>
      </c>
      <c r="Z44" s="132">
        <v>4336</v>
      </c>
      <c r="AA44" s="132">
        <v>434</v>
      </c>
      <c r="AC44" s="132">
        <v>7.68</v>
      </c>
      <c r="AD44" s="132">
        <v>4336</v>
      </c>
      <c r="AE44" s="132">
        <v>434</v>
      </c>
      <c r="AF44" s="132">
        <v>7.68</v>
      </c>
      <c r="AG44" s="174"/>
      <c r="AH44" s="174">
        <f t="shared" si="0"/>
        <v>0.390625</v>
      </c>
      <c r="AI44" s="174"/>
      <c r="AJ44" s="175"/>
      <c r="AK44" s="174">
        <f>(($AK$2+Y44*Лист1!$B$7^2*Лист1!$G$8/100)/(AA44/10^6)+$AK$3/(AE44/10^6))/1000/($Q44*IF(Лист1!$J$19="да",1/1.05,1))</f>
        <v>8.881313445987099E-2</v>
      </c>
      <c r="AM44" s="175"/>
      <c r="AN44" s="174">
        <f>(($AK$2+Y44*Лист1!$B$7^2*Лист1!$G$8/100)/(AA44/10^6)+$AK$3/(AE44/10^6))/1000/($Q44*IF(Лист1!$J$19="да",1/1.05,1))</f>
        <v>8.881313445987099E-2</v>
      </c>
      <c r="AP44" s="175"/>
      <c r="AQ44" s="174">
        <f>MAX((5/384*($AQ$2+$Y44/100)*$D$17^4/(2.06*10^8*$Z44/10^8))/($D$17/300)*INDEX(Лист1!$L$34:$L$38,MATCH(Лист1!$B$8,Лист1!$I$34:$I$38,0),1),(5/384*($AQ$3)*$D$17^4/(2.06*10^8*$AD44/10^8))/($D$17/200))</f>
        <v>0.10258576872783291</v>
      </c>
      <c r="AR44" s="174"/>
      <c r="AS44" s="175"/>
      <c r="AT44" s="174">
        <f>MAX((5/384*($AT$2+$Y44/100)*$D$17^4/(2.06*10^8*$Z44/10^8))/($D$17/300)*INDEX(Лист1!$L$34:$L$38,MATCH(Лист1!$B$8,Лист1!$I$34:$I$38,0),1),(5/384*($AT$3)*$D$17^4/(2.06*10^8*$AD44/10^8))/($D$17/200))</f>
        <v>6.2911714523698634E-2</v>
      </c>
      <c r="AU44" s="174"/>
      <c r="AV44" s="174">
        <f>IF(OR(MAX(AH44,AQ44)&gt;1,AK44&gt;Лист1!$B$20,N44="-"),999999999,Y44*Лист1!$B$7+0.0001*O44)</f>
        <v>345.60410000000002</v>
      </c>
      <c r="AW44" s="174"/>
      <c r="AX44" s="174">
        <f>IF(OR(MAX(AH44,AT44)&gt;1,AN44&gt;Лист1!$B$20,N44="-"),999999999,Y44*Лист1!$B$7+0.0001*O44)</f>
        <v>345.60410000000002</v>
      </c>
    </row>
    <row r="45" spans="14:50" ht="16.5" thickBot="1" x14ac:dyDescent="0.3">
      <c r="O45">
        <f t="shared" si="1"/>
        <v>42</v>
      </c>
      <c r="P45" s="179" t="s">
        <v>297</v>
      </c>
      <c r="Q45" s="1">
        <v>240</v>
      </c>
      <c r="R45" s="129" t="s">
        <v>191</v>
      </c>
      <c r="S45" s="184">
        <v>200</v>
      </c>
      <c r="T45" s="184">
        <v>200</v>
      </c>
      <c r="X45" s="132">
        <v>80</v>
      </c>
      <c r="Y45" s="133">
        <v>62.8</v>
      </c>
      <c r="Z45" s="132">
        <v>4667</v>
      </c>
      <c r="AA45" s="132">
        <v>467</v>
      </c>
      <c r="AC45" s="132">
        <v>7.64</v>
      </c>
      <c r="AD45" s="132">
        <v>4667</v>
      </c>
      <c r="AE45" s="132">
        <v>467</v>
      </c>
      <c r="AF45" s="132">
        <v>7.64</v>
      </c>
      <c r="AG45" s="174"/>
      <c r="AH45" s="174">
        <f t="shared" si="0"/>
        <v>0.39267015706806285</v>
      </c>
      <c r="AI45" s="174"/>
      <c r="AJ45" s="175"/>
      <c r="AK45" s="174">
        <f>(($AK$2+Y45*Лист1!$B$7^2*Лист1!$G$8/100)/(AA45/10^6)+$AK$3/(AE45/10^6))/1000/($Q45*IF(Лист1!$J$19="да",1/1.05,1))</f>
        <v>8.4625054294612395E-2</v>
      </c>
      <c r="AM45" s="175"/>
      <c r="AN45" s="174">
        <f>(($AK$2+Y45*Лист1!$B$7^2*Лист1!$G$8/100)/(AA45/10^6)+$AK$3/(AE45/10^6))/1000/($Q45*IF(Лист1!$J$19="да",1/1.05,1))</f>
        <v>8.4625054294612395E-2</v>
      </c>
      <c r="AP45" s="175"/>
      <c r="AQ45" s="174">
        <f>MAX((5/384*($AQ$2+$Y45/100)*$D$17^4/(2.06*10^8*$Z45/10^8))/($D$17/300)*INDEX(Лист1!$L$34:$L$38,MATCH(Лист1!$B$8,Лист1!$I$34:$I$38,0),1),(5/384*($AQ$3)*$D$17^4/(2.06*10^8*$AD45/10^8))/($D$17/200))</f>
        <v>9.9873674071824264E-2</v>
      </c>
      <c r="AR45" s="174"/>
      <c r="AS45" s="175"/>
      <c r="AT45" s="174">
        <f>MAX((5/384*($AT$2+$Y45/100)*$D$17^4/(2.06*10^8*$Z45/10^8))/($D$17/300)*INDEX(Лист1!$L$34:$L$38,MATCH(Лист1!$B$8,Лист1!$I$34:$I$38,0),1),(5/384*($AT$3)*$D$17^4/(2.06*10^8*$AD45/10^8))/($D$17/200))</f>
        <v>6.3013442867811797E-2</v>
      </c>
      <c r="AU45" s="174"/>
      <c r="AV45" s="174">
        <f>IF(OR(MAX(AH45,AQ45)&gt;1,AK45&gt;Лист1!$B$20,N45="-"),999999999,Y45*Лист1!$B$7+0.0001*O45)</f>
        <v>376.80419999999998</v>
      </c>
      <c r="AW45" s="174"/>
      <c r="AX45" s="174">
        <f>IF(OR(MAX(AH45,AT45)&gt;1,AN45&gt;Лист1!$B$20,N45="-"),999999999,Y45*Лист1!$B$7+0.0001*O45)</f>
        <v>376.80419999999998</v>
      </c>
    </row>
    <row r="46" spans="14:50" ht="16.5" thickBot="1" x14ac:dyDescent="0.3">
      <c r="O46">
        <f t="shared" si="1"/>
        <v>43</v>
      </c>
      <c r="P46" s="179" t="s">
        <v>297</v>
      </c>
      <c r="Q46" s="1">
        <v>240</v>
      </c>
      <c r="R46" s="129" t="s">
        <v>192</v>
      </c>
      <c r="S46" s="184">
        <v>200</v>
      </c>
      <c r="T46" s="184">
        <v>200</v>
      </c>
      <c r="X46" s="132">
        <v>86.5</v>
      </c>
      <c r="Y46" s="133">
        <v>67</v>
      </c>
      <c r="Z46" s="132">
        <v>4980</v>
      </c>
      <c r="AA46" s="132">
        <v>498</v>
      </c>
      <c r="AC46" s="132">
        <v>7.59</v>
      </c>
      <c r="AD46" s="132">
        <v>4980</v>
      </c>
      <c r="AE46" s="132">
        <v>498</v>
      </c>
      <c r="AF46" s="132">
        <v>7.59</v>
      </c>
      <c r="AG46" s="174"/>
      <c r="AH46" s="174">
        <f t="shared" si="0"/>
        <v>0.39525691699604742</v>
      </c>
      <c r="AI46" s="174"/>
      <c r="AJ46" s="175"/>
      <c r="AK46" s="174">
        <f>(($AK$2+Y46*Лист1!$B$7^2*Лист1!$G$8/100)/(AA46/10^6)+$AK$3/(AE46/10^6))/1000/($Q46*IF(Лист1!$J$19="да",1/1.05,1))</f>
        <v>8.0938554930891582E-2</v>
      </c>
      <c r="AM46" s="175"/>
      <c r="AN46" s="174">
        <f>(($AK$2+Y46*Лист1!$B$7^2*Лист1!$G$8/100)/(AA46/10^6)+$AK$3/(AE46/10^6))/1000/($Q46*IF(Лист1!$J$19="да",1/1.05,1))</f>
        <v>8.0938554930891582E-2</v>
      </c>
      <c r="AP46" s="175"/>
      <c r="AQ46" s="174">
        <f>MAX((5/384*($AQ$2+$Y46/100)*$D$17^4/(2.06*10^8*$Z46/10^8))/($D$17/300)*INDEX(Лист1!$L$34:$L$38,MATCH(Лист1!$B$8,Лист1!$I$34:$I$38,0),1),(5/384*($AQ$3)*$D$17^4/(2.06*10^8*$AD46/10^8))/($D$17/200))</f>
        <v>9.7050824657854751E-2</v>
      </c>
      <c r="AR46" s="174"/>
      <c r="AS46" s="175"/>
      <c r="AT46" s="174">
        <f>MAX((5/384*($AT$2+$Y46/100)*$D$17^4/(2.06*10^8*$Z46/10^8))/($D$17/300)*INDEX(Лист1!$L$34:$L$38,MATCH(Лист1!$B$8,Лист1!$I$34:$I$38,0),1),(5/384*($AT$3)*$D$17^4/(2.06*10^8*$AD46/10^8))/($D$17/200))</f>
        <v>6.2507310796584406E-2</v>
      </c>
      <c r="AU46" s="174"/>
      <c r="AV46" s="174">
        <f>IF(OR(MAX(AH46,AQ46)&gt;1,AK46&gt;Лист1!$B$20,N46="-"),999999999,Y46*Лист1!$B$7+0.0001*O46)</f>
        <v>402.0043</v>
      </c>
      <c r="AW46" s="174"/>
      <c r="AX46" s="174">
        <f>IF(OR(MAX(AH46,AT46)&gt;1,AN46&gt;Лист1!$B$20,N46="-"),999999999,Y46*Лист1!$B$7+0.0001*O46)</f>
        <v>402.0043</v>
      </c>
    </row>
    <row r="47" spans="14:50" ht="16.5" thickBot="1" x14ac:dyDescent="0.3">
      <c r="O47">
        <f t="shared" si="1"/>
        <v>44</v>
      </c>
      <c r="P47" s="179" t="s">
        <v>297</v>
      </c>
      <c r="Q47" s="1">
        <v>240</v>
      </c>
      <c r="R47" s="129" t="s">
        <v>193</v>
      </c>
      <c r="S47" s="184">
        <v>200</v>
      </c>
      <c r="T47" s="184">
        <v>200</v>
      </c>
      <c r="X47" s="132">
        <v>92.9</v>
      </c>
      <c r="Y47" s="133">
        <v>72.900000000000006</v>
      </c>
      <c r="Z47" s="132">
        <v>4685</v>
      </c>
      <c r="AA47" s="132">
        <v>527</v>
      </c>
      <c r="AC47" s="132">
        <v>7.54</v>
      </c>
      <c r="AD47" s="132">
        <v>4685</v>
      </c>
      <c r="AE47" s="132">
        <v>527</v>
      </c>
      <c r="AF47" s="132">
        <v>7.54</v>
      </c>
      <c r="AG47" s="174"/>
      <c r="AH47" s="174">
        <f t="shared" si="0"/>
        <v>0.39787798408488068</v>
      </c>
      <c r="AI47" s="174"/>
      <c r="AJ47" s="175"/>
      <c r="AK47" s="174">
        <f>(($AK$2+Y47*Лист1!$B$7^2*Лист1!$G$8/100)/(AA47/10^6)+$AK$3/(AE47/10^6))/1000/($Q47*IF(Лист1!$J$19="да",1/1.05,1))</f>
        <v>7.8583776765814031E-2</v>
      </c>
      <c r="AM47" s="175"/>
      <c r="AN47" s="174">
        <f>(($AK$2+Y47*Лист1!$B$7^2*Лист1!$G$8/100)/(AA47/10^6)+$AK$3/(AE47/10^6))/1000/($Q47*IF(Лист1!$J$19="да",1/1.05,1))</f>
        <v>7.8583776765814031E-2</v>
      </c>
      <c r="AP47" s="175"/>
      <c r="AQ47" s="174">
        <f>MAX((5/384*($AQ$2+$Y47/100)*$D$17^4/(2.06*10^8*$Z47/10^8))/($D$17/300)*INDEX(Лист1!$L$34:$L$38,MATCH(Лист1!$B$8,Лист1!$I$34:$I$38,0),1),(5/384*($AQ$3)*$D$17^4/(2.06*10^8*$AD47/10^8))/($D$17/200))</f>
        <v>0.10831990653915101</v>
      </c>
      <c r="AR47" s="174"/>
      <c r="AS47" s="175"/>
      <c r="AT47" s="174">
        <f>MAX((5/384*($AT$2+$Y47/100)*$D$17^4/(2.06*10^8*$Z47/10^8))/($D$17/300)*INDEX(Лист1!$L$34:$L$38,MATCH(Лист1!$B$8,Лист1!$I$34:$I$38,0),1),(5/384*($AT$3)*$D$17^4/(2.06*10^8*$AD47/10^8))/($D$17/200))</f>
        <v>7.160129415299811E-2</v>
      </c>
      <c r="AU47" s="174"/>
      <c r="AV47" s="174">
        <f>IF(OR(MAX(AH47,AQ47)&gt;1,AK47&gt;Лист1!$B$20,N47="-"),999999999,Y47*Лист1!$B$7+0.0001*O47)</f>
        <v>437.40440000000001</v>
      </c>
      <c r="AW47" s="174"/>
      <c r="AX47" s="174">
        <f>IF(OR(MAX(AH47,AT47)&gt;1,AN47&gt;Лист1!$B$20,N47="-"),999999999,Y47*Лист1!$B$7+0.0001*O47)</f>
        <v>437.40440000000001</v>
      </c>
    </row>
    <row r="48" spans="14:50" ht="16.5" thickBot="1" x14ac:dyDescent="0.3">
      <c r="O48">
        <f t="shared" si="1"/>
        <v>45</v>
      </c>
      <c r="P48" s="179" t="s">
        <v>297</v>
      </c>
      <c r="Q48" s="1">
        <v>240</v>
      </c>
      <c r="R48" s="129" t="s">
        <v>194</v>
      </c>
      <c r="S48" s="184">
        <v>200</v>
      </c>
      <c r="T48" s="184">
        <v>200</v>
      </c>
      <c r="X48" s="134">
        <v>99.2</v>
      </c>
      <c r="Y48" s="135">
        <v>77.900000000000006</v>
      </c>
      <c r="Z48" s="134">
        <v>4408</v>
      </c>
      <c r="AA48" s="134">
        <v>554</v>
      </c>
      <c r="AC48" s="134">
        <v>7.49</v>
      </c>
      <c r="AD48" s="134">
        <v>4408</v>
      </c>
      <c r="AE48" s="134">
        <v>554</v>
      </c>
      <c r="AF48" s="134">
        <v>7.49</v>
      </c>
      <c r="AG48" s="174"/>
      <c r="AH48" s="174">
        <f t="shared" si="0"/>
        <v>0.40053404539385845</v>
      </c>
      <c r="AI48" s="174"/>
      <c r="AJ48" s="175"/>
      <c r="AK48" s="174">
        <f>(($AK$2+Y48*Лист1!$B$7^2*Лист1!$G$8/100)/(AA48/10^6)+$AK$3/(AE48/10^6))/1000/($Q48*IF(Лист1!$J$19="да",1/1.05,1))</f>
        <v>7.64461197754224E-2</v>
      </c>
      <c r="AM48" s="175"/>
      <c r="AN48" s="174">
        <f>(($AK$2+Y48*Лист1!$B$7^2*Лист1!$G$8/100)/(AA48/10^6)+$AK$3/(AE48/10^6))/1000/($Q48*IF(Лист1!$J$19="да",1/1.05,1))</f>
        <v>7.64461197754224E-2</v>
      </c>
      <c r="AP48" s="175"/>
      <c r="AQ48" s="174">
        <f>MAX((5/384*($AQ$2+$Y48/100)*$D$17^4/(2.06*10^8*$Z48/10^8))/($D$17/300)*INDEX(Лист1!$L$34:$L$38,MATCH(Лист1!$B$8,Лист1!$I$34:$I$38,0),1),(5/384*($AQ$3)*$D$17^4/(2.06*10^8*$AD48/10^8))/($D$17/200))</f>
        <v>0.11977271575951937</v>
      </c>
      <c r="AR48" s="174"/>
      <c r="AS48" s="175"/>
      <c r="AT48" s="174">
        <f>MAX((5/384*($AT$2+$Y48/100)*$D$17^4/(2.06*10^8*$Z48/10^8))/($D$17/300)*INDEX(Лист1!$L$34:$L$38,MATCH(Лист1!$B$8,Лист1!$I$34:$I$38,0),1),(5/384*($AT$3)*$D$17^4/(2.06*10^8*$AD48/10^8))/($D$17/200))</f>
        <v>8.0746695108628627E-2</v>
      </c>
      <c r="AU48" s="174"/>
      <c r="AV48" s="174">
        <f>IF(OR(MAX(AH48,AQ48)&gt;1,AK48&gt;Лист1!$B$20,N48="-"),999999999,Y48*Лист1!$B$7+0.0001*O48)</f>
        <v>467.40450000000004</v>
      </c>
      <c r="AW48" s="174"/>
      <c r="AX48" s="174">
        <f>IF(OR(MAX(AH48,AT48)&gt;1,AN48&gt;Лист1!$B$20,N48="-"),999999999,Y48*Лист1!$B$7+0.0001*O48)</f>
        <v>467.40450000000004</v>
      </c>
    </row>
    <row r="49" spans="14:50" ht="16.5" thickBot="1" x14ac:dyDescent="0.3">
      <c r="O49">
        <f t="shared" si="1"/>
        <v>46</v>
      </c>
      <c r="P49" s="179" t="s">
        <v>297</v>
      </c>
      <c r="Q49" s="1">
        <v>240</v>
      </c>
      <c r="R49" s="129" t="s">
        <v>195</v>
      </c>
      <c r="S49" s="184">
        <v>250</v>
      </c>
      <c r="T49" s="184">
        <v>250</v>
      </c>
      <c r="X49" s="130">
        <v>75.8</v>
      </c>
      <c r="Y49" s="131">
        <v>59.5</v>
      </c>
      <c r="Z49" s="130">
        <v>7315</v>
      </c>
      <c r="AA49" s="130">
        <v>585</v>
      </c>
      <c r="AC49" s="130">
        <v>9.82</v>
      </c>
      <c r="AD49" s="130">
        <v>7315</v>
      </c>
      <c r="AE49" s="130">
        <v>585</v>
      </c>
      <c r="AF49" s="130">
        <v>9.82</v>
      </c>
      <c r="AG49" s="174"/>
      <c r="AH49" s="174">
        <f t="shared" si="0"/>
        <v>0.30549898167006106</v>
      </c>
      <c r="AI49" s="174"/>
      <c r="AJ49" s="175"/>
      <c r="AK49" s="174">
        <f>(($AK$2+Y49*Лист1!$B$7^2*Лист1!$G$8/100)/(AA49/10^6)+$AK$3/(AE49/10^6))/1000/($Q49*IF(Лист1!$J$19="да",1/1.05,1))</f>
        <v>6.6497692915528206E-2</v>
      </c>
      <c r="AM49" s="175"/>
      <c r="AN49" s="174">
        <f>(($AK$2+Y49*Лист1!$B$7^2*Лист1!$G$8/100)/(AA49/10^6)+$AK$3/(AE49/10^6))/1000/($Q49*IF(Лист1!$J$19="да",1/1.05,1))</f>
        <v>6.6497692915528206E-2</v>
      </c>
      <c r="AP49" s="175"/>
      <c r="AQ49" s="174">
        <f>MAX((5/384*($AQ$2+$Y49/100)*$D$17^4/(2.06*10^8*$Z49/10^8))/($D$17/300)*INDEX(Лист1!$L$34:$L$38,MATCH(Лист1!$B$8,Лист1!$I$34:$I$38,0),1),(5/384*($AQ$3)*$D$17^4/(2.06*10^8*$AD49/10^8))/($D$17/200))</f>
        <v>6.1872051045530868E-2</v>
      </c>
      <c r="AR49" s="174"/>
      <c r="AS49" s="175"/>
      <c r="AT49" s="174">
        <f>MAX((5/384*($AT$2+$Y49/100)*$D$17^4/(2.06*10^8*$Z49/10^8))/($D$17/300)*INDEX(Лист1!$L$34:$L$38,MATCH(Лист1!$B$8,Лист1!$I$34:$I$38,0),1),(5/384*($AT$3)*$D$17^4/(2.06*10^8*$AD49/10^8))/($D$17/200))</f>
        <v>3.8355072367591531E-2</v>
      </c>
      <c r="AU49" s="174"/>
      <c r="AV49" s="174">
        <f>IF(OR(MAX(AH49,AQ49)&gt;1,AK49&gt;Лист1!$B$20,N49="-"),999999999,Y49*Лист1!$B$7+0.0001*O49)</f>
        <v>357.00459999999998</v>
      </c>
      <c r="AW49" s="174"/>
      <c r="AX49" s="174">
        <f>IF(OR(MAX(AH49,AT49)&gt;1,AN49&gt;Лист1!$B$20,N49="-"),999999999,Y49*Лист1!$B$7+0.0001*O49)</f>
        <v>357.00459999999998</v>
      </c>
    </row>
    <row r="50" spans="14:50" ht="16.5" thickBot="1" x14ac:dyDescent="0.3">
      <c r="N50" t="s">
        <v>344</v>
      </c>
      <c r="O50">
        <f t="shared" si="1"/>
        <v>47</v>
      </c>
      <c r="P50" s="179" t="s">
        <v>297</v>
      </c>
      <c r="Q50" s="1">
        <v>240</v>
      </c>
      <c r="R50" s="129" t="s">
        <v>196</v>
      </c>
      <c r="S50" s="184">
        <v>250</v>
      </c>
      <c r="T50" s="184">
        <v>250</v>
      </c>
      <c r="X50" s="132">
        <v>84.7</v>
      </c>
      <c r="Y50" s="133">
        <v>66.5</v>
      </c>
      <c r="Z50" s="132">
        <v>8092</v>
      </c>
      <c r="AA50" s="132">
        <v>647</v>
      </c>
      <c r="AC50" s="132">
        <v>9.7799999999999994</v>
      </c>
      <c r="AD50" s="132">
        <v>8092</v>
      </c>
      <c r="AE50" s="132">
        <v>647</v>
      </c>
      <c r="AF50" s="132">
        <v>9.7799999999999994</v>
      </c>
      <c r="AG50" s="174"/>
      <c r="AH50" s="174">
        <f t="shared" si="0"/>
        <v>0.30674846625766872</v>
      </c>
      <c r="AI50" s="174"/>
      <c r="AJ50" s="175"/>
      <c r="AK50" s="174">
        <f>(($AK$2+Y50*Лист1!$B$7^2*Лист1!$G$8/100)/(AA50/10^6)+$AK$3/(AE50/10^6))/1000/($Q50*IF(Лист1!$J$19="да",1/1.05,1))</f>
        <v>6.2154019096729532E-2</v>
      </c>
      <c r="AM50" s="175"/>
      <c r="AN50" s="174">
        <f>(($AK$2+Y50*Лист1!$B$7^2*Лист1!$G$8/100)/(AA50/10^6)+$AK$3/(AE50/10^6))/1000/($Q50*IF(Лист1!$J$19="да",1/1.05,1))</f>
        <v>6.2154019096729532E-2</v>
      </c>
      <c r="AP50" s="175"/>
      <c r="AQ50" s="174">
        <f>MAX((5/384*($AQ$2+$Y50/100)*$D$17^4/(2.06*10^8*$Z50/10^8))/($D$17/300)*INDEX(Лист1!$L$34:$L$38,MATCH(Лист1!$B$8,Лист1!$I$34:$I$38,0),1),(5/384*($AQ$3)*$D$17^4/(2.06*10^8*$AD50/10^8))/($D$17/200))</f>
        <v>5.9474193018155284E-2</v>
      </c>
      <c r="AR50" s="174"/>
      <c r="AS50" s="175"/>
      <c r="AT50" s="174">
        <f>MAX((5/384*($AT$2+$Y50/100)*$D$17^4/(2.06*10^8*$Z50/10^8))/($D$17/300)*INDEX(Лист1!$L$34:$L$38,MATCH(Лист1!$B$8,Лист1!$I$34:$I$38,0),1),(5/384*($AT$3)*$D$17^4/(2.06*10^8*$AD50/10^8))/($D$17/200))</f>
        <v>3.8215332535069993E-2</v>
      </c>
      <c r="AU50" s="174"/>
      <c r="AV50" s="174">
        <f>IF(OR(MAX(AH50,AQ50)&gt;1,AK50&gt;Лист1!$B$20,N50="-"),999999999,Y50*Лист1!$B$7+0.0001*O50)</f>
        <v>999999999</v>
      </c>
      <c r="AW50" s="174"/>
      <c r="AX50" s="174">
        <f>IF(OR(MAX(AH50,AT50)&gt;1,AN50&gt;Лист1!$B$20,N50="-"),999999999,Y50*Лист1!$B$7+0.0001*O50)</f>
        <v>999999999</v>
      </c>
    </row>
    <row r="51" spans="14:50" ht="16.5" thickBot="1" x14ac:dyDescent="0.3">
      <c r="O51">
        <f t="shared" si="1"/>
        <v>48</v>
      </c>
      <c r="P51" s="179" t="s">
        <v>297</v>
      </c>
      <c r="Q51" s="1">
        <v>240</v>
      </c>
      <c r="R51" s="129" t="s">
        <v>197</v>
      </c>
      <c r="S51" s="184">
        <v>250</v>
      </c>
      <c r="T51" s="184">
        <v>250</v>
      </c>
      <c r="X51" s="132">
        <v>93.4</v>
      </c>
      <c r="Y51" s="133">
        <v>73.3</v>
      </c>
      <c r="Z51" s="132">
        <v>8840</v>
      </c>
      <c r="AA51" s="132">
        <v>707</v>
      </c>
      <c r="AC51" s="132">
        <v>9.73</v>
      </c>
      <c r="AD51" s="132">
        <v>8840</v>
      </c>
      <c r="AE51" s="132">
        <v>707</v>
      </c>
      <c r="AF51" s="132">
        <v>9.73</v>
      </c>
      <c r="AG51" s="174"/>
      <c r="AH51" s="174">
        <f t="shared" si="0"/>
        <v>0.30832476875642345</v>
      </c>
      <c r="AI51" s="174"/>
      <c r="AJ51" s="175"/>
      <c r="AK51" s="174">
        <f>(($AK$2+Y51*Лист1!$B$7^2*Лист1!$G$8/100)/(AA51/10^6)+$AK$3/(AE51/10^6))/1000/($Q51*IF(Лист1!$J$19="да",1/1.05,1))</f>
        <v>5.8682673770274404E-2</v>
      </c>
      <c r="AM51" s="175"/>
      <c r="AN51" s="174">
        <f>(($AK$2+Y51*Лист1!$B$7^2*Лист1!$G$8/100)/(AA51/10^6)+$AK$3/(AE51/10^6))/1000/($Q51*IF(Лист1!$J$19="да",1/1.05,1))</f>
        <v>5.8682673770274404E-2</v>
      </c>
      <c r="AP51" s="175"/>
      <c r="AQ51" s="174">
        <f>MAX((5/384*($AQ$2+$Y51/100)*$D$17^4/(2.06*10^8*$Z51/10^8))/($D$17/300)*INDEX(Лист1!$L$34:$L$38,MATCH(Лист1!$B$8,Лист1!$I$34:$I$38,0),1),(5/384*($AQ$3)*$D$17^4/(2.06*10^8*$AD51/10^8))/($D$17/200))</f>
        <v>5.7592433444625044E-2</v>
      </c>
      <c r="AR51" s="174"/>
      <c r="AS51" s="175"/>
      <c r="AT51" s="174">
        <f>MAX((5/384*($AT$2+$Y51/100)*$D$17^4/(2.06*10^8*$Z51/10^8))/($D$17/300)*INDEX(Лист1!$L$34:$L$38,MATCH(Лист1!$B$8,Лист1!$I$34:$I$38,0),1),(5/384*($AT$3)*$D$17^4/(2.06*10^8*$AD51/10^8))/($D$17/200))</f>
        <v>3.8132399617800808E-2</v>
      </c>
      <c r="AU51" s="174"/>
      <c r="AV51" s="174">
        <f>IF(OR(MAX(AH51,AQ51)&gt;1,AK51&gt;Лист1!$B$20,N51="-"),999999999,Y51*Лист1!$B$7+0.0001*O51)</f>
        <v>439.80479999999994</v>
      </c>
      <c r="AW51" s="174"/>
      <c r="AX51" s="174">
        <f>IF(OR(MAX(AH51,AT51)&gt;1,AN51&gt;Лист1!$B$20,N51="-"),999999999,Y51*Лист1!$B$7+0.0001*O51)</f>
        <v>439.80479999999994</v>
      </c>
    </row>
    <row r="52" spans="14:50" ht="16.5" thickBot="1" x14ac:dyDescent="0.3">
      <c r="N52" t="s">
        <v>344</v>
      </c>
      <c r="O52">
        <f t="shared" si="1"/>
        <v>49</v>
      </c>
      <c r="P52" s="179" t="s">
        <v>297</v>
      </c>
      <c r="Q52" s="1">
        <v>240</v>
      </c>
      <c r="R52" s="129" t="s">
        <v>198</v>
      </c>
      <c r="S52" s="184">
        <v>250</v>
      </c>
      <c r="T52" s="184">
        <v>250</v>
      </c>
      <c r="X52" s="132">
        <v>102</v>
      </c>
      <c r="Y52" s="133">
        <v>80.099999999999994</v>
      </c>
      <c r="Z52" s="132">
        <v>9559</v>
      </c>
      <c r="AA52" s="132">
        <v>765</v>
      </c>
      <c r="AC52" s="132">
        <v>9.68</v>
      </c>
      <c r="AD52" s="132">
        <v>9559</v>
      </c>
      <c r="AE52" s="132">
        <v>765</v>
      </c>
      <c r="AF52" s="132">
        <v>9.68</v>
      </c>
      <c r="AG52" s="174"/>
      <c r="AH52" s="174">
        <f t="shared" si="0"/>
        <v>0.30991735537190085</v>
      </c>
      <c r="AI52" s="174"/>
      <c r="AJ52" s="175"/>
      <c r="AK52" s="174">
        <f>(($AK$2+Y52*Лист1!$B$7^2*Лист1!$G$8/100)/(AA52/10^6)+$AK$3/(AE52/10^6))/1000/($Q52*IF(Лист1!$J$19="да",1/1.05,1))</f>
        <v>5.5900196543247058E-2</v>
      </c>
      <c r="AM52" s="175"/>
      <c r="AN52" s="174">
        <f>(($AK$2+Y52*Лист1!$B$7^2*Лист1!$G$8/100)/(AA52/10^6)+$AK$3/(AE52/10^6))/1000/($Q52*IF(Лист1!$J$19="да",1/1.05,1))</f>
        <v>5.5900196543247058E-2</v>
      </c>
      <c r="AP52" s="175"/>
      <c r="AQ52" s="174">
        <f>MAX((5/384*($AQ$2+$Y52/100)*$D$17^4/(2.06*10^8*$Z52/10^8))/($D$17/300)*INDEX(Лист1!$L$34:$L$38,MATCH(Лист1!$B$8,Лист1!$I$34:$I$38,0),1),(5/384*($AQ$3)*$D$17^4/(2.06*10^8*$AD52/10^8))/($D$17/200))</f>
        <v>5.6174186985883279E-2</v>
      </c>
      <c r="AR52" s="174"/>
      <c r="AS52" s="175"/>
      <c r="AT52" s="174">
        <f>MAX((5/384*($AT$2+$Y52/100)*$D$17^4/(2.06*10^8*$Z52/10^8))/($D$17/300)*INDEX(Лист1!$L$34:$L$38,MATCH(Лист1!$B$8,Лист1!$I$34:$I$38,0),1),(5/384*($AT$3)*$D$17^4/(2.06*10^8*$AD52/10^8))/($D$17/200))</f>
        <v>3.8177879942350876E-2</v>
      </c>
      <c r="AU52" s="174"/>
      <c r="AV52" s="174">
        <f>IF(OR(MAX(AH52,AQ52)&gt;1,AK52&gt;Лист1!$B$20,N52="-"),999999999,Y52*Лист1!$B$7+0.0001*O52)</f>
        <v>999999999</v>
      </c>
      <c r="AW52" s="174"/>
      <c r="AX52" s="174">
        <f>IF(OR(MAX(AH52,AT52)&gt;1,AN52&gt;Лист1!$B$20,N52="-"),999999999,Y52*Лист1!$B$7+0.0001*O52)</f>
        <v>999999999</v>
      </c>
    </row>
    <row r="53" spans="14:50" ht="16.5" thickBot="1" x14ac:dyDescent="0.3">
      <c r="O53">
        <f t="shared" si="1"/>
        <v>50</v>
      </c>
      <c r="P53" s="179" t="s">
        <v>297</v>
      </c>
      <c r="Q53" s="1">
        <v>240</v>
      </c>
      <c r="R53" s="129" t="s">
        <v>199</v>
      </c>
      <c r="S53" s="184">
        <v>250</v>
      </c>
      <c r="T53" s="184">
        <v>250</v>
      </c>
      <c r="X53" s="132">
        <v>111</v>
      </c>
      <c r="Y53" s="133">
        <v>86.8</v>
      </c>
      <c r="Z53" s="132">
        <v>10251</v>
      </c>
      <c r="AA53" s="132">
        <v>820</v>
      </c>
      <c r="AC53" s="132">
        <v>9.6300000000000008</v>
      </c>
      <c r="AD53" s="132">
        <v>10251</v>
      </c>
      <c r="AE53" s="132">
        <v>820</v>
      </c>
      <c r="AF53" s="132">
        <v>9.6300000000000008</v>
      </c>
      <c r="AG53" s="174"/>
      <c r="AH53" s="174">
        <f t="shared" si="0"/>
        <v>0.3115264797507788</v>
      </c>
      <c r="AI53" s="174"/>
      <c r="AJ53" s="175"/>
      <c r="AK53" s="174">
        <f>(($AK$2+Y53*Лист1!$B$7^2*Лист1!$G$8/100)/(AA53/10^6)+$AK$3/(AE53/10^6))/1000/($Q53*IF(Лист1!$J$19="да",1/1.05,1))</f>
        <v>5.3682805311687808E-2</v>
      </c>
      <c r="AM53" s="175"/>
      <c r="AN53" s="174">
        <f>(($AK$2+Y53*Лист1!$B$7^2*Лист1!$G$8/100)/(AA53/10^6)+$AK$3/(AE53/10^6))/1000/($Q53*IF(Лист1!$J$19="да",1/1.05,1))</f>
        <v>5.3682805311687808E-2</v>
      </c>
      <c r="AP53" s="175"/>
      <c r="AQ53" s="174">
        <f>MAX((5/384*($AQ$2+$Y53/100)*$D$17^4/(2.06*10^8*$Z53/10^8))/($D$17/300)*INDEX(Лист1!$L$34:$L$38,MATCH(Лист1!$B$8,Лист1!$I$34:$I$38,0),1),(5/384*($AQ$3)*$D$17^4/(2.06*10^8*$AD53/10^8))/($D$17/200))</f>
        <v>5.5059155962051541E-2</v>
      </c>
      <c r="AR53" s="174"/>
      <c r="AS53" s="175"/>
      <c r="AT53" s="174">
        <f>MAX((5/384*($AT$2+$Y53/100)*$D$17^4/(2.06*10^8*$Z53/10^8))/($D$17/300)*INDEX(Лист1!$L$34:$L$38,MATCH(Лист1!$B$8,Лист1!$I$34:$I$38,0),1),(5/384*($AT$3)*$D$17^4/(2.06*10^8*$AD53/10^8))/($D$17/200))</f>
        <v>3.8277700589002449E-2</v>
      </c>
      <c r="AU53" s="174"/>
      <c r="AV53" s="174">
        <f>IF(OR(MAX(AH53,AQ53)&gt;1,AK53&gt;Лист1!$B$20,N53="-"),999999999,Y53*Лист1!$B$7+0.0001*O53)</f>
        <v>520.80499999999995</v>
      </c>
      <c r="AW53" s="174"/>
      <c r="AX53" s="174">
        <f>IF(OR(MAX(AH53,AT53)&gt;1,AN53&gt;Лист1!$B$20,N53="-"),999999999,Y53*Лист1!$B$7+0.0001*O53)</f>
        <v>520.80499999999995</v>
      </c>
    </row>
    <row r="54" spans="14:50" ht="16.5" thickBot="1" x14ac:dyDescent="0.3">
      <c r="N54" t="s">
        <v>344</v>
      </c>
      <c r="O54">
        <f t="shared" si="1"/>
        <v>51</v>
      </c>
      <c r="P54" s="179" t="s">
        <v>297</v>
      </c>
      <c r="Q54" s="1">
        <v>240</v>
      </c>
      <c r="R54" s="129" t="s">
        <v>200</v>
      </c>
      <c r="S54" s="184">
        <v>250</v>
      </c>
      <c r="T54" s="184">
        <v>250</v>
      </c>
      <c r="X54" s="132">
        <v>119</v>
      </c>
      <c r="Y54" s="133">
        <v>93.4</v>
      </c>
      <c r="Z54" s="132">
        <v>10917</v>
      </c>
      <c r="AA54" s="132">
        <v>872</v>
      </c>
      <c r="AC54" s="132">
        <v>9.58</v>
      </c>
      <c r="AD54" s="132">
        <v>10917</v>
      </c>
      <c r="AE54" s="132">
        <v>872</v>
      </c>
      <c r="AF54" s="132">
        <v>9.58</v>
      </c>
      <c r="AG54" s="174"/>
      <c r="AH54" s="174">
        <f t="shared" si="0"/>
        <v>0.31315240083507306</v>
      </c>
      <c r="AI54" s="174"/>
      <c r="AJ54" s="175"/>
      <c r="AK54" s="174">
        <f>(($AK$2+Y54*Лист1!$B$7^2*Лист1!$G$8/100)/(AA54/10^6)+$AK$3/(AE54/10^6))/1000/($Q54*IF(Лист1!$J$19="да",1/1.05,1))</f>
        <v>5.1900688481174316E-2</v>
      </c>
      <c r="AM54" s="175"/>
      <c r="AN54" s="174">
        <f>(($AK$2+Y54*Лист1!$B$7^2*Лист1!$G$8/100)/(AA54/10^6)+$AK$3/(AE54/10^6))/1000/($Q54*IF(Лист1!$J$19="да",1/1.05,1))</f>
        <v>5.1900688481174316E-2</v>
      </c>
      <c r="AP54" s="175"/>
      <c r="AQ54" s="174">
        <f>MAX((5/384*($AQ$2+$Y54/100)*$D$17^4/(2.06*10^8*$Z54/10^8))/($D$17/300)*INDEX(Лист1!$L$34:$L$38,MATCH(Лист1!$B$8,Лист1!$I$34:$I$38,0),1),(5/384*($AQ$3)*$D$17^4/(2.06*10^8*$AD54/10^8))/($D$17/200))</f>
        <v>5.4176438101793671E-2</v>
      </c>
      <c r="AR54" s="174"/>
      <c r="AS54" s="175"/>
      <c r="AT54" s="174">
        <f>MAX((5/384*($AT$2+$Y54/100)*$D$17^4/(2.06*10^8*$Z54/10^8))/($D$17/300)*INDEX(Лист1!$L$34:$L$38,MATCH(Лист1!$B$8,Лист1!$I$34:$I$38,0),1),(5/384*($AT$3)*$D$17^4/(2.06*10^8*$AD54/10^8))/($D$17/200))</f>
        <v>3.8418748349194412E-2</v>
      </c>
      <c r="AU54" s="174"/>
      <c r="AV54" s="174">
        <f>IF(OR(MAX(AH54,AQ54)&gt;1,AK54&gt;Лист1!$B$20,N54="-"),999999999,Y54*Лист1!$B$7+0.0001*O54)</f>
        <v>999999999</v>
      </c>
      <c r="AW54" s="174"/>
      <c r="AX54" s="174">
        <f>IF(OR(MAX(AH54,AT54)&gt;1,AN54&gt;Лист1!$B$20,N54="-"),999999999,Y54*Лист1!$B$7+0.0001*O54)</f>
        <v>999999999</v>
      </c>
    </row>
    <row r="55" spans="14:50" ht="16.5" thickBot="1" x14ac:dyDescent="0.3">
      <c r="N55" t="s">
        <v>344</v>
      </c>
      <c r="O55">
        <f t="shared" si="1"/>
        <v>52</v>
      </c>
      <c r="P55" s="179" t="s">
        <v>297</v>
      </c>
      <c r="Q55" s="1">
        <v>240</v>
      </c>
      <c r="R55" s="129" t="s">
        <v>201</v>
      </c>
      <c r="S55" s="184">
        <v>250</v>
      </c>
      <c r="T55" s="184">
        <v>250</v>
      </c>
      <c r="X55" s="134">
        <v>127</v>
      </c>
      <c r="Y55" s="135">
        <v>99.8</v>
      </c>
      <c r="Z55" s="134">
        <v>11550</v>
      </c>
      <c r="AA55" s="134">
        <v>924</v>
      </c>
      <c r="AC55" s="134">
        <v>9.5299999999999994</v>
      </c>
      <c r="AD55" s="134">
        <v>11550</v>
      </c>
      <c r="AE55" s="134">
        <v>924</v>
      </c>
      <c r="AF55" s="134">
        <v>9.5299999999999994</v>
      </c>
      <c r="AG55" s="174"/>
      <c r="AH55" s="174">
        <f t="shared" si="0"/>
        <v>0.31479538300104937</v>
      </c>
      <c r="AI55" s="174"/>
      <c r="AJ55" s="175"/>
      <c r="AK55" s="174">
        <f>(($AK$2+Y55*Лист1!$B$7^2*Лист1!$G$8/100)/(AA55/10^6)+$AK$3/(AE55/10^6))/1000/($Q55*IF(Лист1!$J$19="да",1/1.05,1))</f>
        <v>5.0278571813402596E-2</v>
      </c>
      <c r="AM55" s="175"/>
      <c r="AN55" s="174">
        <f>(($AK$2+Y55*Лист1!$B$7^2*Лист1!$G$8/100)/(AA55/10^6)+$AK$3/(AE55/10^6))/1000/($Q55*IF(Лист1!$J$19="да",1/1.05,1))</f>
        <v>5.0278571813402596E-2</v>
      </c>
      <c r="AP55" s="175"/>
      <c r="AQ55" s="174">
        <f>MAX((5/384*($AQ$2+$Y55/100)*$D$17^4/(2.06*10^8*$Z55/10^8))/($D$17/300)*INDEX(Лист1!$L$34:$L$38,MATCH(Лист1!$B$8,Лист1!$I$34:$I$38,0),1),(5/384*($AQ$3)*$D$17^4/(2.06*10^8*$AD55/10^8))/($D$17/200))</f>
        <v>5.3476862942882362E-2</v>
      </c>
      <c r="AR55" s="174"/>
      <c r="AS55" s="175"/>
      <c r="AT55" s="174">
        <f>MAX((5/384*($AT$2+$Y55/100)*$D$17^4/(2.06*10^8*$Z55/10^8))/($D$17/300)*INDEX(Лист1!$L$34:$L$38,MATCH(Лист1!$B$8,Лист1!$I$34:$I$38,0),1),(5/384*($AT$3)*$D$17^4/(2.06*10^8*$AD55/10^8))/($D$17/200))</f>
        <v>3.8582776446854122E-2</v>
      </c>
      <c r="AU55" s="174"/>
      <c r="AV55" s="174">
        <f>IF(OR(MAX(AH55,AQ55)&gt;1,AK55&gt;Лист1!$B$20,N55="-"),999999999,Y55*Лист1!$B$7+0.0001*O55)</f>
        <v>999999999</v>
      </c>
      <c r="AW55" s="174"/>
      <c r="AX55" s="174">
        <f>IF(OR(MAX(AH55,AT55)&gt;1,AN55&gt;Лист1!$B$20,N55="-"),999999999,Y55*Лист1!$B$7+0.0001*O55)</f>
        <v>999999999</v>
      </c>
    </row>
    <row r="56" spans="14:50" ht="16.5" thickBot="1" x14ac:dyDescent="0.3">
      <c r="O56">
        <f t="shared" si="1"/>
        <v>53</v>
      </c>
      <c r="P56" s="179" t="s">
        <v>297</v>
      </c>
      <c r="Q56" s="1">
        <v>240</v>
      </c>
      <c r="R56" s="129" t="s">
        <v>202</v>
      </c>
      <c r="S56" s="184">
        <v>300</v>
      </c>
      <c r="T56" s="184">
        <v>300</v>
      </c>
      <c r="X56" s="130">
        <v>89.9</v>
      </c>
      <c r="Y56" s="138">
        <v>70.5</v>
      </c>
      <c r="Z56" s="130">
        <v>12812</v>
      </c>
      <c r="AA56" s="130">
        <v>846</v>
      </c>
      <c r="AC56" s="130">
        <v>11.94</v>
      </c>
      <c r="AD56" s="130">
        <v>12812</v>
      </c>
      <c r="AE56" s="130">
        <v>846</v>
      </c>
      <c r="AF56" s="130">
        <v>11.94</v>
      </c>
      <c r="AG56" s="174"/>
      <c r="AH56" s="174">
        <f t="shared" si="0"/>
        <v>0.25125628140703521</v>
      </c>
      <c r="AI56" s="174"/>
      <c r="AJ56" s="175"/>
      <c r="AK56" s="174">
        <f>(($AK$2+Y56*Лист1!$B$7^2*Лист1!$G$8/100)/(AA56/10^6)+$AK$3/(AE56/10^6))/1000/($Q56*IF(Лист1!$J$19="да",1/1.05,1))</f>
        <v>4.8420390491234047E-2</v>
      </c>
      <c r="AM56" s="175"/>
      <c r="AN56" s="174">
        <f>(($AK$2+Y56*Лист1!$B$7^2*Лист1!$G$8/100)/(AA56/10^6)+$AK$3/(AE56/10^6))/1000/($Q56*IF(Лист1!$J$19="да",1/1.05,1))</f>
        <v>4.8420390491234047E-2</v>
      </c>
      <c r="AP56" s="175"/>
      <c r="AQ56" s="174">
        <f>MAX((5/384*($AQ$2+$Y56/100)*$D$17^4/(2.06*10^8*$Z56/10^8))/($D$17/300)*INDEX(Лист1!$L$34:$L$38,MATCH(Лист1!$B$8,Лист1!$I$34:$I$38,0),1),(5/384*($AQ$3)*$D$17^4/(2.06*10^8*$AD56/10^8))/($D$17/200))</f>
        <v>3.8842387218899752E-2</v>
      </c>
      <c r="AR56" s="174"/>
      <c r="AS56" s="175"/>
      <c r="AT56" s="174">
        <f>MAX((5/384*($AT$2+$Y56/100)*$D$17^4/(2.06*10^8*$Z56/10^8))/($D$17/300)*INDEX(Лист1!$L$34:$L$38,MATCH(Лист1!$B$8,Лист1!$I$34:$I$38,0),1),(5/384*($AT$3)*$D$17^4/(2.06*10^8*$AD56/10^8))/($D$17/200))</f>
        <v>2.5415389167922058E-2</v>
      </c>
      <c r="AU56" s="174"/>
      <c r="AV56" s="174">
        <f>IF(OR(MAX(AH56,AQ56)&gt;1,AK56&gt;Лист1!$B$20,N56="-"),999999999,Y56*Лист1!$B$7+0.0001*O56)</f>
        <v>423.00529999999998</v>
      </c>
      <c r="AW56" s="174"/>
      <c r="AX56" s="174">
        <f>IF(OR(MAX(AH56,AT56)&gt;1,AN56&gt;Лист1!$B$20,N56="-"),999999999,Y56*Лист1!$B$7+0.0001*O56)</f>
        <v>423.00529999999998</v>
      </c>
    </row>
    <row r="57" spans="14:50" ht="16.5" thickBot="1" x14ac:dyDescent="0.3">
      <c r="N57" t="s">
        <v>344</v>
      </c>
      <c r="O57">
        <f t="shared" si="1"/>
        <v>54</v>
      </c>
      <c r="P57" s="179" t="s">
        <v>297</v>
      </c>
      <c r="Q57" s="1">
        <v>240</v>
      </c>
      <c r="R57" s="129" t="s">
        <v>203</v>
      </c>
      <c r="S57" s="184">
        <v>300</v>
      </c>
      <c r="T57" s="184">
        <v>300</v>
      </c>
      <c r="X57" s="132">
        <v>101</v>
      </c>
      <c r="Y57" s="139">
        <v>79.3</v>
      </c>
      <c r="Z57" s="132">
        <v>14302</v>
      </c>
      <c r="AA57" s="132">
        <v>949</v>
      </c>
      <c r="AC57" s="132">
        <v>11.9</v>
      </c>
      <c r="AD57" s="132">
        <v>14302</v>
      </c>
      <c r="AE57" s="132">
        <v>949</v>
      </c>
      <c r="AF57" s="132">
        <v>11.9</v>
      </c>
      <c r="AG57" s="174"/>
      <c r="AH57" s="174">
        <f t="shared" si="0"/>
        <v>0.25210084033613445</v>
      </c>
      <c r="AI57" s="174"/>
      <c r="AJ57" s="175"/>
      <c r="AK57" s="174">
        <f>(($AK$2+Y57*Лист1!$B$7^2*Лист1!$G$8/100)/(AA57/10^6)+$AK$3/(AE57/10^6))/1000/($Q57*IF(Лист1!$J$19="да",1/1.05,1))</f>
        <v>4.4903741154461538E-2</v>
      </c>
      <c r="AM57" s="175"/>
      <c r="AN57" s="174">
        <f>(($AK$2+Y57*Лист1!$B$7^2*Лист1!$G$8/100)/(AA57/10^6)+$AK$3/(AE57/10^6))/1000/($Q57*IF(Лист1!$J$19="да",1/1.05,1))</f>
        <v>4.4903741154461538E-2</v>
      </c>
      <c r="AP57" s="175"/>
      <c r="AQ57" s="174">
        <f>MAX((5/384*($AQ$2+$Y57/100)*$D$17^4/(2.06*10^8*$Z57/10^8))/($D$17/300)*INDEX(Лист1!$L$34:$L$38,MATCH(Лист1!$B$8,Лист1!$I$34:$I$38,0),1),(5/384*($AQ$3)*$D$17^4/(2.06*10^8*$AD57/10^8))/($D$17/200))</f>
        <v>3.7315924651722288E-2</v>
      </c>
      <c r="AR57" s="174"/>
      <c r="AS57" s="175"/>
      <c r="AT57" s="174">
        <f>MAX((5/384*($AT$2+$Y57/100)*$D$17^4/(2.06*10^8*$Z57/10^8))/($D$17/300)*INDEX(Лист1!$L$34:$L$38,MATCH(Лист1!$B$8,Лист1!$I$34:$I$38,0),1),(5/384*($AT$3)*$D$17^4/(2.06*10^8*$AD57/10^8))/($D$17/200))</f>
        <v>2.5287767818473344E-2</v>
      </c>
      <c r="AU57" s="174"/>
      <c r="AV57" s="174">
        <f>IF(OR(MAX(AH57,AQ57)&gt;1,AK57&gt;Лист1!$B$20,N57="-"),999999999,Y57*Лист1!$B$7+0.0001*O57)</f>
        <v>999999999</v>
      </c>
      <c r="AW57" s="174"/>
      <c r="AX57" s="174">
        <f>IF(OR(MAX(AH57,AT57)&gt;1,AN57&gt;Лист1!$B$20,N57="-"),999999999,Y57*Лист1!$B$7+0.0001*O57)</f>
        <v>999999999</v>
      </c>
    </row>
    <row r="58" spans="14:50" ht="16.5" thickBot="1" x14ac:dyDescent="0.3">
      <c r="O58">
        <f t="shared" ref="O58:O121" si="8">O57+1</f>
        <v>55</v>
      </c>
      <c r="P58" s="179" t="s">
        <v>297</v>
      </c>
      <c r="Q58" s="1">
        <v>240</v>
      </c>
      <c r="R58" s="129" t="s">
        <v>204</v>
      </c>
      <c r="S58" s="184">
        <v>300</v>
      </c>
      <c r="T58" s="184">
        <v>300</v>
      </c>
      <c r="X58" s="132">
        <v>113</v>
      </c>
      <c r="Y58" s="139">
        <v>89</v>
      </c>
      <c r="Z58" s="132">
        <v>15712</v>
      </c>
      <c r="AA58" s="132">
        <v>1047</v>
      </c>
      <c r="AC58" s="132">
        <v>11.79</v>
      </c>
      <c r="AD58" s="132">
        <v>15712</v>
      </c>
      <c r="AE58" s="132">
        <v>1047</v>
      </c>
      <c r="AF58" s="132">
        <v>11.79</v>
      </c>
      <c r="AG58" s="174"/>
      <c r="AH58" s="174">
        <f t="shared" si="0"/>
        <v>0.25445292620865145</v>
      </c>
      <c r="AI58" s="174"/>
      <c r="AJ58" s="175"/>
      <c r="AK58" s="174">
        <f>(($AK$2+Y58*Лист1!$B$7^2*Лист1!$G$8/100)/(AA58/10^6)+$AK$3/(AE58/10^6))/1000/($Q58*IF(Лист1!$J$19="да",1/1.05,1))</f>
        <v>4.2437822689191974E-2</v>
      </c>
      <c r="AM58" s="175"/>
      <c r="AN58" s="174">
        <f>(($AK$2+Y58*Лист1!$B$7^2*Лист1!$G$8/100)/(AA58/10^6)+$AK$3/(AE58/10^6))/1000/($Q58*IF(Лист1!$J$19="да",1/1.05,1))</f>
        <v>4.2437822689191974E-2</v>
      </c>
      <c r="AP58" s="175"/>
      <c r="AQ58" s="174">
        <f>MAX((5/384*($AQ$2+$Y58/100)*$D$17^4/(2.06*10^8*$Z58/10^8))/($D$17/300)*INDEX(Лист1!$L$34:$L$38,MATCH(Лист1!$B$8,Лист1!$I$34:$I$38,0),1),(5/384*($AQ$3)*$D$17^4/(2.06*10^8*$AD58/10^8))/($D$17/200))</f>
        <v>3.6495820398236213E-2</v>
      </c>
      <c r="AR58" s="174"/>
      <c r="AS58" s="175"/>
      <c r="AT58" s="174">
        <f>MAX((5/384*($AT$2+$Y58/100)*$D$17^4/(2.06*10^8*$Z58/10^8))/($D$17/300)*INDEX(Лист1!$L$34:$L$38,MATCH(Лист1!$B$8,Лист1!$I$34:$I$38,0),1),(5/384*($AT$3)*$D$17^4/(2.06*10^8*$AD58/10^8))/($D$17/200))</f>
        <v>2.5547074278765347E-2</v>
      </c>
      <c r="AU58" s="174"/>
      <c r="AV58" s="174">
        <f>IF(OR(MAX(AH58,AQ58)&gt;1,AK58&gt;Лист1!$B$20,N58="-"),999999999,Y58*Лист1!$B$7+0.0001*O58)</f>
        <v>534.00549999999998</v>
      </c>
      <c r="AW58" s="174"/>
      <c r="AX58" s="174">
        <f>IF(OR(MAX(AH58,AT58)&gt;1,AN58&gt;Лист1!$B$20,N58="-"),999999999,Y58*Лист1!$B$7+0.0001*O58)</f>
        <v>534.00549999999998</v>
      </c>
    </row>
    <row r="59" spans="14:50" ht="16.5" thickBot="1" x14ac:dyDescent="0.3">
      <c r="N59" t="s">
        <v>344</v>
      </c>
      <c r="O59">
        <f t="shared" si="8"/>
        <v>56</v>
      </c>
      <c r="P59" s="179" t="s">
        <v>297</v>
      </c>
      <c r="Q59" s="1">
        <v>240</v>
      </c>
      <c r="R59" s="129" t="s">
        <v>205</v>
      </c>
      <c r="S59" s="184">
        <v>300</v>
      </c>
      <c r="T59" s="184">
        <v>300</v>
      </c>
      <c r="X59" s="132">
        <v>124</v>
      </c>
      <c r="Y59" s="139">
        <v>97.3</v>
      </c>
      <c r="Z59" s="132">
        <v>17080</v>
      </c>
      <c r="AA59" s="132">
        <v>1139</v>
      </c>
      <c r="AC59" s="132">
        <v>11.74</v>
      </c>
      <c r="AD59" s="132">
        <v>17080</v>
      </c>
      <c r="AE59" s="132">
        <v>1139</v>
      </c>
      <c r="AF59" s="132">
        <v>11.74</v>
      </c>
      <c r="AG59" s="174"/>
      <c r="AH59" s="174">
        <f t="shared" si="0"/>
        <v>0.25553662691652468</v>
      </c>
      <c r="AI59" s="174"/>
      <c r="AJ59" s="175"/>
      <c r="AK59" s="174">
        <f>(($AK$2+Y59*Лист1!$B$7^2*Лист1!$G$8/100)/(AA59/10^6)+$AK$3/(AE59/10^6))/1000/($Q59*IF(Лист1!$J$19="да",1/1.05,1))</f>
        <v>4.0376339205956097E-2</v>
      </c>
      <c r="AM59" s="175"/>
      <c r="AN59" s="174">
        <f>(($AK$2+Y59*Лист1!$B$7^2*Лист1!$G$8/100)/(AA59/10^6)+$AK$3/(AE59/10^6))/1000/($Q59*IF(Лист1!$J$19="да",1/1.05,1))</f>
        <v>4.0376339205956097E-2</v>
      </c>
      <c r="AP59" s="175"/>
      <c r="AQ59" s="174">
        <f>MAX((5/384*($AQ$2+$Y59/100)*$D$17^4/(2.06*10^8*$Z59/10^8))/($D$17/300)*INDEX(Лист1!$L$34:$L$38,MATCH(Лист1!$B$8,Лист1!$I$34:$I$38,0),1),(5/384*($AQ$3)*$D$17^4/(2.06*10^8*$AD59/10^8))/($D$17/200))</f>
        <v>3.5563119585730205E-2</v>
      </c>
      <c r="AR59" s="174"/>
      <c r="AS59" s="175"/>
      <c r="AT59" s="174">
        <f>MAX((5/384*($AT$2+$Y59/100)*$D$17^4/(2.06*10^8*$Z59/10^8))/($D$17/300)*INDEX(Лист1!$L$34:$L$38,MATCH(Лист1!$B$8,Лист1!$I$34:$I$38,0),1),(5/384*($AT$3)*$D$17^4/(2.06*10^8*$AD59/10^8))/($D$17/200))</f>
        <v>2.5491298799481595E-2</v>
      </c>
      <c r="AU59" s="174"/>
      <c r="AV59" s="174">
        <f>IF(OR(MAX(AH59,AQ59)&gt;1,AK59&gt;Лист1!$B$20,N59="-"),999999999,Y59*Лист1!$B$7+0.0001*O59)</f>
        <v>999999999</v>
      </c>
      <c r="AW59" s="174"/>
      <c r="AX59" s="174">
        <f>IF(OR(MAX(AH59,AT59)&gt;1,AN59&gt;Лист1!$B$20,N59="-"),999999999,Y59*Лист1!$B$7+0.0001*O59)</f>
        <v>999999999</v>
      </c>
    </row>
    <row r="60" spans="14:50" ht="16.5" thickBot="1" x14ac:dyDescent="0.3">
      <c r="O60">
        <f t="shared" si="8"/>
        <v>57</v>
      </c>
      <c r="P60" s="179" t="s">
        <v>297</v>
      </c>
      <c r="Q60" s="1">
        <v>240</v>
      </c>
      <c r="R60" s="129" t="s">
        <v>206</v>
      </c>
      <c r="S60" s="184">
        <v>300</v>
      </c>
      <c r="T60" s="184">
        <v>300</v>
      </c>
      <c r="X60" s="132">
        <v>135</v>
      </c>
      <c r="Y60" s="139">
        <v>106</v>
      </c>
      <c r="Z60" s="132">
        <v>18330</v>
      </c>
      <c r="AA60" s="132">
        <v>1222</v>
      </c>
      <c r="AC60" s="132">
        <v>11.65</v>
      </c>
      <c r="AD60" s="132">
        <v>18330</v>
      </c>
      <c r="AE60" s="132">
        <v>1222</v>
      </c>
      <c r="AF60" s="132">
        <v>11.65</v>
      </c>
      <c r="AG60" s="174"/>
      <c r="AH60" s="174">
        <f t="shared" si="0"/>
        <v>0.25751072961373389</v>
      </c>
      <c r="AI60" s="174"/>
      <c r="AJ60" s="175"/>
      <c r="AK60" s="174">
        <f>(($AK$2+Y60*Лист1!$B$7^2*Лист1!$G$8/100)/(AA60/10^6)+$AK$3/(AE60/10^6))/1000/($Q60*IF(Лист1!$J$19="да",1/1.05,1))</f>
        <v>3.8968821894913255E-2</v>
      </c>
      <c r="AM60" s="175"/>
      <c r="AN60" s="174">
        <f>(($AK$2+Y60*Лист1!$B$7^2*Лист1!$G$8/100)/(AA60/10^6)+$AK$3/(AE60/10^6))/1000/($Q60*IF(Лист1!$J$19="да",1/1.05,1))</f>
        <v>3.8968821894913255E-2</v>
      </c>
      <c r="AP60" s="175"/>
      <c r="AQ60" s="174">
        <f>MAX((5/384*($AQ$2+$Y60/100)*$D$17^4/(2.06*10^8*$Z60/10^8))/($D$17/300)*INDEX(Лист1!$L$34:$L$38,MATCH(Лист1!$B$8,Лист1!$I$34:$I$38,0),1),(5/384*($AQ$3)*$D$17^4/(2.06*10^8*$AD60/10^8))/($D$17/200))</f>
        <v>3.5081952234916496E-2</v>
      </c>
      <c r="AR60" s="174"/>
      <c r="AS60" s="175"/>
      <c r="AT60" s="174">
        <f>MAX((5/384*($AT$2+$Y60/100)*$D$17^4/(2.06*10^8*$Z60/10^8))/($D$17/300)*INDEX(Лист1!$L$34:$L$38,MATCH(Лист1!$B$8,Лист1!$I$34:$I$38,0),1),(5/384*($AT$3)*$D$17^4/(2.06*10^8*$AD60/10^8))/($D$17/200))</f>
        <v>2.5696971382263682E-2</v>
      </c>
      <c r="AU60" s="174"/>
      <c r="AV60" s="174">
        <f>IF(OR(MAX(AH60,AQ60)&gt;1,AK60&gt;Лист1!$B$20,N60="-"),999999999,Y60*Лист1!$B$7+0.0001*O60)</f>
        <v>636.00570000000005</v>
      </c>
      <c r="AW60" s="174"/>
      <c r="AX60" s="174">
        <f>IF(OR(MAX(AH60,AT60)&gt;1,AN60&gt;Лист1!$B$20,N60="-"),999999999,Y60*Лист1!$B$7+0.0001*O60)</f>
        <v>636.00570000000005</v>
      </c>
    </row>
    <row r="61" spans="14:50" ht="16.5" thickBot="1" x14ac:dyDescent="0.3">
      <c r="N61" t="s">
        <v>344</v>
      </c>
      <c r="O61">
        <f t="shared" si="8"/>
        <v>58</v>
      </c>
      <c r="P61" s="179" t="s">
        <v>297</v>
      </c>
      <c r="Q61" s="1">
        <v>240</v>
      </c>
      <c r="R61" s="129" t="s">
        <v>207</v>
      </c>
      <c r="S61" s="184">
        <v>300</v>
      </c>
      <c r="T61" s="184">
        <v>300</v>
      </c>
      <c r="X61" s="132">
        <v>145</v>
      </c>
      <c r="Y61" s="139">
        <v>113.8</v>
      </c>
      <c r="Z61" s="132">
        <v>19580</v>
      </c>
      <c r="AA61" s="132">
        <v>1309</v>
      </c>
      <c r="AC61" s="132">
        <v>11.62</v>
      </c>
      <c r="AD61" s="132">
        <v>19580</v>
      </c>
      <c r="AE61" s="132">
        <v>1309</v>
      </c>
      <c r="AF61" s="132">
        <v>11.62</v>
      </c>
      <c r="AG61" s="174"/>
      <c r="AH61" s="174">
        <f t="shared" si="0"/>
        <v>0.25817555938037867</v>
      </c>
      <c r="AI61" s="174"/>
      <c r="AJ61" s="175"/>
      <c r="AK61" s="174">
        <f>(($AK$2+Y61*Лист1!$B$7^2*Лист1!$G$8/100)/(AA61/10^6)+$AK$3/(AE61/10^6))/1000/($Q61*IF(Лист1!$J$19="да",1/1.05,1))</f>
        <v>3.7496104167749428E-2</v>
      </c>
      <c r="AM61" s="175"/>
      <c r="AN61" s="174">
        <f>(($AK$2+Y61*Лист1!$B$7^2*Лист1!$G$8/100)/(AA61/10^6)+$AK$3/(AE61/10^6))/1000/($Q61*IF(Лист1!$J$19="да",1/1.05,1))</f>
        <v>3.7496104167749428E-2</v>
      </c>
      <c r="AP61" s="175"/>
      <c r="AQ61" s="174">
        <f>MAX((5/384*($AQ$2+$Y61/100)*$D$17^4/(2.06*10^8*$Z61/10^8))/($D$17/300)*INDEX(Лист1!$L$34:$L$38,MATCH(Лист1!$B$8,Лист1!$I$34:$I$38,0),1),(5/384*($AQ$3)*$D$17^4/(2.06*10^8*$AD61/10^8))/($D$17/200))</f>
        <v>3.4473953013278852E-2</v>
      </c>
      <c r="AR61" s="174"/>
      <c r="AS61" s="175"/>
      <c r="AT61" s="174">
        <f>MAX((5/384*($AT$2+$Y61/100)*$D$17^4/(2.06*10^8*$Z61/10^8))/($D$17/300)*INDEX(Лист1!$L$34:$L$38,MATCH(Лист1!$B$8,Лист1!$I$34:$I$38,0),1),(5/384*($AT$3)*$D$17^4/(2.06*10^8*$AD61/10^8))/($D$17/200))</f>
        <v>2.5688115473486914E-2</v>
      </c>
      <c r="AU61" s="174"/>
      <c r="AV61" s="174">
        <f>IF(OR(MAX(AH61,AQ61)&gt;1,AK61&gt;Лист1!$B$20,N61="-"),999999999,Y61*Лист1!$B$7+0.0001*O61)</f>
        <v>999999999</v>
      </c>
      <c r="AW61" s="174"/>
      <c r="AX61" s="174">
        <f>IF(OR(MAX(AH61,AT61)&gt;1,AN61&gt;Лист1!$B$20,N61="-"),999999999,Y61*Лист1!$B$7+0.0001*O61)</f>
        <v>999999999</v>
      </c>
    </row>
    <row r="62" spans="14:50" ht="16.5" thickBot="1" x14ac:dyDescent="0.3">
      <c r="N62" t="s">
        <v>344</v>
      </c>
      <c r="O62">
        <f t="shared" si="8"/>
        <v>59</v>
      </c>
      <c r="P62" s="179" t="s">
        <v>297</v>
      </c>
      <c r="Q62" s="1">
        <v>240</v>
      </c>
      <c r="R62" s="129" t="s">
        <v>208</v>
      </c>
      <c r="S62" s="184">
        <v>300</v>
      </c>
      <c r="T62" s="184">
        <v>300</v>
      </c>
      <c r="X62" s="134">
        <v>155</v>
      </c>
      <c r="Y62" s="140">
        <v>122</v>
      </c>
      <c r="Z62" s="134">
        <v>20784</v>
      </c>
      <c r="AA62" s="134">
        <v>1386</v>
      </c>
      <c r="AC62" s="134">
        <v>11.58</v>
      </c>
      <c r="AD62" s="134">
        <v>20784</v>
      </c>
      <c r="AE62" s="134">
        <v>1386</v>
      </c>
      <c r="AF62" s="134">
        <v>11.58</v>
      </c>
      <c r="AG62" s="174"/>
      <c r="AH62" s="174">
        <f t="shared" si="0"/>
        <v>0.25906735751295334</v>
      </c>
      <c r="AI62" s="174"/>
      <c r="AJ62" s="175"/>
      <c r="AK62" s="174">
        <f>(($AK$2+Y62*Лист1!$B$7^2*Лист1!$G$8/100)/(AA62/10^6)+$AK$3/(AE62/10^6))/1000/($Q62*IF(Лист1!$J$19="да",1/1.05,1))</f>
        <v>3.6522294628848484E-2</v>
      </c>
      <c r="AM62" s="175"/>
      <c r="AN62" s="174">
        <f>(($AK$2+Y62*Лист1!$B$7^2*Лист1!$G$8/100)/(AA62/10^6)+$AK$3/(AE62/10^6))/1000/($Q62*IF(Лист1!$J$19="да",1/1.05,1))</f>
        <v>3.6522294628848484E-2</v>
      </c>
      <c r="AP62" s="175"/>
      <c r="AQ62" s="174">
        <f>MAX((5/384*($AQ$2+$Y62/100)*$D$17^4/(2.06*10^8*$Z62/10^8))/($D$17/300)*INDEX(Лист1!$L$34:$L$38,MATCH(Лист1!$B$8,Лист1!$I$34:$I$38,0),1),(5/384*($AQ$3)*$D$17^4/(2.06*10^8*$AD62/10^8))/($D$17/200))</f>
        <v>3.4092867833359491E-2</v>
      </c>
      <c r="AR62" s="174"/>
      <c r="AS62" s="175"/>
      <c r="AT62" s="174">
        <f>MAX((5/384*($AT$2+$Y62/100)*$D$17^4/(2.06*10^8*$Z62/10^8))/($D$17/300)*INDEX(Лист1!$L$34:$L$38,MATCH(Лист1!$B$8,Лист1!$I$34:$I$38,0),1),(5/384*($AT$3)*$D$17^4/(2.06*10^8*$AD62/10^8))/($D$17/200))</f>
        <v>2.5815986625260658E-2</v>
      </c>
      <c r="AU62" s="174"/>
      <c r="AV62" s="174">
        <f>IF(OR(MAX(AH62,AQ62)&gt;1,AK62&gt;Лист1!$B$20,N62="-"),999999999,Y62*Лист1!$B$7+0.0001*O62)</f>
        <v>999999999</v>
      </c>
      <c r="AW62" s="174"/>
      <c r="AX62" s="174">
        <f>IF(OR(MAX(AH62,AT62)&gt;1,AN62&gt;Лист1!$B$20,N62="-"),999999999,Y62*Лист1!$B$7+0.0001*O62)</f>
        <v>999999999</v>
      </c>
    </row>
    <row r="63" spans="14:50" ht="15.75" x14ac:dyDescent="0.25">
      <c r="O63">
        <f t="shared" si="8"/>
        <v>60</v>
      </c>
      <c r="P63" s="179" t="s">
        <v>297</v>
      </c>
      <c r="Q63" s="1">
        <v>240</v>
      </c>
      <c r="R63" s="141" t="s">
        <v>209</v>
      </c>
      <c r="S63" s="142">
        <v>60</v>
      </c>
      <c r="T63" s="142">
        <v>60</v>
      </c>
      <c r="X63" s="142">
        <v>3.8</v>
      </c>
      <c r="Y63" s="143">
        <v>3</v>
      </c>
      <c r="Z63" s="144">
        <v>18.8</v>
      </c>
      <c r="AA63" s="145">
        <v>6.2</v>
      </c>
      <c r="AC63" s="146">
        <v>2.23</v>
      </c>
      <c r="AD63" s="147">
        <v>10</v>
      </c>
      <c r="AE63" s="145">
        <v>5</v>
      </c>
      <c r="AF63" s="143">
        <v>1.63</v>
      </c>
      <c r="AG63" s="174"/>
      <c r="AH63" s="174">
        <f t="shared" si="0"/>
        <v>1.8404907975460125</v>
      </c>
      <c r="AI63" s="174"/>
      <c r="AJ63" s="146"/>
      <c r="AK63" s="174">
        <f>(($AK$2+Y63*Лист1!$B$7^2*Лист1!$G$8/100)/(AA63/10^6)+$AK$3/(AE63/10^6))/1000/($Q63*IF(Лист1!$J$19="да",1/1.05,1))</f>
        <v>5.2651897485361552</v>
      </c>
      <c r="AM63" s="146"/>
      <c r="AN63" s="174">
        <f>(($AK$2+Y63*Лист1!$B$7^2*Лист1!$G$8/100)/(AA63/10^6)+$AK$3/(AE63/10^6))/1000/($Q63*IF(Лист1!$J$19="да",1/1.05,1))</f>
        <v>5.2651897485361552</v>
      </c>
      <c r="AP63" s="146"/>
      <c r="AQ63" s="174">
        <f>MAX((5/384*($AQ$2+$Y63/100)*$D$17^4/(2.06*10^8*$Z63/10^8))/($D$17/300)*INDEX(Лист1!$L$34:$L$38,MATCH(Лист1!$B$8,Лист1!$I$34:$I$38,0),1),(5/384*($AQ$3)*$D$17^4/(2.06*10^8*$AD63/10^8))/($D$17/200))</f>
        <v>26.315388867355345</v>
      </c>
      <c r="AR63" s="174"/>
      <c r="AS63" s="175"/>
      <c r="AT63" s="174">
        <f>MAX((5/384*($AT$2+$Y63/100)*$D$17^4/(2.06*10^8*$Z63/10^8))/($D$17/300)*INDEX(Лист1!$L$34:$L$38,MATCH(Лист1!$B$8,Лист1!$I$34:$I$38,0),1),(5/384*($AT$3)*$D$17^4/(2.06*10^8*$AD63/10^8))/($D$17/200))</f>
        <v>15.663921944854375</v>
      </c>
      <c r="AU63" s="174"/>
      <c r="AV63" s="174">
        <f>IF(OR(MAX(AH63,AQ63)&gt;1,AK63&gt;Лист1!$B$20,N63="-"),999999999,Y63*Лист1!$B$7+0.0001*O63)</f>
        <v>999999999</v>
      </c>
      <c r="AW63" s="174"/>
      <c r="AX63" s="174">
        <f>IF(OR(MAX(AH63,AT63)&gt;1,AN63&gt;Лист1!$B$20,N63="-"),999999999,Y63*Лист1!$B$7+0.0001*O63)</f>
        <v>999999999</v>
      </c>
    </row>
    <row r="64" spans="14:50" ht="15.75" x14ac:dyDescent="0.25">
      <c r="N64" t="s">
        <v>344</v>
      </c>
      <c r="O64">
        <f t="shared" si="8"/>
        <v>61</v>
      </c>
      <c r="P64" s="179" t="s">
        <v>297</v>
      </c>
      <c r="Q64" s="1">
        <v>240</v>
      </c>
      <c r="R64" s="141" t="s">
        <v>210</v>
      </c>
      <c r="S64" s="142">
        <v>60</v>
      </c>
      <c r="T64" s="142">
        <v>60</v>
      </c>
      <c r="X64" s="148">
        <v>4.7</v>
      </c>
      <c r="Y64" s="149">
        <v>3.6</v>
      </c>
      <c r="Z64" s="149">
        <v>22.4</v>
      </c>
      <c r="AA64" s="150">
        <v>7.4</v>
      </c>
      <c r="AC64" s="151">
        <v>2.2000000000000002</v>
      </c>
      <c r="AD64" s="152">
        <v>11.8</v>
      </c>
      <c r="AE64" s="150">
        <v>5.9</v>
      </c>
      <c r="AF64" s="153">
        <v>1.6</v>
      </c>
      <c r="AG64" s="174"/>
      <c r="AH64" s="174">
        <f t="shared" si="0"/>
        <v>1.875</v>
      </c>
      <c r="AI64" s="174"/>
      <c r="AJ64" s="146"/>
      <c r="AK64" s="174">
        <f>(($AK$2+Y64*Лист1!$B$7^2*Лист1!$G$8/100)/(AA64/10^6)+$AK$3/(AE64/10^6))/1000/($Q64*IF(Лист1!$J$19="да",1/1.05,1))</f>
        <v>4.4613436241713602</v>
      </c>
      <c r="AM64" s="146"/>
      <c r="AN64" s="174">
        <f>(($AK$2+Y64*Лист1!$B$7^2*Лист1!$G$8/100)/(AA64/10^6)+$AK$3/(AE64/10^6))/1000/($Q64*IF(Лист1!$J$19="да",1/1.05,1))</f>
        <v>4.4613436241713602</v>
      </c>
      <c r="AP64" s="146"/>
      <c r="AQ64" s="174">
        <f>MAX((5/384*($AQ$2+$Y64/100)*$D$17^4/(2.06*10^8*$Z64/10^8))/($D$17/300)*INDEX(Лист1!$L$34:$L$38,MATCH(Лист1!$B$8,Лист1!$I$34:$I$38,0),1),(5/384*($AQ$3)*$D$17^4/(2.06*10^8*$AD64/10^8))/($D$17/200))</f>
        <v>22.301177006233345</v>
      </c>
      <c r="AR64" s="174"/>
      <c r="AS64" s="175"/>
      <c r="AT64" s="174">
        <f>MAX((5/384*($AT$2+$Y64/100)*$D$17^4/(2.06*10^8*$Z64/10^8))/($D$17/300)*INDEX(Лист1!$L$34:$L$38,MATCH(Лист1!$B$8,Лист1!$I$34:$I$38,0),1),(5/384*($AT$3)*$D$17^4/(2.06*10^8*$AD64/10^8))/($D$17/200))</f>
        <v>13.274510122757944</v>
      </c>
      <c r="AU64" s="174"/>
      <c r="AV64" s="174">
        <f>IF(OR(MAX(AH64,AQ64)&gt;1,AK64&gt;Лист1!$B$20,N64="-"),999999999,Y64*Лист1!$B$7+0.0001*O64)</f>
        <v>999999999</v>
      </c>
      <c r="AW64" s="174"/>
      <c r="AX64" s="174">
        <f>IF(OR(MAX(AH64,AT64)&gt;1,AN64&gt;Лист1!$B$20,N64="-"),999999999,Y64*Лист1!$B$7+0.0001*O64)</f>
        <v>999999999</v>
      </c>
    </row>
    <row r="65" spans="14:50" ht="15.75" x14ac:dyDescent="0.25">
      <c r="O65">
        <f t="shared" si="8"/>
        <v>62</v>
      </c>
      <c r="P65" s="179" t="s">
        <v>297</v>
      </c>
      <c r="Q65" s="1">
        <v>240</v>
      </c>
      <c r="R65" s="141" t="s">
        <v>211</v>
      </c>
      <c r="S65" s="142">
        <v>60</v>
      </c>
      <c r="T65" s="142">
        <v>60</v>
      </c>
      <c r="X65" s="148">
        <v>5.5</v>
      </c>
      <c r="Y65" s="149">
        <v>4.3</v>
      </c>
      <c r="Z65" s="149">
        <v>26</v>
      </c>
      <c r="AA65" s="150">
        <v>8.6</v>
      </c>
      <c r="AC65" s="151">
        <v>2.1800000000000002</v>
      </c>
      <c r="AD65" s="152">
        <v>13.7</v>
      </c>
      <c r="AE65" s="150">
        <v>6.8</v>
      </c>
      <c r="AF65" s="153">
        <v>1.58</v>
      </c>
      <c r="AG65" s="174"/>
      <c r="AH65" s="174">
        <f t="shared" si="0"/>
        <v>1.89873417721519</v>
      </c>
      <c r="AI65" s="174"/>
      <c r="AJ65" s="146"/>
      <c r="AK65" s="174">
        <f>(($AK$2+Y65*Лист1!$B$7^2*Лист1!$G$8/100)/(AA65/10^6)+$AK$3/(AE65/10^6))/1000/($Q65*IF(Лист1!$J$19="да",1/1.05,1))</f>
        <v>3.8760882875858824</v>
      </c>
      <c r="AM65" s="146"/>
      <c r="AN65" s="174">
        <f>(($AK$2+Y65*Лист1!$B$7^2*Лист1!$G$8/100)/(AA65/10^6)+$AK$3/(AE65/10^6))/1000/($Q65*IF(Лист1!$J$19="да",1/1.05,1))</f>
        <v>3.8760882875858824</v>
      </c>
      <c r="AP65" s="146"/>
      <c r="AQ65" s="174">
        <f>MAX((5/384*($AQ$2+$Y65/100)*$D$17^4/(2.06*10^8*$Z65/10^8))/($D$17/300)*INDEX(Лист1!$L$34:$L$38,MATCH(Лист1!$B$8,Лист1!$I$34:$I$38,0),1),(5/384*($AQ$3)*$D$17^4/(2.06*10^8*$AD65/10^8))/($D$17/200))</f>
        <v>19.208313041865214</v>
      </c>
      <c r="AR65" s="174"/>
      <c r="AS65" s="175"/>
      <c r="AT65" s="174">
        <f>MAX((5/384*($AT$2+$Y65/100)*$D$17^4/(2.06*10^8*$Z65/10^8))/($D$17/300)*INDEX(Лист1!$L$34:$L$38,MATCH(Лист1!$B$8,Лист1!$I$34:$I$38,0),1),(5/384*($AT$3)*$D$17^4/(2.06*10^8*$AD65/10^8))/($D$17/200))</f>
        <v>11.433519667776915</v>
      </c>
      <c r="AU65" s="174"/>
      <c r="AV65" s="174">
        <f>IF(OR(MAX(AH65,AQ65)&gt;1,AK65&gt;Лист1!$B$20,N65="-"),999999999,Y65*Лист1!$B$7+0.0001*O65)</f>
        <v>999999999</v>
      </c>
      <c r="AW65" s="174"/>
      <c r="AX65" s="174">
        <f>IF(OR(MAX(AH65,AT65)&gt;1,AN65&gt;Лист1!$B$20,N65="-"),999999999,Y65*Лист1!$B$7+0.0001*O65)</f>
        <v>999999999</v>
      </c>
    </row>
    <row r="66" spans="14:50" ht="15.75" x14ac:dyDescent="0.25">
      <c r="O66">
        <f t="shared" si="8"/>
        <v>63</v>
      </c>
      <c r="P66" s="179" t="s">
        <v>297</v>
      </c>
      <c r="Q66" s="1">
        <v>240</v>
      </c>
      <c r="R66" s="141" t="s">
        <v>212</v>
      </c>
      <c r="S66" s="142">
        <v>60</v>
      </c>
      <c r="T66" s="142">
        <v>60</v>
      </c>
      <c r="X66" s="148">
        <v>7.1</v>
      </c>
      <c r="Y66" s="149">
        <v>5.5</v>
      </c>
      <c r="Z66" s="149">
        <v>32.200000000000003</v>
      </c>
      <c r="AA66" s="150">
        <v>10.7</v>
      </c>
      <c r="AC66" s="151">
        <v>2.13</v>
      </c>
      <c r="AD66" s="152">
        <v>16.7</v>
      </c>
      <c r="AE66" s="150">
        <v>8.3000000000000007</v>
      </c>
      <c r="AF66" s="153">
        <v>1.54</v>
      </c>
      <c r="AG66" s="174"/>
      <c r="AH66" s="174">
        <f t="shared" si="0"/>
        <v>1.9480519480519478</v>
      </c>
      <c r="AI66" s="174"/>
      <c r="AJ66" s="146"/>
      <c r="AK66" s="174">
        <f>(($AK$2+Y66*Лист1!$B$7^2*Лист1!$G$8/100)/(AA66/10^6)+$AK$3/(AE66/10^6))/1000/($Q66*IF(Лист1!$J$19="да",1/1.05,1))</f>
        <v>3.1776805405331472</v>
      </c>
      <c r="AM66" s="146"/>
      <c r="AN66" s="174">
        <f>(($AK$2+Y66*Лист1!$B$7^2*Лист1!$G$8/100)/(AA66/10^6)+$AK$3/(AE66/10^6))/1000/($Q66*IF(Лист1!$J$19="да",1/1.05,1))</f>
        <v>3.1776805405331472</v>
      </c>
      <c r="AP66" s="146"/>
      <c r="AQ66" s="174">
        <f>MAX((5/384*($AQ$2+$Y66/100)*$D$17^4/(2.06*10^8*$Z66/10^8))/($D$17/300)*INDEX(Лист1!$L$34:$L$38,MATCH(Лист1!$B$8,Лист1!$I$34:$I$38,0),1),(5/384*($AQ$3)*$D$17^4/(2.06*10^8*$AD66/10^8))/($D$17/200))</f>
        <v>15.75771788464392</v>
      </c>
      <c r="AR66" s="174"/>
      <c r="AS66" s="175"/>
      <c r="AT66" s="174">
        <f>MAX((5/384*($AT$2+$Y66/100)*$D$17^4/(2.06*10^8*$Z66/10^8))/($D$17/300)*INDEX(Лист1!$L$34:$L$38,MATCH(Лист1!$B$8,Лист1!$I$34:$I$38,0),1),(5/384*($AT$3)*$D$17^4/(2.06*10^8*$AD66/10^8))/($D$17/200))</f>
        <v>9.3795939789547145</v>
      </c>
      <c r="AU66" s="174"/>
      <c r="AV66" s="174">
        <f>IF(OR(MAX(AH66,AQ66)&gt;1,AK66&gt;Лист1!$B$20,N66="-"),999999999,Y66*Лист1!$B$7+0.0001*O66)</f>
        <v>999999999</v>
      </c>
      <c r="AW66" s="174"/>
      <c r="AX66" s="174">
        <f>IF(OR(MAX(AH66,AT66)&gt;1,AN66&gt;Лист1!$B$20,N66="-"),999999999,Y66*Лист1!$B$7+0.0001*O66)</f>
        <v>999999999</v>
      </c>
    </row>
    <row r="67" spans="14:50" ht="16.5" thickBot="1" x14ac:dyDescent="0.3">
      <c r="O67">
        <f t="shared" si="8"/>
        <v>64</v>
      </c>
      <c r="P67" s="179" t="s">
        <v>297</v>
      </c>
      <c r="Q67" s="1">
        <v>240</v>
      </c>
      <c r="R67" s="141" t="s">
        <v>213</v>
      </c>
      <c r="S67" s="142">
        <v>60</v>
      </c>
      <c r="T67" s="142">
        <v>60</v>
      </c>
      <c r="X67" s="148">
        <v>8.6</v>
      </c>
      <c r="Y67" s="149">
        <v>6.7</v>
      </c>
      <c r="Z67" s="149">
        <v>37.1</v>
      </c>
      <c r="AA67" s="150">
        <v>12.3</v>
      </c>
      <c r="AC67" s="151">
        <v>2.08</v>
      </c>
      <c r="AD67" s="152">
        <v>19.100000000000001</v>
      </c>
      <c r="AE67" s="150">
        <v>9.5</v>
      </c>
      <c r="AF67" s="153">
        <v>1.49</v>
      </c>
      <c r="AG67" s="174"/>
      <c r="AH67" s="174">
        <f t="shared" si="0"/>
        <v>2.0134228187919465</v>
      </c>
      <c r="AI67" s="174"/>
      <c r="AJ67" s="146"/>
      <c r="AK67" s="174">
        <f>(($AK$2+Y67*Лист1!$B$7^2*Лист1!$G$8/100)/(AA67/10^6)+$AK$3/(AE67/10^6))/1000/($Q67*IF(Лист1!$J$19="да",1/1.05,1))</f>
        <v>2.7908142864671222</v>
      </c>
      <c r="AM67" s="146"/>
      <c r="AN67" s="174">
        <f>(($AK$2+Y67*Лист1!$B$7^2*Лист1!$G$8/100)/(AA67/10^6)+$AK$3/(AE67/10^6))/1000/($Q67*IF(Лист1!$J$19="да",1/1.05,1))</f>
        <v>2.7908142864671222</v>
      </c>
      <c r="AP67" s="146"/>
      <c r="AQ67" s="174">
        <f>MAX((5/384*($AQ$2+$Y67/100)*$D$17^4/(2.06*10^8*$Z67/10^8))/($D$17/300)*INDEX(Лист1!$L$34:$L$38,MATCH(Лист1!$B$8,Лист1!$I$34:$I$38,0),1),(5/384*($AQ$3)*$D$17^4/(2.06*10^8*$AD67/10^8))/($D$17/200))</f>
        <v>13.777690506468767</v>
      </c>
      <c r="AR67" s="174"/>
      <c r="AS67" s="175"/>
      <c r="AT67" s="174">
        <f>MAX((5/384*($AT$2+$Y67/100)*$D$17^4/(2.06*10^8*$Z67/10^8))/($D$17/300)*INDEX(Лист1!$L$34:$L$38,MATCH(Лист1!$B$8,Лист1!$I$34:$I$38,0),1),(5/384*($AT$3)*$D$17^4/(2.06*10^8*$AD67/10^8))/($D$17/200))</f>
        <v>8.2010062538504567</v>
      </c>
      <c r="AU67" s="174"/>
      <c r="AV67" s="174">
        <f>IF(OR(MAX(AH67,AQ67)&gt;1,AK67&gt;Лист1!$B$20,N67="-"),999999999,Y67*Лист1!$B$7+0.0001*O67)</f>
        <v>999999999</v>
      </c>
      <c r="AW67" s="174"/>
      <c r="AX67" s="174">
        <f>IF(OR(MAX(AH67,AT67)&gt;1,AN67&gt;Лист1!$B$20,N67="-"),999999999,Y67*Лист1!$B$7+0.0001*O67)</f>
        <v>999999999</v>
      </c>
    </row>
    <row r="68" spans="14:50" ht="16.5" thickBot="1" x14ac:dyDescent="0.3">
      <c r="O68">
        <f t="shared" si="8"/>
        <v>65</v>
      </c>
      <c r="P68" s="179" t="s">
        <v>297</v>
      </c>
      <c r="Q68" s="1">
        <v>240</v>
      </c>
      <c r="R68" s="154" t="s">
        <v>214</v>
      </c>
      <c r="S68" s="148">
        <v>100</v>
      </c>
      <c r="T68" s="148">
        <v>100</v>
      </c>
      <c r="X68" s="148">
        <v>9.1999999999999993</v>
      </c>
      <c r="Y68" s="149">
        <v>7.2</v>
      </c>
      <c r="Z68" s="149">
        <v>123.2</v>
      </c>
      <c r="AA68" s="150">
        <v>24.6</v>
      </c>
      <c r="AC68" s="151">
        <v>3.66</v>
      </c>
      <c r="AD68" s="152">
        <v>55.6</v>
      </c>
      <c r="AE68" s="150">
        <v>18.5</v>
      </c>
      <c r="AF68" s="153">
        <v>2.46</v>
      </c>
      <c r="AG68" s="174"/>
      <c r="AH68" s="174">
        <f t="shared" si="0"/>
        <v>1.2195121951219512</v>
      </c>
      <c r="AI68" s="174"/>
      <c r="AJ68" s="146"/>
      <c r="AK68" s="174">
        <f>(($AK$2+Y68*Лист1!$B$7^2*Лист1!$G$8/100)/(AA68/10^6)+$AK$3/(AE68/10^6))/1000/($Q68*IF(Лист1!$J$19="да",1/1.05,1))</f>
        <v>1.4249221022794254</v>
      </c>
      <c r="AM68" s="146"/>
      <c r="AN68" s="174">
        <f>(($AK$2+Y68*Лист1!$B$7^2*Лист1!$G$8/100)/(AA68/10^6)+$AK$3/(AE68/10^6))/1000/($Q68*IF(Лист1!$J$19="да",1/1.05,1))</f>
        <v>1.4249221022794254</v>
      </c>
      <c r="AP68" s="146"/>
      <c r="AQ68" s="174">
        <f>MAX((5/384*($AQ$2+$Y68/100)*$D$17^4/(2.06*10^8*$Z68/10^8))/($D$17/300)*INDEX(Лист1!$L$34:$L$38,MATCH(Лист1!$B$8,Лист1!$I$34:$I$38,0),1),(5/384*($AQ$3)*$D$17^4/(2.06*10^8*$AD68/10^8))/($D$17/200))</f>
        <v>4.7329836092365731</v>
      </c>
      <c r="AR68" s="174"/>
      <c r="AS68" s="175"/>
      <c r="AT68" s="174">
        <f>MAX((5/384*($AT$2+$Y68/100)*$D$17^4/(2.06*10^8*$Z68/10^8))/($D$17/300)*INDEX(Лист1!$L$34:$L$38,MATCH(Лист1!$B$8,Лист1!$I$34:$I$38,0),1),(5/384*($AT$3)*$D$17^4/(2.06*10^8*$AD68/10^8))/($D$17/200))</f>
        <v>2.8172521483551036</v>
      </c>
      <c r="AU68" s="174"/>
      <c r="AV68" s="174">
        <f>IF(OR(MAX(AH68,AQ68)&gt;1,AK68&gt;Лист1!$B$20,N68="-"),999999999,Y68*Лист1!$B$7+0.0001*O68)</f>
        <v>999999999</v>
      </c>
      <c r="AW68" s="174"/>
      <c r="AX68" s="174">
        <f>IF(OR(MAX(AH68,AT68)&gt;1,AN68&gt;Лист1!$B$20,N68="-"),999999999,Y68*Лист1!$B$7+0.0001*O68)</f>
        <v>999999999</v>
      </c>
    </row>
    <row r="69" spans="14:50" ht="16.5" thickBot="1" x14ac:dyDescent="0.3">
      <c r="O69">
        <f t="shared" si="8"/>
        <v>66</v>
      </c>
      <c r="P69" s="179" t="s">
        <v>297</v>
      </c>
      <c r="Q69" s="1">
        <v>240</v>
      </c>
      <c r="R69" s="154" t="s">
        <v>215</v>
      </c>
      <c r="S69" s="148">
        <v>100</v>
      </c>
      <c r="T69" s="148">
        <v>100</v>
      </c>
      <c r="X69" s="148">
        <v>12.2</v>
      </c>
      <c r="Y69" s="149">
        <v>9.6</v>
      </c>
      <c r="Z69" s="149">
        <v>157.6</v>
      </c>
      <c r="AA69" s="150">
        <v>31.5</v>
      </c>
      <c r="AC69" s="151">
        <v>3.59</v>
      </c>
      <c r="AD69" s="152">
        <v>70.8</v>
      </c>
      <c r="AE69" s="150">
        <v>23.6</v>
      </c>
      <c r="AF69" s="153">
        <v>2.41</v>
      </c>
      <c r="AG69" s="174"/>
      <c r="AH69" s="174">
        <f t="shared" ref="AH69:AH132" si="9">MAX($D$18*100/$AC69,$D$17*100/$AF69)/200</f>
        <v>1.2448132780082988</v>
      </c>
      <c r="AI69" s="174"/>
      <c r="AJ69" s="146"/>
      <c r="AK69" s="174">
        <f>(($AK$2+Y69*Лист1!$B$7^2*Лист1!$G$8/100)/(AA69/10^6)+$AK$3/(AE69/10^6))/1000/($Q69*IF(Лист1!$J$19="да",1/1.05,1))</f>
        <v>1.1299594581663925</v>
      </c>
      <c r="AM69" s="146"/>
      <c r="AN69" s="174">
        <f>(($AK$2+Y69*Лист1!$B$7^2*Лист1!$G$8/100)/(AA69/10^6)+$AK$3/(AE69/10^6))/1000/($Q69*IF(Лист1!$J$19="да",1/1.05,1))</f>
        <v>1.1299594581663925</v>
      </c>
      <c r="AP69" s="146"/>
      <c r="AQ69" s="174">
        <f>MAX((5/384*($AQ$2+$Y69/100)*$D$17^4/(2.06*10^8*$Z69/10^8))/($D$17/300)*INDEX(Лист1!$L$34:$L$38,MATCH(Лист1!$B$8,Лист1!$I$34:$I$38,0),1),(5/384*($AQ$3)*$D$17^4/(2.06*10^8*$AD69/10^8))/($D$17/200))</f>
        <v>3.7168628343722236</v>
      </c>
      <c r="AR69" s="174"/>
      <c r="AS69" s="175"/>
      <c r="AT69" s="174">
        <f>MAX((5/384*($AT$2+$Y69/100)*$D$17^4/(2.06*10^8*$Z69/10^8))/($D$17/300)*INDEX(Лист1!$L$34:$L$38,MATCH(Лист1!$B$8,Лист1!$I$34:$I$38,0),1),(5/384*($AT$3)*$D$17^4/(2.06*10^8*$AD69/10^8))/($D$17/200))</f>
        <v>2.2124183537929905</v>
      </c>
      <c r="AU69" s="174"/>
      <c r="AV69" s="174">
        <f>IF(OR(MAX(AH69,AQ69)&gt;1,AK69&gt;Лист1!$B$20,N69="-"),999999999,Y69*Лист1!$B$7+0.0001*O69)</f>
        <v>999999999</v>
      </c>
      <c r="AW69" s="174"/>
      <c r="AX69" s="174">
        <f>IF(OR(MAX(AH69,AT69)&gt;1,AN69&gt;Лист1!$B$20,N69="-"),999999999,Y69*Лист1!$B$7+0.0001*O69)</f>
        <v>999999999</v>
      </c>
    </row>
    <row r="70" spans="14:50" ht="16.5" thickBot="1" x14ac:dyDescent="0.3">
      <c r="O70">
        <f t="shared" si="8"/>
        <v>67</v>
      </c>
      <c r="P70" s="179" t="s">
        <v>297</v>
      </c>
      <c r="Q70" s="1">
        <v>240</v>
      </c>
      <c r="R70" s="154" t="s">
        <v>216</v>
      </c>
      <c r="S70" s="148">
        <v>100</v>
      </c>
      <c r="T70" s="148">
        <v>100</v>
      </c>
      <c r="X70" s="155">
        <v>15</v>
      </c>
      <c r="Y70" s="149">
        <v>11.8</v>
      </c>
      <c r="Z70" s="149">
        <v>187.8</v>
      </c>
      <c r="AA70" s="150">
        <v>37.6</v>
      </c>
      <c r="AC70" s="151">
        <v>3.54</v>
      </c>
      <c r="AD70" s="152">
        <v>83.8</v>
      </c>
      <c r="AE70" s="150">
        <v>27.9</v>
      </c>
      <c r="AF70" s="153">
        <v>2.36</v>
      </c>
      <c r="AG70" s="174"/>
      <c r="AH70" s="174">
        <f t="shared" si="9"/>
        <v>1.2711864406779663</v>
      </c>
      <c r="AI70" s="174"/>
      <c r="AJ70" s="146"/>
      <c r="AK70" s="174">
        <f>(($AK$2+Y70*Лист1!$B$7^2*Лист1!$G$8/100)/(AA70/10^6)+$AK$3/(AE70/10^6))/1000/($Q70*IF(Лист1!$J$19="да",1/1.05,1))</f>
        <v>0.96382359430523012</v>
      </c>
      <c r="AM70" s="146"/>
      <c r="AN70" s="174">
        <f>(($AK$2+Y70*Лист1!$B$7^2*Лист1!$G$8/100)/(AA70/10^6)+$AK$3/(AE70/10^6))/1000/($Q70*IF(Лист1!$J$19="да",1/1.05,1))</f>
        <v>0.96382359430523012</v>
      </c>
      <c r="AP70" s="146"/>
      <c r="AQ70" s="174">
        <f>MAX((5/384*($AQ$2+$Y70/100)*$D$17^4/(2.06*10^8*$Z70/10^8))/($D$17/300)*INDEX(Лист1!$L$34:$L$38,MATCH(Лист1!$B$8,Лист1!$I$34:$I$38,0),1),(5/384*($AQ$3)*$D$17^4/(2.06*10^8*$AD70/10^8))/($D$17/200))</f>
        <v>3.1402612013550537</v>
      </c>
      <c r="AR70" s="174"/>
      <c r="AS70" s="175"/>
      <c r="AT70" s="174">
        <f>MAX((5/384*($AT$2+$Y70/100)*$D$17^4/(2.06*10^8*$Z70/10^8))/($D$17/300)*INDEX(Лист1!$L$34:$L$38,MATCH(Лист1!$B$8,Лист1!$I$34:$I$38,0),1),(5/384*($AT$3)*$D$17^4/(2.06*10^8*$AD70/10^8))/($D$17/200))</f>
        <v>1.8692030960446748</v>
      </c>
      <c r="AU70" s="174"/>
      <c r="AV70" s="174">
        <f>IF(OR(MAX(AH70,AQ70)&gt;1,AK70&gt;Лист1!$B$20,N70="-"),999999999,Y70*Лист1!$B$7+0.0001*O70)</f>
        <v>999999999</v>
      </c>
      <c r="AW70" s="174"/>
      <c r="AX70" s="174">
        <f>IF(OR(MAX(AH70,AT70)&gt;1,AN70&gt;Лист1!$B$20,N70="-"),999999999,Y70*Лист1!$B$7+0.0001*O70)</f>
        <v>999999999</v>
      </c>
    </row>
    <row r="71" spans="14:50" ht="16.5" thickBot="1" x14ac:dyDescent="0.3">
      <c r="O71">
        <f t="shared" si="8"/>
        <v>68</v>
      </c>
      <c r="P71" s="179" t="s">
        <v>297</v>
      </c>
      <c r="Q71" s="1">
        <v>240</v>
      </c>
      <c r="R71" s="154" t="s">
        <v>217</v>
      </c>
      <c r="S71" s="148">
        <v>100</v>
      </c>
      <c r="T71" s="148">
        <v>100</v>
      </c>
      <c r="X71" s="148">
        <v>17.8</v>
      </c>
      <c r="Y71" s="149">
        <v>14</v>
      </c>
      <c r="Z71" s="149">
        <v>216.3</v>
      </c>
      <c r="AA71" s="150">
        <v>43.3</v>
      </c>
      <c r="AC71" s="151">
        <v>3.48</v>
      </c>
      <c r="AD71" s="152">
        <v>96.2</v>
      </c>
      <c r="AE71" s="150">
        <v>32.1</v>
      </c>
      <c r="AF71" s="153">
        <v>2.3199999999999998</v>
      </c>
      <c r="AG71" s="174"/>
      <c r="AH71" s="174">
        <f t="shared" si="9"/>
        <v>1.2931034482758621</v>
      </c>
      <c r="AI71" s="174"/>
      <c r="AJ71" s="146"/>
      <c r="AK71" s="174">
        <f>(($AK$2+Y71*Лист1!$B$7^2*Лист1!$G$8/100)/(AA71/10^6)+$AK$3/(AE71/10^6))/1000/($Q71*IF(Лист1!$J$19="да",1/1.05,1))</f>
        <v>0.8469899098492637</v>
      </c>
      <c r="AM71" s="146"/>
      <c r="AN71" s="174">
        <f>(($AK$2+Y71*Лист1!$B$7^2*Лист1!$G$8/100)/(AA71/10^6)+$AK$3/(AE71/10^6))/1000/($Q71*IF(Лист1!$J$19="да",1/1.05,1))</f>
        <v>0.8469899098492637</v>
      </c>
      <c r="AP71" s="146"/>
      <c r="AQ71" s="174">
        <f>MAX((5/384*($AQ$2+$Y71/100)*$D$17^4/(2.06*10^8*$Z71/10^8))/($D$17/300)*INDEX(Лист1!$L$34:$L$38,MATCH(Лист1!$B$8,Лист1!$I$34:$I$38,0),1),(5/384*($AQ$3)*$D$17^4/(2.06*10^8*$AD71/10^8))/($D$17/200))</f>
        <v>2.7354874082489968</v>
      </c>
      <c r="AR71" s="174"/>
      <c r="AS71" s="175"/>
      <c r="AT71" s="174">
        <f>MAX((5/384*($AT$2+$Y71/100)*$D$17^4/(2.06*10^8*$Z71/10^8))/($D$17/300)*INDEX(Лист1!$L$34:$L$38,MATCH(Лист1!$B$8,Лист1!$I$34:$I$38,0),1),(5/384*($AT$3)*$D$17^4/(2.06*10^8*$AD71/10^8))/($D$17/200))</f>
        <v>1.6282663144339267</v>
      </c>
      <c r="AU71" s="174"/>
      <c r="AV71" s="174">
        <f>IF(OR(MAX(AH71,AQ71)&gt;1,AK71&gt;Лист1!$B$20,N71="-"),999999999,Y71*Лист1!$B$7+0.0001*O71)</f>
        <v>999999999</v>
      </c>
      <c r="AW71" s="174"/>
      <c r="AX71" s="174">
        <f>IF(OR(MAX(AH71,AT71)&gt;1,AN71&gt;Лист1!$B$20,N71="-"),999999999,Y71*Лист1!$B$7+0.0001*O71)</f>
        <v>999999999</v>
      </c>
    </row>
    <row r="72" spans="14:50" ht="16.5" thickBot="1" x14ac:dyDescent="0.3">
      <c r="O72">
        <f t="shared" si="8"/>
        <v>69</v>
      </c>
      <c r="P72" s="179" t="s">
        <v>297</v>
      </c>
      <c r="Q72" s="1">
        <v>240</v>
      </c>
      <c r="R72" s="154" t="s">
        <v>218</v>
      </c>
      <c r="S72" s="148">
        <v>120</v>
      </c>
      <c r="T72" s="148">
        <v>120</v>
      </c>
      <c r="X72" s="148">
        <v>11.6</v>
      </c>
      <c r="Y72" s="149">
        <v>9.1</v>
      </c>
      <c r="Z72" s="149">
        <v>233.4</v>
      </c>
      <c r="AA72" s="150">
        <v>38.9</v>
      </c>
      <c r="AC72" s="151">
        <v>4.4800000000000004</v>
      </c>
      <c r="AD72" s="152">
        <v>124.8</v>
      </c>
      <c r="AE72" s="150">
        <v>31.2</v>
      </c>
      <c r="AF72" s="153">
        <v>3.27</v>
      </c>
      <c r="AG72" s="174"/>
      <c r="AH72" s="174">
        <f t="shared" si="9"/>
        <v>0.91743119266055051</v>
      </c>
      <c r="AI72" s="174"/>
      <c r="AJ72" s="146"/>
      <c r="AK72" s="174">
        <f>(($AK$2+Y72*Лист1!$B$7^2*Лист1!$G$8/100)/(AA72/10^6)+$AK$3/(AE72/10^6))/1000/($Q72*IF(Лист1!$J$19="да",1/1.05,1))</f>
        <v>0.87174059375800683</v>
      </c>
      <c r="AM72" s="146"/>
      <c r="AN72" s="174">
        <f>(($AK$2+Y72*Лист1!$B$7^2*Лист1!$G$8/100)/(AA72/10^6)+$AK$3/(AE72/10^6))/1000/($Q72*IF(Лист1!$J$19="да",1/1.05,1))</f>
        <v>0.87174059375800683</v>
      </c>
      <c r="AP72" s="146"/>
      <c r="AQ72" s="174">
        <f>MAX((5/384*($AQ$2+$Y72/100)*$D$17^4/(2.06*10^8*$Z72/10^8))/($D$17/300)*INDEX(Лист1!$L$34:$L$38,MATCH(Лист1!$B$8,Лист1!$I$34:$I$38,0),1),(5/384*($AQ$3)*$D$17^4/(2.06*10^8*$AD72/10^8))/($D$17/200))</f>
        <v>2.1086048771919343</v>
      </c>
      <c r="AR72" s="174"/>
      <c r="AS72" s="175"/>
      <c r="AT72" s="174">
        <f>MAX((5/384*($AT$2+$Y72/100)*$D$17^4/(2.06*10^8*$Z72/10^8))/($D$17/300)*INDEX(Лист1!$L$34:$L$38,MATCH(Лист1!$B$8,Лист1!$I$34:$I$38,0),1),(5/384*($AT$3)*$D$17^4/(2.06*10^8*$AD72/10^8))/($D$17/200))</f>
        <v>1.2551219507094851</v>
      </c>
      <c r="AU72" s="174"/>
      <c r="AV72" s="174">
        <f>IF(OR(MAX(AH72,AQ72)&gt;1,AK72&gt;Лист1!$B$20,N72="-"),999999999,Y72*Лист1!$B$7+0.0001*O72)</f>
        <v>999999999</v>
      </c>
      <c r="AW72" s="174"/>
      <c r="AX72" s="174">
        <f>IF(OR(MAX(AH72,AT72)&gt;1,AN72&gt;Лист1!$B$20,N72="-"),999999999,Y72*Лист1!$B$7+0.0001*O72)</f>
        <v>999999999</v>
      </c>
    </row>
    <row r="73" spans="14:50" ht="16.5" thickBot="1" x14ac:dyDescent="0.3">
      <c r="O73">
        <f t="shared" si="8"/>
        <v>70</v>
      </c>
      <c r="P73" s="179" t="s">
        <v>297</v>
      </c>
      <c r="Q73" s="1">
        <v>240</v>
      </c>
      <c r="R73" s="154" t="s">
        <v>219</v>
      </c>
      <c r="S73" s="148">
        <v>120</v>
      </c>
      <c r="T73" s="148">
        <v>120</v>
      </c>
      <c r="X73" s="148">
        <v>15.3</v>
      </c>
      <c r="Y73" s="149">
        <v>12</v>
      </c>
      <c r="Z73" s="149">
        <v>299</v>
      </c>
      <c r="AA73" s="150">
        <v>49.8</v>
      </c>
      <c r="AC73" s="151">
        <v>4.42</v>
      </c>
      <c r="AD73" s="152">
        <v>159.69999999999999</v>
      </c>
      <c r="AE73" s="150">
        <v>39.9</v>
      </c>
      <c r="AF73" s="153">
        <v>3.23</v>
      </c>
      <c r="AG73" s="174"/>
      <c r="AH73" s="174">
        <f t="shared" si="9"/>
        <v>0.92879256965944279</v>
      </c>
      <c r="AI73" s="174"/>
      <c r="AJ73" s="146"/>
      <c r="AK73" s="174">
        <f>(($AK$2+Y73*Лист1!$B$7^2*Лист1!$G$8/100)/(AA73/10^6)+$AK$3/(AE73/10^6))/1000/($Q73*IF(Лист1!$J$19="да",1/1.05,1))</f>
        <v>0.6923375394853013</v>
      </c>
      <c r="AM73" s="146"/>
      <c r="AN73" s="174">
        <f>(($AK$2+Y73*Лист1!$B$7^2*Лист1!$G$8/100)/(AA73/10^6)+$AK$3/(AE73/10^6))/1000/($Q73*IF(Лист1!$J$19="да",1/1.05,1))</f>
        <v>0.6923375394853013</v>
      </c>
      <c r="AP73" s="146"/>
      <c r="AQ73" s="174">
        <f>MAX((5/384*($AQ$2+$Y73/100)*$D$17^4/(2.06*10^8*$Z73/10^8))/($D$17/300)*INDEX(Лист1!$L$34:$L$38,MATCH(Лист1!$B$8,Лист1!$I$34:$I$38,0),1),(5/384*($AQ$3)*$D$17^4/(2.06*10^8*$AD73/10^8))/($D$17/200))</f>
        <v>1.6478014318945116</v>
      </c>
      <c r="AR73" s="174"/>
      <c r="AS73" s="175"/>
      <c r="AT73" s="174">
        <f>MAX((5/384*($AT$2+$Y73/100)*$D$17^4/(2.06*10^8*$Z73/10^8))/($D$17/300)*INDEX(Лист1!$L$34:$L$38,MATCH(Лист1!$B$8,Лист1!$I$34:$I$38,0),1),(5/384*($AT$3)*$D$17^4/(2.06*10^8*$AD73/10^8))/($D$17/200))</f>
        <v>0.98083418565149505</v>
      </c>
      <c r="AU73" s="174"/>
      <c r="AV73" s="174">
        <f>IF(OR(MAX(AH73,AQ73)&gt;1,AK73&gt;Лист1!$B$20,N73="-"),999999999,Y73*Лист1!$B$7+0.0001*O73)</f>
        <v>999999999</v>
      </c>
      <c r="AW73" s="174"/>
      <c r="AX73" s="174">
        <f>IF(OR(MAX(AH73,AT73)&gt;1,AN73&gt;Лист1!$B$20,N73="-"),999999999,Y73*Лист1!$B$7+0.0001*O73)</f>
        <v>72.007000000000005</v>
      </c>
    </row>
    <row r="74" spans="14:50" ht="16.5" thickBot="1" x14ac:dyDescent="0.3">
      <c r="O74">
        <f t="shared" si="8"/>
        <v>71</v>
      </c>
      <c r="P74" s="179" t="s">
        <v>297</v>
      </c>
      <c r="Q74" s="1">
        <v>240</v>
      </c>
      <c r="R74" s="154" t="s">
        <v>220</v>
      </c>
      <c r="S74" s="148">
        <v>120</v>
      </c>
      <c r="T74" s="148">
        <v>120</v>
      </c>
      <c r="X74" s="148">
        <v>18.899999999999999</v>
      </c>
      <c r="Y74" s="149">
        <v>14.8</v>
      </c>
      <c r="Z74" s="149">
        <v>361.4</v>
      </c>
      <c r="AA74" s="150">
        <v>60.2</v>
      </c>
      <c r="AC74" s="151">
        <v>4.37</v>
      </c>
      <c r="AD74" s="152">
        <v>192.4</v>
      </c>
      <c r="AE74" s="150">
        <v>48.1</v>
      </c>
      <c r="AF74" s="153">
        <v>3.19</v>
      </c>
      <c r="AG74" s="174"/>
      <c r="AH74" s="174">
        <f t="shared" si="9"/>
        <v>0.94043887147335425</v>
      </c>
      <c r="AI74" s="174"/>
      <c r="AJ74" s="146"/>
      <c r="AK74" s="174">
        <f>(($AK$2+Y74*Лист1!$B$7^2*Лист1!$G$8/100)/(AA74/10^6)+$AK$3/(AE74/10^6))/1000/($Q74*IF(Лист1!$J$19="да",1/1.05,1))</f>
        <v>0.58248423529543136</v>
      </c>
      <c r="AM74" s="146"/>
      <c r="AN74" s="174">
        <f>(($AK$2+Y74*Лист1!$B$7^2*Лист1!$G$8/100)/(AA74/10^6)+$AK$3/(AE74/10^6))/1000/($Q74*IF(Лист1!$J$19="да",1/1.05,1))</f>
        <v>0.58248423529543136</v>
      </c>
      <c r="AP74" s="146"/>
      <c r="AQ74" s="174">
        <f>MAX((5/384*($AQ$2+$Y74/100)*$D$17^4/(2.06*10^8*$Z74/10^8))/($D$17/300)*INDEX(Лист1!$L$34:$L$38,MATCH(Лист1!$B$8,Лист1!$I$34:$I$38,0),1),(5/384*($AQ$3)*$D$17^4/(2.06*10^8*$AD74/10^8))/($D$17/200))</f>
        <v>1.3677437041244984</v>
      </c>
      <c r="AR74" s="174"/>
      <c r="AS74" s="175"/>
      <c r="AT74" s="174">
        <f>MAX((5/384*($AT$2+$Y74/100)*$D$17^4/(2.06*10^8*$Z74/10^8))/($D$17/300)*INDEX(Лист1!$L$34:$L$38,MATCH(Лист1!$B$8,Лист1!$I$34:$I$38,0),1),(5/384*($AT$3)*$D$17^4/(2.06*10^8*$AD74/10^8))/($D$17/200))</f>
        <v>0.81413315721696333</v>
      </c>
      <c r="AU74" s="174"/>
      <c r="AV74" s="174">
        <f>IF(OR(MAX(AH74,AQ74)&gt;1,AK74&gt;Лист1!$B$20,N74="-"),999999999,Y74*Лист1!$B$7+0.0001*O74)</f>
        <v>999999999</v>
      </c>
      <c r="AW74" s="174"/>
      <c r="AX74" s="174">
        <f>IF(OR(MAX(AH74,AT74)&gt;1,AN74&gt;Лист1!$B$20,N74="-"),999999999,Y74*Лист1!$B$7+0.0001*O74)</f>
        <v>88.807100000000005</v>
      </c>
    </row>
    <row r="75" spans="14:50" ht="16.5" thickBot="1" x14ac:dyDescent="0.3">
      <c r="O75">
        <f t="shared" si="8"/>
        <v>72</v>
      </c>
      <c r="P75" s="179" t="s">
        <v>297</v>
      </c>
      <c r="Q75" s="1">
        <v>240</v>
      </c>
      <c r="R75" s="154" t="s">
        <v>221</v>
      </c>
      <c r="S75" s="148">
        <v>120</v>
      </c>
      <c r="T75" s="148">
        <v>120</v>
      </c>
      <c r="X75" s="148">
        <v>22.6</v>
      </c>
      <c r="Y75" s="149">
        <v>17.7</v>
      </c>
      <c r="Z75" s="149">
        <v>423.2</v>
      </c>
      <c r="AA75" s="150">
        <v>70.5</v>
      </c>
      <c r="AC75" s="151">
        <v>4.33</v>
      </c>
      <c r="AD75" s="152">
        <v>224.1</v>
      </c>
      <c r="AE75" s="150">
        <v>56</v>
      </c>
      <c r="AF75" s="153">
        <v>3.15</v>
      </c>
      <c r="AG75" s="174"/>
      <c r="AH75" s="174">
        <f t="shared" si="9"/>
        <v>0.95238095238095244</v>
      </c>
      <c r="AI75" s="174"/>
      <c r="AJ75" s="146"/>
      <c r="AK75" s="174">
        <f>(($AK$2+Y75*Лист1!$B$7^2*Лист1!$G$8/100)/(AA75/10^6)+$AK$3/(AE75/10^6))/1000/($Q75*IF(Лист1!$J$19="да",1/1.05,1))</f>
        <v>0.5069853027022978</v>
      </c>
      <c r="AM75" s="146"/>
      <c r="AN75" s="174">
        <f>(($AK$2+Y75*Лист1!$B$7^2*Лист1!$G$8/100)/(AA75/10^6)+$AK$3/(AE75/10^6))/1000/($Q75*IF(Лист1!$J$19="да",1/1.05,1))</f>
        <v>0.5069853027022978</v>
      </c>
      <c r="AP75" s="146"/>
      <c r="AQ75" s="174">
        <f>MAX((5/384*($AQ$2+$Y75/100)*$D$17^4/(2.06*10^8*$Z75/10^8))/($D$17/300)*INDEX(Лист1!$L$34:$L$38,MATCH(Лист1!$B$8,Лист1!$I$34:$I$38,0),1),(5/384*($AQ$3)*$D$17^4/(2.06*10^8*$AD75/10^8))/($D$17/200))</f>
        <v>1.1742699182220147</v>
      </c>
      <c r="AR75" s="174"/>
      <c r="AS75" s="175"/>
      <c r="AT75" s="174">
        <f>MAX((5/384*($AT$2+$Y75/100)*$D$17^4/(2.06*10^8*$Z75/10^8))/($D$17/300)*INDEX(Лист1!$L$34:$L$38,MATCH(Лист1!$B$8,Лист1!$I$34:$I$38,0),1),(5/384*($AT$3)*$D$17^4/(2.06*10^8*$AD75/10^8))/($D$17/200))</f>
        <v>0.69897018941786582</v>
      </c>
      <c r="AU75" s="174"/>
      <c r="AV75" s="174">
        <f>IF(OR(MAX(AH75,AQ75)&gt;1,AK75&gt;Лист1!$B$20,N75="-"),999999999,Y75*Лист1!$B$7+0.0001*O75)</f>
        <v>999999999</v>
      </c>
      <c r="AW75" s="174"/>
      <c r="AX75" s="174">
        <f>IF(OR(MAX(AH75,AT75)&gt;1,AN75&gt;Лист1!$B$20,N75="-"),999999999,Y75*Лист1!$B$7+0.0001*O75)</f>
        <v>106.20719999999999</v>
      </c>
    </row>
    <row r="76" spans="14:50" ht="16.5" thickBot="1" x14ac:dyDescent="0.3">
      <c r="O76">
        <f t="shared" si="8"/>
        <v>73</v>
      </c>
      <c r="P76" s="179" t="s">
        <v>297</v>
      </c>
      <c r="Q76" s="1">
        <v>240</v>
      </c>
      <c r="R76" s="154" t="s">
        <v>222</v>
      </c>
      <c r="S76" s="148">
        <v>120</v>
      </c>
      <c r="T76" s="148">
        <v>120</v>
      </c>
      <c r="X76" s="148">
        <v>26.3</v>
      </c>
      <c r="Y76" s="149">
        <v>20.6</v>
      </c>
      <c r="Z76" s="149">
        <v>483.2</v>
      </c>
      <c r="AA76" s="150">
        <v>80.400000000000006</v>
      </c>
      <c r="AC76" s="151">
        <v>4.28</v>
      </c>
      <c r="AD76" s="152">
        <v>254.6</v>
      </c>
      <c r="AE76" s="150">
        <v>63.8</v>
      </c>
      <c r="AF76" s="153">
        <v>3.1</v>
      </c>
      <c r="AG76" s="174"/>
      <c r="AH76" s="174">
        <f t="shared" si="9"/>
        <v>0.96774193548387089</v>
      </c>
      <c r="AI76" s="174"/>
      <c r="AJ76" s="146"/>
      <c r="AK76" s="174">
        <f>(($AK$2+Y76*Лист1!$B$7^2*Лист1!$G$8/100)/(AA76/10^6)+$AK$3/(AE76/10^6))/1000/($Q76*IF(Лист1!$J$19="да",1/1.05,1))</f>
        <v>0.45160414397233156</v>
      </c>
      <c r="AM76" s="146"/>
      <c r="AN76" s="174">
        <f>(($AK$2+Y76*Лист1!$B$7^2*Лист1!$G$8/100)/(AA76/10^6)+$AK$3/(AE76/10^6))/1000/($Q76*IF(Лист1!$J$19="да",1/1.05,1))</f>
        <v>0.45160414397233156</v>
      </c>
      <c r="AP76" s="146"/>
      <c r="AQ76" s="174">
        <f>MAX((5/384*($AQ$2+$Y76/100)*$D$17^4/(2.06*10^8*$Z76/10^8))/($D$17/300)*INDEX(Лист1!$L$34:$L$38,MATCH(Лист1!$B$8,Лист1!$I$34:$I$38,0),1),(5/384*($AQ$3)*$D$17^4/(2.06*10^8*$AD76/10^8))/($D$17/200))</f>
        <v>1.033597363211129</v>
      </c>
      <c r="AR76" s="174"/>
      <c r="AS76" s="175"/>
      <c r="AT76" s="174">
        <f>MAX((5/384*($AT$2+$Y76/100)*$D$17^4/(2.06*10^8*$Z76/10^8))/($D$17/300)*INDEX(Лист1!$L$34:$L$38,MATCH(Лист1!$B$8,Лист1!$I$34:$I$38,0),1),(5/384*($AT$3)*$D$17^4/(2.06*10^8*$AD76/10^8))/($D$17/200))</f>
        <v>0.61523652572091025</v>
      </c>
      <c r="AU76" s="174"/>
      <c r="AV76" s="174">
        <f>IF(OR(MAX(AH76,AQ76)&gt;1,AK76&gt;Лист1!$B$20,N76="-"),999999999,Y76*Лист1!$B$7+0.0001*O76)</f>
        <v>999999999</v>
      </c>
      <c r="AW76" s="174"/>
      <c r="AX76" s="174">
        <f>IF(OR(MAX(AH76,AT76)&gt;1,AN76&gt;Лист1!$B$20,N76="-"),999999999,Y76*Лист1!$B$7+0.0001*O76)</f>
        <v>123.60730000000001</v>
      </c>
    </row>
    <row r="77" spans="14:50" ht="16.5" thickBot="1" x14ac:dyDescent="0.3">
      <c r="O77">
        <f t="shared" si="8"/>
        <v>74</v>
      </c>
      <c r="P77" s="179" t="s">
        <v>297</v>
      </c>
      <c r="Q77" s="1">
        <v>240</v>
      </c>
      <c r="R77" s="156" t="s">
        <v>223</v>
      </c>
      <c r="S77" s="157">
        <v>140</v>
      </c>
      <c r="T77" s="157">
        <v>140</v>
      </c>
      <c r="X77" s="157">
        <v>15.3</v>
      </c>
      <c r="Y77" s="158">
        <v>12</v>
      </c>
      <c r="Z77" s="158">
        <v>362.1</v>
      </c>
      <c r="AA77" s="159">
        <v>51.7</v>
      </c>
      <c r="AC77" s="160">
        <v>4.8600000000000003</v>
      </c>
      <c r="AD77" s="161">
        <v>95.4</v>
      </c>
      <c r="AE77" s="159">
        <v>31.8</v>
      </c>
      <c r="AF77" s="162">
        <v>2.5</v>
      </c>
      <c r="AG77" s="174"/>
      <c r="AH77" s="174">
        <f t="shared" si="9"/>
        <v>1.2</v>
      </c>
      <c r="AI77" s="174"/>
      <c r="AJ77" s="177"/>
      <c r="AK77" s="174">
        <f>(($AK$2+Y77*Лист1!$B$7^2*Лист1!$G$8/100)/(AA77/10^6)+$AK$3/(AE77/10^6))/1000/($Q77*IF(Лист1!$J$19="да",1/1.05,1))</f>
        <v>0.79889350047059893</v>
      </c>
      <c r="AM77" s="177"/>
      <c r="AN77" s="174">
        <f>(($AK$2+Y77*Лист1!$B$7^2*Лист1!$G$8/100)/(AA77/10^6)+$AK$3/(AE77/10^6))/1000/($Q77*IF(Лист1!$J$19="да",1/1.05,1))</f>
        <v>0.79889350047059893</v>
      </c>
      <c r="AP77" s="177"/>
      <c r="AQ77" s="174">
        <f>MAX((5/384*($AQ$2+$Y77/100)*$D$17^4/(2.06*10^8*$Z77/10^8))/($D$17/300)*INDEX(Лист1!$L$34:$L$38,MATCH(Лист1!$B$8,Лист1!$I$34:$I$38,0),1),(5/384*($AQ$3)*$D$17^4/(2.06*10^8*$AD77/10^8))/($D$17/200))</f>
        <v>2.7584265060120909</v>
      </c>
      <c r="AR77" s="174"/>
      <c r="AS77" s="175"/>
      <c r="AT77" s="174">
        <f>MAX((5/384*($AT$2+$Y77/100)*$D$17^4/(2.06*10^8*$Z77/10^8))/($D$17/300)*INDEX(Лист1!$L$34:$L$38,MATCH(Лист1!$B$8,Лист1!$I$34:$I$38,0),1),(5/384*($AT$3)*$D$17^4/(2.06*10^8*$AD77/10^8))/($D$17/200))</f>
        <v>1.6419205392929113</v>
      </c>
      <c r="AU77" s="174"/>
      <c r="AV77" s="174">
        <f>IF(OR(MAX(AH77,AQ77)&gt;1,AK77&gt;Лист1!$B$20,N77="-"),999999999,Y77*Лист1!$B$7+0.0001*O77)</f>
        <v>999999999</v>
      </c>
      <c r="AW77" s="174"/>
      <c r="AX77" s="174">
        <f>IF(OR(MAX(AH77,AT77)&gt;1,AN77&gt;Лист1!$B$20,N77="-"),999999999,Y77*Лист1!$B$7+0.0001*O77)</f>
        <v>999999999</v>
      </c>
    </row>
    <row r="78" spans="14:50" ht="16.5" thickBot="1" x14ac:dyDescent="0.3">
      <c r="O78">
        <f t="shared" si="8"/>
        <v>75</v>
      </c>
      <c r="P78" s="179" t="s">
        <v>297</v>
      </c>
      <c r="Q78" s="1">
        <v>240</v>
      </c>
      <c r="R78" s="156" t="s">
        <v>224</v>
      </c>
      <c r="S78" s="157">
        <v>140</v>
      </c>
      <c r="T78" s="157">
        <v>140</v>
      </c>
      <c r="X78" s="157">
        <v>18.899999999999999</v>
      </c>
      <c r="Y78" s="158">
        <v>14.8</v>
      </c>
      <c r="Z78" s="158">
        <v>436.1</v>
      </c>
      <c r="AA78" s="159">
        <v>62.3</v>
      </c>
      <c r="AC78" s="160">
        <v>4.8</v>
      </c>
      <c r="AD78" s="161">
        <v>113.6</v>
      </c>
      <c r="AE78" s="159">
        <v>37.9</v>
      </c>
      <c r="AF78" s="162">
        <v>2.4500000000000002</v>
      </c>
      <c r="AG78" s="174"/>
      <c r="AH78" s="174">
        <f t="shared" si="9"/>
        <v>1.2244897959183674</v>
      </c>
      <c r="AI78" s="174"/>
      <c r="AJ78" s="177"/>
      <c r="AK78" s="174">
        <f>(($AK$2+Y78*Лист1!$B$7^2*Лист1!$G$8/100)/(AA78/10^6)+$AK$3/(AE78/10^6))/1000/($Q78*IF(Лист1!$J$19="да",1/1.05,1))</f>
        <v>0.67661785985459888</v>
      </c>
      <c r="AM78" s="177"/>
      <c r="AN78" s="174">
        <f>(($AK$2+Y78*Лист1!$B$7^2*Лист1!$G$8/100)/(AA78/10^6)+$AK$3/(AE78/10^6))/1000/($Q78*IF(Лист1!$J$19="да",1/1.05,1))</f>
        <v>0.67661785985459888</v>
      </c>
      <c r="AP78" s="177"/>
      <c r="AQ78" s="174">
        <f>MAX((5/384*($AQ$2+$Y78/100)*$D$17^4/(2.06*10^8*$Z78/10^8))/($D$17/300)*INDEX(Лист1!$L$34:$L$38,MATCH(Лист1!$B$8,Лист1!$I$34:$I$38,0),1),(5/384*($AQ$3)*$D$17^4/(2.06*10^8*$AD78/10^8))/($D$17/200))</f>
        <v>2.3164954988869146</v>
      </c>
      <c r="AR78" s="174"/>
      <c r="AS78" s="175"/>
      <c r="AT78" s="174">
        <f>MAX((5/384*($AT$2+$Y78/100)*$D$17^4/(2.06*10^8*$Z78/10^8))/($D$17/300)*INDEX(Лист1!$L$34:$L$38,MATCH(Лист1!$B$8,Лист1!$I$34:$I$38,0),1),(5/384*($AT$3)*$D$17^4/(2.06*10^8*$AD78/10^8))/($D$17/200))</f>
        <v>1.3788663683850682</v>
      </c>
      <c r="AU78" s="174"/>
      <c r="AV78" s="174">
        <f>IF(OR(MAX(AH78,AQ78)&gt;1,AK78&gt;Лист1!$B$20,N78="-"),999999999,Y78*Лист1!$B$7+0.0001*O78)</f>
        <v>999999999</v>
      </c>
      <c r="AW78" s="174"/>
      <c r="AX78" s="174">
        <f>IF(OR(MAX(AH78,AT78)&gt;1,AN78&gt;Лист1!$B$20,N78="-"),999999999,Y78*Лист1!$B$7+0.0001*O78)</f>
        <v>999999999</v>
      </c>
    </row>
    <row r="79" spans="14:50" ht="16.5" thickBot="1" x14ac:dyDescent="0.3">
      <c r="O79">
        <f t="shared" si="8"/>
        <v>76</v>
      </c>
      <c r="P79" s="179" t="s">
        <v>297</v>
      </c>
      <c r="Q79" s="1">
        <v>240</v>
      </c>
      <c r="R79" s="156" t="s">
        <v>225</v>
      </c>
      <c r="S79" s="157">
        <v>140</v>
      </c>
      <c r="T79" s="157">
        <v>140</v>
      </c>
      <c r="X79" s="157">
        <v>22.6</v>
      </c>
      <c r="Y79" s="158">
        <v>17.7</v>
      </c>
      <c r="Z79" s="158">
        <v>509.7</v>
      </c>
      <c r="AA79" s="159">
        <v>72.8</v>
      </c>
      <c r="AC79" s="160">
        <v>4.75</v>
      </c>
      <c r="AD79" s="161">
        <v>131.30000000000001</v>
      </c>
      <c r="AE79" s="159">
        <v>43.8</v>
      </c>
      <c r="AF79" s="162">
        <v>2.41</v>
      </c>
      <c r="AG79" s="174"/>
      <c r="AH79" s="174">
        <f t="shared" si="9"/>
        <v>1.2448132780082988</v>
      </c>
      <c r="AI79" s="174"/>
      <c r="AJ79" s="177"/>
      <c r="AK79" s="174">
        <f>(($AK$2+Y79*Лист1!$B$7^2*Лист1!$G$8/100)/(AA79/10^6)+$AK$3/(AE79/10^6))/1000/($Q79*IF(Лист1!$J$19="да",1/1.05,1))</f>
        <v>0.59104037956198108</v>
      </c>
      <c r="AM79" s="177"/>
      <c r="AN79" s="174">
        <f>(($AK$2+Y79*Лист1!$B$7^2*Лист1!$G$8/100)/(AA79/10^6)+$AK$3/(AE79/10^6))/1000/($Q79*IF(Лист1!$J$19="да",1/1.05,1))</f>
        <v>0.59104037956198108</v>
      </c>
      <c r="AP79" s="177"/>
      <c r="AQ79" s="174">
        <f>MAX((5/384*($AQ$2+$Y79/100)*$D$17^4/(2.06*10^8*$Z79/10^8))/($D$17/300)*INDEX(Лист1!$L$34:$L$38,MATCH(Лист1!$B$8,Лист1!$I$34:$I$38,0),1),(5/384*($AQ$3)*$D$17^4/(2.06*10^8*$AD79/10^8))/($D$17/200))</f>
        <v>2.0042184971329275</v>
      </c>
      <c r="AR79" s="174"/>
      <c r="AS79" s="175"/>
      <c r="AT79" s="174">
        <f>MAX((5/384*($AT$2+$Y79/100)*$D$17^4/(2.06*10^8*$Z79/10^8))/($D$17/300)*INDEX(Лист1!$L$34:$L$38,MATCH(Лист1!$B$8,Лист1!$I$34:$I$38,0),1),(5/384*($AT$3)*$D$17^4/(2.06*10^8*$AD79/10^8))/($D$17/200))</f>
        <v>1.1929872006743618</v>
      </c>
      <c r="AU79" s="174"/>
      <c r="AV79" s="174">
        <f>IF(OR(MAX(AH79,AQ79)&gt;1,AK79&gt;Лист1!$B$20,N79="-"),999999999,Y79*Лист1!$B$7+0.0001*O79)</f>
        <v>999999999</v>
      </c>
      <c r="AW79" s="174"/>
      <c r="AX79" s="174">
        <f>IF(OR(MAX(AH79,AT79)&gt;1,AN79&gt;Лист1!$B$20,N79="-"),999999999,Y79*Лист1!$B$7+0.0001*O79)</f>
        <v>999999999</v>
      </c>
    </row>
    <row r="80" spans="14:50" ht="16.5" thickBot="1" x14ac:dyDescent="0.3">
      <c r="N80" t="s">
        <v>344</v>
      </c>
      <c r="O80">
        <f t="shared" si="8"/>
        <v>77</v>
      </c>
      <c r="P80" s="179" t="s">
        <v>297</v>
      </c>
      <c r="Q80" s="1">
        <v>240</v>
      </c>
      <c r="R80" s="154" t="s">
        <v>226</v>
      </c>
      <c r="S80" s="157">
        <v>140</v>
      </c>
      <c r="T80" s="157">
        <v>140</v>
      </c>
      <c r="X80" s="148">
        <v>14.2</v>
      </c>
      <c r="Y80" s="149">
        <v>11.1</v>
      </c>
      <c r="Z80" s="149">
        <v>404.2</v>
      </c>
      <c r="AA80" s="150">
        <v>57.7</v>
      </c>
      <c r="AC80" s="151">
        <v>5.31</v>
      </c>
      <c r="AD80" s="152">
        <v>241.2</v>
      </c>
      <c r="AE80" s="150">
        <v>48.2</v>
      </c>
      <c r="AF80" s="153">
        <v>4.0999999999999996</v>
      </c>
      <c r="AG80" s="174"/>
      <c r="AH80" s="174">
        <f t="shared" si="9"/>
        <v>0.73170731707317072</v>
      </c>
      <c r="AI80" s="174"/>
      <c r="AJ80" s="146"/>
      <c r="AK80" s="174">
        <f>(($AK$2+Y80*Лист1!$B$7^2*Лист1!$G$8/100)/(AA80/10^6)+$AK$3/(AE80/10^6))/1000/($Q80*IF(Лист1!$J$19="да",1/1.05,1))</f>
        <v>0.57864203187081431</v>
      </c>
      <c r="AM80" s="146"/>
      <c r="AN80" s="174">
        <f>(($AK$2+Y80*Лист1!$B$7^2*Лист1!$G$8/100)/(AA80/10^6)+$AK$3/(AE80/10^6))/1000/($Q80*IF(Лист1!$J$19="да",1/1.05,1))</f>
        <v>0.57864203187081431</v>
      </c>
      <c r="AP80" s="146"/>
      <c r="AQ80" s="174">
        <f>MAX((5/384*($AQ$2+$Y80/100)*$D$17^4/(2.06*10^8*$Z80/10^8))/($D$17/300)*INDEX(Лист1!$L$34:$L$38,MATCH(Лист1!$B$8,Лист1!$I$34:$I$38,0),1),(5/384*($AQ$3)*$D$17^4/(2.06*10^8*$AD80/10^8))/($D$17/200))</f>
        <v>1.0910194389450809</v>
      </c>
      <c r="AR80" s="174"/>
      <c r="AS80" s="175"/>
      <c r="AT80" s="174">
        <f>MAX((5/384*($AT$2+$Y80/100)*$D$17^4/(2.06*10^8*$Z80/10^8))/($D$17/300)*INDEX(Лист1!$L$34:$L$38,MATCH(Лист1!$B$8,Лист1!$I$34:$I$38,0),1),(5/384*($AT$3)*$D$17^4/(2.06*10^8*$AD80/10^8))/($D$17/200))</f>
        <v>0.64941633270540522</v>
      </c>
      <c r="AU80" s="174"/>
      <c r="AV80" s="174">
        <f>IF(OR(MAX(AH80,AQ80)&gt;1,AK80&gt;Лист1!$B$20,N80="-"),999999999,Y80*Лист1!$B$7+0.0001*O80)</f>
        <v>999999999</v>
      </c>
      <c r="AW80" s="174"/>
      <c r="AX80" s="174">
        <f>IF(OR(MAX(AH80,AT80)&gt;1,AN80&gt;Лист1!$B$20,N80="-"),999999999,Y80*Лист1!$B$7+0.0001*O80)</f>
        <v>999999999</v>
      </c>
    </row>
    <row r="81" spans="14:50" ht="16.5" thickBot="1" x14ac:dyDescent="0.3">
      <c r="O81">
        <f t="shared" si="8"/>
        <v>78</v>
      </c>
      <c r="P81" s="179" t="s">
        <v>297</v>
      </c>
      <c r="Q81" s="1">
        <v>240</v>
      </c>
      <c r="R81" s="154" t="s">
        <v>227</v>
      </c>
      <c r="S81" s="157">
        <v>140</v>
      </c>
      <c r="T81" s="157">
        <v>140</v>
      </c>
      <c r="X81" s="148">
        <v>18.5</v>
      </c>
      <c r="Y81" s="149">
        <v>14.5</v>
      </c>
      <c r="Z81" s="149">
        <v>511.3</v>
      </c>
      <c r="AA81" s="150">
        <v>73</v>
      </c>
      <c r="AC81" s="151">
        <v>5.26</v>
      </c>
      <c r="AD81" s="152">
        <v>304.3</v>
      </c>
      <c r="AE81" s="150">
        <v>60.9</v>
      </c>
      <c r="AF81" s="153">
        <v>4.05</v>
      </c>
      <c r="AG81" s="174"/>
      <c r="AH81" s="174">
        <f t="shared" si="9"/>
        <v>0.74074074074074081</v>
      </c>
      <c r="AI81" s="174"/>
      <c r="AJ81" s="146"/>
      <c r="AK81" s="174">
        <f>(($AK$2+Y81*Лист1!$B$7^2*Лист1!$G$8/100)/(AA81/10^6)+$AK$3/(AE81/10^6))/1000/($Q81*IF(Лист1!$J$19="да",1/1.05,1))</f>
        <v>0.46649168881337744</v>
      </c>
      <c r="AM81" s="146"/>
      <c r="AN81" s="174">
        <f>(($AK$2+Y81*Лист1!$B$7^2*Лист1!$G$8/100)/(AA81/10^6)+$AK$3/(AE81/10^6))/1000/($Q81*IF(Лист1!$J$19="да",1/1.05,1))</f>
        <v>0.46649168881337744</v>
      </c>
      <c r="AP81" s="146"/>
      <c r="AQ81" s="174">
        <f>MAX((5/384*($AQ$2+$Y81/100)*$D$17^4/(2.06*10^8*$Z81/10^8))/($D$17/300)*INDEX(Лист1!$L$34:$L$38,MATCH(Лист1!$B$8,Лист1!$I$34:$I$38,0),1),(5/384*($AQ$3)*$D$17^4/(2.06*10^8*$AD81/10^8))/($D$17/200))</f>
        <v>0.86478438604519714</v>
      </c>
      <c r="AR81" s="174"/>
      <c r="AS81" s="175"/>
      <c r="AT81" s="174">
        <f>MAX((5/384*($AT$2+$Y81/100)*$D$17^4/(2.06*10^8*$Z81/10^8))/($D$17/300)*INDEX(Лист1!$L$34:$L$38,MATCH(Лист1!$B$8,Лист1!$I$34:$I$38,0),1),(5/384*($AT$3)*$D$17^4/(2.06*10^8*$AD81/10^8))/($D$17/200))</f>
        <v>0.51475261074118883</v>
      </c>
      <c r="AU81" s="174"/>
      <c r="AV81" s="174">
        <f>IF(OR(MAX(AH81,AQ81)&gt;1,AK81&gt;Лист1!$B$20,N81="-"),999999999,Y81*Лист1!$B$7+0.0001*O81)</f>
        <v>87.007800000000003</v>
      </c>
      <c r="AW81" s="174"/>
      <c r="AX81" s="174">
        <f>IF(OR(MAX(AH81,AT81)&gt;1,AN81&gt;Лист1!$B$20,N81="-"),999999999,Y81*Лист1!$B$7+0.0001*O81)</f>
        <v>87.007800000000003</v>
      </c>
    </row>
    <row r="82" spans="14:50" ht="16.5" thickBot="1" x14ac:dyDescent="0.3">
      <c r="O82">
        <f t="shared" si="8"/>
        <v>79</v>
      </c>
      <c r="P82" s="179" t="s">
        <v>297</v>
      </c>
      <c r="Q82" s="1">
        <v>240</v>
      </c>
      <c r="R82" s="154" t="s">
        <v>228</v>
      </c>
      <c r="S82" s="157">
        <v>140</v>
      </c>
      <c r="T82" s="157">
        <v>140</v>
      </c>
      <c r="X82" s="148">
        <v>22.9</v>
      </c>
      <c r="Y82" s="149">
        <v>18</v>
      </c>
      <c r="Z82" s="149">
        <v>619.70000000000005</v>
      </c>
      <c r="AA82" s="150">
        <v>88.5</v>
      </c>
      <c r="AC82" s="151">
        <v>5.2</v>
      </c>
      <c r="AD82" s="152">
        <v>368</v>
      </c>
      <c r="AE82" s="150">
        <v>73.599999999999994</v>
      </c>
      <c r="AF82" s="153">
        <v>4.01</v>
      </c>
      <c r="AG82" s="174"/>
      <c r="AH82" s="174">
        <f t="shared" si="9"/>
        <v>0.74812967581047385</v>
      </c>
      <c r="AI82" s="174"/>
      <c r="AJ82" s="146"/>
      <c r="AK82" s="174">
        <f>(($AK$2+Y82*Лист1!$B$7^2*Лист1!$G$8/100)/(AA82/10^6)+$AK$3/(AE82/10^6))/1000/($Q82*IF(Лист1!$J$19="да",1/1.05,1))</f>
        <v>0.39297257760212229</v>
      </c>
      <c r="AM82" s="146"/>
      <c r="AN82" s="174">
        <f>(($AK$2+Y82*Лист1!$B$7^2*Лист1!$G$8/100)/(AA82/10^6)+$AK$3/(AE82/10^6))/1000/($Q82*IF(Лист1!$J$19="да",1/1.05,1))</f>
        <v>0.39297257760212229</v>
      </c>
      <c r="AP82" s="146"/>
      <c r="AQ82" s="174">
        <f>MAX((5/384*($AQ$2+$Y82/100)*$D$17^4/(2.06*10^8*$Z82/10^8))/($D$17/300)*INDEX(Лист1!$L$34:$L$38,MATCH(Лист1!$B$8,Лист1!$I$34:$I$38,0),1),(5/384*($AQ$3)*$D$17^4/(2.06*10^8*$AD82/10^8))/($D$17/200))</f>
        <v>0.71509208878683006</v>
      </c>
      <c r="AR82" s="174"/>
      <c r="AS82" s="175"/>
      <c r="AT82" s="174">
        <f>MAX((5/384*($AT$2+$Y82/100)*$D$17^4/(2.06*10^8*$Z82/10^8))/($D$17/300)*INDEX(Лист1!$L$34:$L$38,MATCH(Лист1!$B$8,Лист1!$I$34:$I$38,0),1),(5/384*($AT$3)*$D$17^4/(2.06*10^8*$AD82/10^8))/($D$17/200))</f>
        <v>0.42565005284930363</v>
      </c>
      <c r="AU82" s="174"/>
      <c r="AV82" s="174">
        <f>IF(OR(MAX(AH82,AQ82)&gt;1,AK82&gt;Лист1!$B$20,N82="-"),999999999,Y82*Лист1!$B$7+0.0001*O82)</f>
        <v>108.00790000000001</v>
      </c>
      <c r="AW82" s="174"/>
      <c r="AX82" s="174">
        <f>IF(OR(MAX(AH82,AT82)&gt;1,AN82&gt;Лист1!$B$20,N82="-"),999999999,Y82*Лист1!$B$7+0.0001*O82)</f>
        <v>108.00790000000001</v>
      </c>
    </row>
    <row r="83" spans="14:50" ht="16.5" thickBot="1" x14ac:dyDescent="0.3">
      <c r="O83">
        <f t="shared" si="8"/>
        <v>80</v>
      </c>
      <c r="P83" s="179" t="s">
        <v>297</v>
      </c>
      <c r="Q83" s="1">
        <v>240</v>
      </c>
      <c r="R83" s="154" t="s">
        <v>229</v>
      </c>
      <c r="S83" s="157">
        <v>140</v>
      </c>
      <c r="T83" s="157">
        <v>140</v>
      </c>
      <c r="X83" s="148">
        <v>27.4</v>
      </c>
      <c r="Y83" s="149">
        <v>21.5</v>
      </c>
      <c r="Z83" s="149">
        <v>729.2</v>
      </c>
      <c r="AA83" s="150">
        <v>104.2</v>
      </c>
      <c r="AC83" s="151">
        <v>5.16</v>
      </c>
      <c r="AD83" s="152">
        <v>432.4</v>
      </c>
      <c r="AE83" s="150">
        <v>86.5</v>
      </c>
      <c r="AF83" s="153">
        <v>3.97</v>
      </c>
      <c r="AG83" s="174"/>
      <c r="AH83" s="174">
        <f t="shared" si="9"/>
        <v>0.75566750629722923</v>
      </c>
      <c r="AI83" s="174"/>
      <c r="AJ83" s="146"/>
      <c r="AK83" s="174">
        <f>(($AK$2+Y83*Лист1!$B$7^2*Лист1!$G$8/100)/(AA83/10^6)+$AK$3/(AE83/10^6))/1000/($Q83*IF(Лист1!$J$19="да",1/1.05,1))</f>
        <v>0.34043849001496151</v>
      </c>
      <c r="AM83" s="146"/>
      <c r="AN83" s="174">
        <f>(($AK$2+Y83*Лист1!$B$7^2*Лист1!$G$8/100)/(AA83/10^6)+$AK$3/(AE83/10^6))/1000/($Q83*IF(Лист1!$J$19="да",1/1.05,1))</f>
        <v>0.34043849001496151</v>
      </c>
      <c r="AP83" s="146"/>
      <c r="AQ83" s="174">
        <f>MAX((5/384*($AQ$2+$Y83/100)*$D$17^4/(2.06*10^8*$Z83/10^8))/($D$17/300)*INDEX(Лист1!$L$34:$L$38,MATCH(Лист1!$B$8,Лист1!$I$34:$I$38,0),1),(5/384*($AQ$3)*$D$17^4/(2.06*10^8*$AD83/10^8))/($D$17/200))</f>
        <v>0.60858901173347246</v>
      </c>
      <c r="AR83" s="174"/>
      <c r="AS83" s="175"/>
      <c r="AT83" s="174">
        <f>MAX((5/384*($AT$2+$Y83/100)*$D$17^4/(2.06*10^8*$Z83/10^8))/($D$17/300)*INDEX(Лист1!$L$34:$L$38,MATCH(Лист1!$B$8,Лист1!$I$34:$I$38,0),1),(5/384*($AT$3)*$D$17^4/(2.06*10^8*$AD83/10^8))/($D$17/200))</f>
        <v>0.36225536412706694</v>
      </c>
      <c r="AU83" s="174"/>
      <c r="AV83" s="174">
        <f>IF(OR(MAX(AH83,AQ83)&gt;1,AK83&gt;Лист1!$B$20,N83="-"),999999999,Y83*Лист1!$B$7+0.0001*O83)</f>
        <v>129.00800000000001</v>
      </c>
      <c r="AW83" s="174"/>
      <c r="AX83" s="174">
        <f>IF(OR(MAX(AH83,AT83)&gt;1,AN83&gt;Лист1!$B$20,N83="-"),999999999,Y83*Лист1!$B$7+0.0001*O83)</f>
        <v>129.00800000000001</v>
      </c>
    </row>
    <row r="84" spans="14:50" ht="16.5" thickBot="1" x14ac:dyDescent="0.3">
      <c r="N84" t="s">
        <v>344</v>
      </c>
      <c r="O84">
        <f t="shared" si="8"/>
        <v>81</v>
      </c>
      <c r="P84" s="179" t="s">
        <v>297</v>
      </c>
      <c r="Q84" s="1">
        <v>240</v>
      </c>
      <c r="R84" s="154" t="s">
        <v>230</v>
      </c>
      <c r="S84" s="157">
        <v>140</v>
      </c>
      <c r="T84" s="157">
        <v>140</v>
      </c>
      <c r="X84" s="155">
        <v>32</v>
      </c>
      <c r="Y84" s="149">
        <v>25.1</v>
      </c>
      <c r="Z84" s="149">
        <v>839.8</v>
      </c>
      <c r="AA84" s="150">
        <v>120</v>
      </c>
      <c r="AC84" s="151">
        <v>5.1100000000000003</v>
      </c>
      <c r="AD84" s="152">
        <v>497.5</v>
      </c>
      <c r="AE84" s="150">
        <v>99.5</v>
      </c>
      <c r="AF84" s="153">
        <v>3.92</v>
      </c>
      <c r="AG84" s="174"/>
      <c r="AH84" s="174">
        <f t="shared" si="9"/>
        <v>0.76530612244897966</v>
      </c>
      <c r="AI84" s="174"/>
      <c r="AJ84" s="146"/>
      <c r="AK84" s="174">
        <f>(($AK$2+Y84*Лист1!$B$7^2*Лист1!$G$8/100)/(AA84/10^6)+$AK$3/(AE84/10^6))/1000/($Q84*IF(Лист1!$J$19="да",1/1.05,1))</f>
        <v>0.30145078874958797</v>
      </c>
      <c r="AM84" s="146"/>
      <c r="AN84" s="174">
        <f>(($AK$2+Y84*Лист1!$B$7^2*Лист1!$G$8/100)/(AA84/10^6)+$AK$3/(AE84/10^6))/1000/($Q84*IF(Лист1!$J$19="да",1/1.05,1))</f>
        <v>0.30145078874958797</v>
      </c>
      <c r="AP84" s="146"/>
      <c r="AQ84" s="174">
        <f>MAX((5/384*($AQ$2+$Y84/100)*$D$17^4/(2.06*10^8*$Z84/10^8))/($D$17/300)*INDEX(Лист1!$L$34:$L$38,MATCH(Лист1!$B$8,Лист1!$I$34:$I$38,0),1),(5/384*($AQ$3)*$D$17^4/(2.06*10^8*$AD84/10^8))/($D$17/200))</f>
        <v>0.52895254004734371</v>
      </c>
      <c r="AR84" s="174"/>
      <c r="AS84" s="175"/>
      <c r="AT84" s="174">
        <f>MAX((5/384*($AT$2+$Y84/100)*$D$17^4/(2.06*10^8*$Z84/10^8))/($D$17/300)*INDEX(Лист1!$L$34:$L$38,MATCH(Лист1!$B$8,Лист1!$I$34:$I$38,0),1),(5/384*($AT$3)*$D$17^4/(2.06*10^8*$AD84/10^8))/($D$17/200))</f>
        <v>0.31485270240913321</v>
      </c>
      <c r="AU84" s="174"/>
      <c r="AV84" s="174">
        <f>IF(OR(MAX(AH84,AQ84)&gt;1,AK84&gt;Лист1!$B$20,N84="-"),999999999,Y84*Лист1!$B$7+0.0001*O84)</f>
        <v>999999999</v>
      </c>
      <c r="AW84" s="174"/>
      <c r="AX84" s="174">
        <f>IF(OR(MAX(AH84,AT84)&gt;1,AN84&gt;Лист1!$B$20,N84="-"),999999999,Y84*Лист1!$B$7+0.0001*O84)</f>
        <v>999999999</v>
      </c>
    </row>
    <row r="85" spans="14:50" ht="16.5" thickBot="1" x14ac:dyDescent="0.3">
      <c r="N85" t="s">
        <v>344</v>
      </c>
      <c r="O85">
        <f t="shared" si="8"/>
        <v>82</v>
      </c>
      <c r="P85" s="179" t="s">
        <v>297</v>
      </c>
      <c r="Q85" s="1">
        <v>240</v>
      </c>
      <c r="R85" s="154" t="s">
        <v>231</v>
      </c>
      <c r="S85" s="148">
        <v>160</v>
      </c>
      <c r="T85" s="148">
        <v>160</v>
      </c>
      <c r="X85" s="148">
        <v>13.9</v>
      </c>
      <c r="Y85" s="149">
        <v>10.9</v>
      </c>
      <c r="Z85" s="149">
        <v>455</v>
      </c>
      <c r="AA85" s="150">
        <v>56.9</v>
      </c>
      <c r="AC85" s="151">
        <v>5.7</v>
      </c>
      <c r="AD85" s="152">
        <v>155.19999999999999</v>
      </c>
      <c r="AE85" s="150">
        <v>38.799999999999997</v>
      </c>
      <c r="AF85" s="153">
        <v>3.34</v>
      </c>
      <c r="AG85" s="174"/>
      <c r="AH85" s="174">
        <f t="shared" si="9"/>
        <v>0.89820359281437134</v>
      </c>
      <c r="AI85" s="174"/>
      <c r="AJ85" s="146"/>
      <c r="AK85" s="174">
        <f>(($AK$2+Y85*Лист1!$B$7^2*Лист1!$G$8/100)/(AA85/10^6)+$AK$3/(AE85/10^6))/1000/($Q85*IF(Лист1!$J$19="да",1/1.05,1))</f>
        <v>0.67167250839451109</v>
      </c>
      <c r="AM85" s="146"/>
      <c r="AN85" s="174">
        <f>(($AK$2+Y85*Лист1!$B$7^2*Лист1!$G$8/100)/(AA85/10^6)+$AK$3/(AE85/10^6))/1000/($Q85*IF(Лист1!$J$19="да",1/1.05,1))</f>
        <v>0.67167250839451109</v>
      </c>
      <c r="AP85" s="146"/>
      <c r="AQ85" s="174">
        <f>MAX((5/384*($AQ$2+$Y85/100)*$D$17^4/(2.06*10^8*$Z85/10^8))/($D$17/300)*INDEX(Лист1!$L$34:$L$38,MATCH(Лист1!$B$8,Лист1!$I$34:$I$38,0),1),(5/384*($AQ$3)*$D$17^4/(2.06*10^8*$AD85/10^8))/($D$17/200))</f>
        <v>1.6955791795976385</v>
      </c>
      <c r="AR85" s="174"/>
      <c r="AS85" s="175"/>
      <c r="AT85" s="174">
        <f>MAX((5/384*($AT$2+$Y85/100)*$D$17^4/(2.06*10^8*$Z85/10^8))/($D$17/300)*INDEX(Лист1!$L$34:$L$38,MATCH(Лист1!$B$8,Лист1!$I$34:$I$38,0),1),(5/384*($AT$3)*$D$17^4/(2.06*10^8*$AD85/10^8))/($D$17/200))</f>
        <v>1.0092733211890705</v>
      </c>
      <c r="AU85" s="174"/>
      <c r="AV85" s="174">
        <f>IF(OR(MAX(AH85,AQ85)&gt;1,AK85&gt;Лист1!$B$20,N85="-"),999999999,Y85*Лист1!$B$7+0.0001*O85)</f>
        <v>999999999</v>
      </c>
      <c r="AW85" s="174"/>
      <c r="AX85" s="174">
        <f>IF(OR(MAX(AH85,AT85)&gt;1,AN85&gt;Лист1!$B$20,N85="-"),999999999,Y85*Лист1!$B$7+0.0001*O85)</f>
        <v>999999999</v>
      </c>
    </row>
    <row r="86" spans="14:50" ht="16.5" thickBot="1" x14ac:dyDescent="0.3">
      <c r="O86">
        <f t="shared" si="8"/>
        <v>83</v>
      </c>
      <c r="P86" s="179" t="s">
        <v>297</v>
      </c>
      <c r="Q86" s="1">
        <v>240</v>
      </c>
      <c r="R86" s="154" t="s">
        <v>232</v>
      </c>
      <c r="S86" s="148">
        <v>160</v>
      </c>
      <c r="T86" s="148">
        <v>160</v>
      </c>
      <c r="X86" s="148">
        <v>18.5</v>
      </c>
      <c r="Y86" s="149">
        <v>14.5</v>
      </c>
      <c r="Z86" s="149">
        <v>606.70000000000005</v>
      </c>
      <c r="AA86" s="150">
        <v>75.8</v>
      </c>
      <c r="AC86" s="151">
        <v>5.73</v>
      </c>
      <c r="AD86" s="152">
        <v>206.9</v>
      </c>
      <c r="AE86" s="150">
        <v>51.7</v>
      </c>
      <c r="AF86" s="153">
        <v>3.34</v>
      </c>
      <c r="AG86" s="174"/>
      <c r="AH86" s="174">
        <f t="shared" si="9"/>
        <v>0.89820359281437134</v>
      </c>
      <c r="AI86" s="174"/>
      <c r="AJ86" s="146"/>
      <c r="AK86" s="174">
        <f>(($AK$2+Y86*Лист1!$B$7^2*Лист1!$G$8/100)/(AA86/10^6)+$AK$3/(AE86/10^6))/1000/($Q86*IF(Лист1!$J$19="да",1/1.05,1))</f>
        <v>0.51302045032312127</v>
      </c>
      <c r="AM86" s="146"/>
      <c r="AN86" s="174">
        <f>(($AK$2+Y86*Лист1!$B$7^2*Лист1!$G$8/100)/(AA86/10^6)+$AK$3/(AE86/10^6))/1000/($Q86*IF(Лист1!$J$19="да",1/1.05,1))</f>
        <v>0.51302045032312127</v>
      </c>
      <c r="AP86" s="146"/>
      <c r="AQ86" s="174">
        <f>MAX((5/384*($AQ$2+$Y86/100)*$D$17^4/(2.06*10^8*$Z86/10^8))/($D$17/300)*INDEX(Лист1!$L$34:$L$38,MATCH(Лист1!$B$8,Лист1!$I$34:$I$38,0),1),(5/384*($AQ$3)*$D$17^4/(2.06*10^8*$AD86/10^8))/($D$17/200))</f>
        <v>1.271889263767779</v>
      </c>
      <c r="AR86" s="174"/>
      <c r="AS86" s="175"/>
      <c r="AT86" s="174">
        <f>MAX((5/384*($AT$2+$Y86/100)*$D$17^4/(2.06*10^8*$Z86/10^8))/($D$17/300)*INDEX(Лист1!$L$34:$L$38,MATCH(Лист1!$B$8,Лист1!$I$34:$I$38,0),1),(5/384*($AT$3)*$D$17^4/(2.06*10^8*$AD86/10^8))/($D$17/200))</f>
        <v>0.75707694271891612</v>
      </c>
      <c r="AU86" s="174"/>
      <c r="AV86" s="174">
        <f>IF(OR(MAX(AH86,AQ86)&gt;1,AK86&gt;Лист1!$B$20,N86="-"),999999999,Y86*Лист1!$B$7+0.0001*O86)</f>
        <v>999999999</v>
      </c>
      <c r="AW86" s="174"/>
      <c r="AX86" s="174">
        <f>IF(OR(MAX(AH86,AT86)&gt;1,AN86&gt;Лист1!$B$20,N86="-"),999999999,Y86*Лист1!$B$7+0.0001*O86)</f>
        <v>87.008300000000006</v>
      </c>
    </row>
    <row r="87" spans="14:50" ht="16.5" thickBot="1" x14ac:dyDescent="0.3">
      <c r="O87">
        <f t="shared" si="8"/>
        <v>84</v>
      </c>
      <c r="P87" s="179" t="s">
        <v>297</v>
      </c>
      <c r="Q87" s="1">
        <v>240</v>
      </c>
      <c r="R87" s="154" t="s">
        <v>233</v>
      </c>
      <c r="S87" s="148">
        <v>160</v>
      </c>
      <c r="T87" s="148">
        <v>160</v>
      </c>
      <c r="X87" s="148">
        <v>22.9</v>
      </c>
      <c r="Y87" s="149">
        <v>18</v>
      </c>
      <c r="Z87" s="149">
        <v>735.9</v>
      </c>
      <c r="AA87" s="150">
        <v>92</v>
      </c>
      <c r="AC87" s="151">
        <v>5.67</v>
      </c>
      <c r="AD87" s="152">
        <v>248.7</v>
      </c>
      <c r="AE87" s="150">
        <v>62.2</v>
      </c>
      <c r="AF87" s="153">
        <v>3.29</v>
      </c>
      <c r="AG87" s="174"/>
      <c r="AH87" s="174">
        <f t="shared" si="9"/>
        <v>0.91185410334346495</v>
      </c>
      <c r="AI87" s="174"/>
      <c r="AJ87" s="146"/>
      <c r="AK87" s="174">
        <f>(($AK$2+Y87*Лист1!$B$7^2*Лист1!$G$8/100)/(AA87/10^6)+$AK$3/(AE87/10^6))/1000/($Q87*IF(Лист1!$J$19="да",1/1.05,1))</f>
        <v>0.43236069354007545</v>
      </c>
      <c r="AM87" s="146"/>
      <c r="AN87" s="174">
        <f>(($AK$2+Y87*Лист1!$B$7^2*Лист1!$G$8/100)/(AA87/10^6)+$AK$3/(AE87/10^6))/1000/($Q87*IF(Лист1!$J$19="да",1/1.05,1))</f>
        <v>0.43236069354007545</v>
      </c>
      <c r="AP87" s="146"/>
      <c r="AQ87" s="174">
        <f>MAX((5/384*($AQ$2+$Y87/100)*$D$17^4/(2.06*10^8*$Z87/10^8))/($D$17/300)*INDEX(Лист1!$L$34:$L$38,MATCH(Лист1!$B$8,Лист1!$I$34:$I$38,0),1),(5/384*($AQ$3)*$D$17^4/(2.06*10^8*$AD87/10^8))/($D$17/200))</f>
        <v>1.0581177670830457</v>
      </c>
      <c r="AR87" s="174"/>
      <c r="AS87" s="175"/>
      <c r="AT87" s="174">
        <f>MAX((5/384*($AT$2+$Y87/100)*$D$17^4/(2.06*10^8*$Z87/10^8))/($D$17/300)*INDEX(Лист1!$L$34:$L$38,MATCH(Лист1!$B$8,Лист1!$I$34:$I$38,0),1),(5/384*($AT$3)*$D$17^4/(2.06*10^8*$AD87/10^8))/($D$17/200))</f>
        <v>0.62983200421609864</v>
      </c>
      <c r="AU87" s="174"/>
      <c r="AV87" s="174">
        <f>IF(OR(MAX(AH87,AQ87)&gt;1,AK87&gt;Лист1!$B$20,N87="-"),999999999,Y87*Лист1!$B$7+0.0001*O87)</f>
        <v>999999999</v>
      </c>
      <c r="AW87" s="174"/>
      <c r="AX87" s="174">
        <f>IF(OR(MAX(AH87,AT87)&gt;1,AN87&gt;Лист1!$B$20,N87="-"),999999999,Y87*Лист1!$B$7+0.0001*O87)</f>
        <v>108.00839999999999</v>
      </c>
    </row>
    <row r="88" spans="14:50" ht="16.5" thickBot="1" x14ac:dyDescent="0.3">
      <c r="O88">
        <f t="shared" si="8"/>
        <v>85</v>
      </c>
      <c r="P88" s="179" t="s">
        <v>297</v>
      </c>
      <c r="Q88" s="1">
        <v>240</v>
      </c>
      <c r="R88" s="154" t="s">
        <v>234</v>
      </c>
      <c r="S88" s="148">
        <v>160</v>
      </c>
      <c r="T88" s="148">
        <v>160</v>
      </c>
      <c r="X88" s="148">
        <v>27.4</v>
      </c>
      <c r="Y88" s="149">
        <v>21.5</v>
      </c>
      <c r="Z88" s="149">
        <v>864.7</v>
      </c>
      <c r="AA88" s="150">
        <v>108.1</v>
      </c>
      <c r="AC88" s="151">
        <v>5.62</v>
      </c>
      <c r="AD88" s="152">
        <v>280.7</v>
      </c>
      <c r="AE88" s="150">
        <v>72.7</v>
      </c>
      <c r="AF88" s="153">
        <v>3.26</v>
      </c>
      <c r="AG88" s="174"/>
      <c r="AH88" s="174">
        <f t="shared" si="9"/>
        <v>0.92024539877300626</v>
      </c>
      <c r="AI88" s="174"/>
      <c r="AJ88" s="146"/>
      <c r="AK88" s="174">
        <f>(($AK$2+Y88*Лист1!$B$7^2*Лист1!$G$8/100)/(AA88/10^6)+$AK$3/(AE88/10^6))/1000/($Q88*IF(Лист1!$J$19="да",1/1.05,1))</f>
        <v>0.37534665969008646</v>
      </c>
      <c r="AM88" s="146"/>
      <c r="AN88" s="174">
        <f>(($AK$2+Y88*Лист1!$B$7^2*Лист1!$G$8/100)/(AA88/10^6)+$AK$3/(AE88/10^6))/1000/($Q88*IF(Лист1!$J$19="да",1/1.05,1))</f>
        <v>0.37534665969008646</v>
      </c>
      <c r="AP88" s="146"/>
      <c r="AQ88" s="174">
        <f>MAX((5/384*($AQ$2+$Y88/100)*$D$17^4/(2.06*10^8*$Z88/10^8))/($D$17/300)*INDEX(Лист1!$L$34:$L$38,MATCH(Лист1!$B$8,Лист1!$I$34:$I$38,0),1),(5/384*($AQ$3)*$D$17^4/(2.06*10^8*$AD88/10^8))/($D$17/200))</f>
        <v>0.93749158772195762</v>
      </c>
      <c r="AR88" s="174"/>
      <c r="AS88" s="175"/>
      <c r="AT88" s="174">
        <f>MAX((5/384*($AT$2+$Y88/100)*$D$17^4/(2.06*10^8*$Z88/10^8))/($D$17/300)*INDEX(Лист1!$L$34:$L$38,MATCH(Лист1!$B$8,Лист1!$I$34:$I$38,0),1),(5/384*($AT$3)*$D$17^4/(2.06*10^8*$AD88/10^8))/($D$17/200))</f>
        <v>0.55803070697735568</v>
      </c>
      <c r="AU88" s="174"/>
      <c r="AV88" s="174">
        <f>IF(OR(MAX(AH88,AQ88)&gt;1,AK88&gt;Лист1!$B$20,N88="-"),999999999,Y88*Лист1!$B$7+0.0001*O88)</f>
        <v>129.0085</v>
      </c>
      <c r="AW88" s="174"/>
      <c r="AX88" s="174">
        <f>IF(OR(MAX(AH88,AT88)&gt;1,AN88&gt;Лист1!$B$20,N88="-"),999999999,Y88*Лист1!$B$7+0.0001*O88)</f>
        <v>129.0085</v>
      </c>
    </row>
    <row r="89" spans="14:50" ht="16.5" thickBot="1" x14ac:dyDescent="0.3">
      <c r="O89">
        <f t="shared" si="8"/>
        <v>86</v>
      </c>
      <c r="P89" s="179" t="s">
        <v>297</v>
      </c>
      <c r="Q89" s="1">
        <v>240</v>
      </c>
      <c r="R89" s="154" t="s">
        <v>235</v>
      </c>
      <c r="S89" s="148">
        <v>160</v>
      </c>
      <c r="T89" s="148">
        <v>160</v>
      </c>
      <c r="X89" s="148">
        <v>21.6</v>
      </c>
      <c r="Y89" s="149">
        <v>17</v>
      </c>
      <c r="Z89" s="149">
        <v>799.2</v>
      </c>
      <c r="AA89" s="150">
        <v>99.9</v>
      </c>
      <c r="AC89" s="151">
        <v>6.08</v>
      </c>
      <c r="AD89" s="152">
        <v>514</v>
      </c>
      <c r="AE89" s="150">
        <v>85.7</v>
      </c>
      <c r="AF89" s="153">
        <v>4.88</v>
      </c>
      <c r="AG89" s="174"/>
      <c r="AH89" s="174">
        <f t="shared" si="9"/>
        <v>0.61475409836065575</v>
      </c>
      <c r="AI89" s="174"/>
      <c r="AJ89" s="146"/>
      <c r="AK89" s="174">
        <f>(($AK$2+Y89*Лист1!$B$7^2*Лист1!$G$8/100)/(AA89/10^6)+$AK$3/(AE89/10^6))/1000/($Q89*IF(Лист1!$J$19="да",1/1.05,1))</f>
        <v>0.3396043996765542</v>
      </c>
      <c r="AM89" s="146"/>
      <c r="AN89" s="174">
        <f>(($AK$2+Y89*Лист1!$B$7^2*Лист1!$G$8/100)/(AA89/10^6)+$AK$3/(AE89/10^6))/1000/($Q89*IF(Лист1!$J$19="да",1/1.05,1))</f>
        <v>0.3396043996765542</v>
      </c>
      <c r="AP89" s="146"/>
      <c r="AQ89" s="174">
        <f>MAX((5/384*($AQ$2+$Y89/100)*$D$17^4/(2.06*10^8*$Z89/10^8))/($D$17/300)*INDEX(Лист1!$L$34:$L$38,MATCH(Лист1!$B$8,Лист1!$I$34:$I$38,0),1),(5/384*($AQ$3)*$D$17^4/(2.06*10^8*$AD89/10^8))/($D$17/200))</f>
        <v>0.51197254605749709</v>
      </c>
      <c r="AR89" s="174"/>
      <c r="AS89" s="175"/>
      <c r="AT89" s="174">
        <f>MAX((5/384*($AT$2+$Y89/100)*$D$17^4/(2.06*10^8*$Z89/10^8))/($D$17/300)*INDEX(Лист1!$L$34:$L$38,MATCH(Лист1!$B$8,Лист1!$I$34:$I$38,0),1),(5/384*($AT$3)*$D$17^4/(2.06*10^8*$AD89/10^8))/($D$17/200))</f>
        <v>0.30474556312946255</v>
      </c>
      <c r="AU89" s="174"/>
      <c r="AV89" s="174">
        <f>IF(OR(MAX(AH89,AQ89)&gt;1,AK89&gt;Лист1!$B$20,N89="-"),999999999,Y89*Лист1!$B$7+0.0001*O89)</f>
        <v>102.0086</v>
      </c>
      <c r="AW89" s="174"/>
      <c r="AX89" s="174">
        <f>IF(OR(MAX(AH89,AT89)&gt;1,AN89&gt;Лист1!$B$20,N89="-"),999999999,Y89*Лист1!$B$7+0.0001*O89)</f>
        <v>102.0086</v>
      </c>
    </row>
    <row r="90" spans="14:50" ht="16.5" thickBot="1" x14ac:dyDescent="0.3">
      <c r="O90">
        <f t="shared" si="8"/>
        <v>87</v>
      </c>
      <c r="P90" s="179" t="s">
        <v>297</v>
      </c>
      <c r="Q90" s="1">
        <v>240</v>
      </c>
      <c r="R90" s="154" t="s">
        <v>236</v>
      </c>
      <c r="S90" s="148">
        <v>160</v>
      </c>
      <c r="T90" s="148">
        <v>160</v>
      </c>
      <c r="X90" s="148">
        <v>26.9</v>
      </c>
      <c r="Y90" s="149">
        <v>21.1</v>
      </c>
      <c r="Z90" s="149">
        <v>978.2</v>
      </c>
      <c r="AA90" s="150">
        <v>122.3</v>
      </c>
      <c r="AC90" s="151">
        <v>6.03</v>
      </c>
      <c r="AD90" s="152">
        <v>628.4</v>
      </c>
      <c r="AE90" s="150">
        <v>104.7</v>
      </c>
      <c r="AF90" s="153">
        <v>4.83</v>
      </c>
      <c r="AG90" s="174"/>
      <c r="AH90" s="174">
        <f t="shared" si="9"/>
        <v>0.62111801242236031</v>
      </c>
      <c r="AI90" s="174"/>
      <c r="AJ90" s="146"/>
      <c r="AK90" s="174">
        <f>(($AK$2+Y90*Лист1!$B$7^2*Лист1!$G$8/100)/(AA90/10^6)+$AK$3/(AE90/10^6))/1000/($Q90*IF(Лист1!$J$19="да",1/1.05,1))</f>
        <v>0.28404487754897756</v>
      </c>
      <c r="AM90" s="146"/>
      <c r="AN90" s="174">
        <f>(($AK$2+Y90*Лист1!$B$7^2*Лист1!$G$8/100)/(AA90/10^6)+$AK$3/(AE90/10^6))/1000/($Q90*IF(Лист1!$J$19="да",1/1.05,1))</f>
        <v>0.28404487754897756</v>
      </c>
      <c r="AP90" s="146"/>
      <c r="AQ90" s="174">
        <f>MAX((5/384*($AQ$2+$Y90/100)*$D$17^4/(2.06*10^8*$Z90/10^8))/($D$17/300)*INDEX(Лист1!$L$34:$L$38,MATCH(Лист1!$B$8,Лист1!$I$34:$I$38,0),1),(5/384*($AQ$3)*$D$17^4/(2.06*10^8*$AD90/10^8))/($D$17/200))</f>
        <v>0.41876812328700425</v>
      </c>
      <c r="AR90" s="174"/>
      <c r="AS90" s="175"/>
      <c r="AT90" s="174">
        <f>MAX((5/384*($AT$2+$Y90/100)*$D$17^4/(2.06*10^8*$Z90/10^8))/($D$17/300)*INDEX(Лист1!$L$34:$L$38,MATCH(Лист1!$B$8,Лист1!$I$34:$I$38,0),1),(5/384*($AT$3)*$D$17^4/(2.06*10^8*$AD90/10^8))/($D$17/200))</f>
        <v>0.24926674005178828</v>
      </c>
      <c r="AU90" s="174"/>
      <c r="AV90" s="174">
        <f>IF(OR(MAX(AH90,AQ90)&gt;1,AK90&gt;Лист1!$B$20,N90="-"),999999999,Y90*Лист1!$B$7+0.0001*O90)</f>
        <v>126.60870000000001</v>
      </c>
      <c r="AW90" s="174"/>
      <c r="AX90" s="174">
        <f>IF(OR(MAX(AH90,AT90)&gt;1,AN90&gt;Лист1!$B$20,N90="-"),999999999,Y90*Лист1!$B$7+0.0001*O90)</f>
        <v>126.60870000000001</v>
      </c>
    </row>
    <row r="91" spans="14:50" ht="16.5" thickBot="1" x14ac:dyDescent="0.3">
      <c r="O91">
        <f t="shared" si="8"/>
        <v>88</v>
      </c>
      <c r="P91" s="179" t="s">
        <v>297</v>
      </c>
      <c r="Q91" s="1">
        <v>240</v>
      </c>
      <c r="R91" s="154" t="s">
        <v>237</v>
      </c>
      <c r="S91" s="148">
        <v>160</v>
      </c>
      <c r="T91" s="148">
        <v>160</v>
      </c>
      <c r="X91" s="148">
        <v>32.1</v>
      </c>
      <c r="Y91" s="149">
        <v>25.2</v>
      </c>
      <c r="Z91" s="149">
        <v>1150.5</v>
      </c>
      <c r="AA91" s="150">
        <v>143.80000000000001</v>
      </c>
      <c r="AC91" s="151">
        <v>5.99</v>
      </c>
      <c r="AD91" s="152">
        <v>736.9</v>
      </c>
      <c r="AE91" s="150">
        <v>122.8</v>
      </c>
      <c r="AF91" s="153">
        <v>4.79</v>
      </c>
      <c r="AG91" s="174"/>
      <c r="AH91" s="174">
        <f t="shared" si="9"/>
        <v>0.62630480167014613</v>
      </c>
      <c r="AI91" s="174"/>
      <c r="AJ91" s="146"/>
      <c r="AK91" s="174">
        <f>(($AK$2+Y91*Лист1!$B$7^2*Лист1!$G$8/100)/(AA91/10^6)+$AK$3/(AE91/10^6))/1000/($Q91*IF(Лист1!$J$19="да",1/1.05,1))</f>
        <v>0.24728810775535257</v>
      </c>
      <c r="AM91" s="146"/>
      <c r="AN91" s="174">
        <f>(($AK$2+Y91*Лист1!$B$7^2*Лист1!$G$8/100)/(AA91/10^6)+$AK$3/(AE91/10^6))/1000/($Q91*IF(Лист1!$J$19="да",1/1.05,1))</f>
        <v>0.24728810775535257</v>
      </c>
      <c r="AP91" s="146"/>
      <c r="AQ91" s="174">
        <f>MAX((5/384*($AQ$2+$Y91/100)*$D$17^4/(2.06*10^8*$Z91/10^8))/($D$17/300)*INDEX(Лист1!$L$34:$L$38,MATCH(Лист1!$B$8,Лист1!$I$34:$I$38,0),1),(5/384*($AQ$3)*$D$17^4/(2.06*10^8*$AD91/10^8))/($D$17/200))</f>
        <v>0.35710936174997082</v>
      </c>
      <c r="AR91" s="174"/>
      <c r="AS91" s="175"/>
      <c r="AT91" s="174">
        <f>MAX((5/384*($AT$2+$Y91/100)*$D$17^4/(2.06*10^8*$Z91/10^8))/($D$17/300)*INDEX(Лист1!$L$34:$L$38,MATCH(Лист1!$B$8,Лист1!$I$34:$I$38,0),1),(5/384*($AT$3)*$D$17^4/(2.06*10^8*$AD91/10^8))/($D$17/200))</f>
        <v>0.21256509627974454</v>
      </c>
      <c r="AU91" s="174"/>
      <c r="AV91" s="174">
        <f>IF(OR(MAX(AH91,AQ91)&gt;1,AK91&gt;Лист1!$B$20,N91="-"),999999999,Y91*Лист1!$B$7+0.0001*O91)</f>
        <v>151.2088</v>
      </c>
      <c r="AW91" s="174"/>
      <c r="AX91" s="174">
        <f>IF(OR(MAX(AH91,AT91)&gt;1,AN91&gt;Лист1!$B$20,N91="-"),999999999,Y91*Лист1!$B$7+0.0001*O91)</f>
        <v>151.2088</v>
      </c>
    </row>
    <row r="92" spans="14:50" ht="16.5" thickBot="1" x14ac:dyDescent="0.3">
      <c r="O92">
        <f t="shared" si="8"/>
        <v>89</v>
      </c>
      <c r="P92" s="179" t="s">
        <v>297</v>
      </c>
      <c r="Q92" s="1">
        <v>240</v>
      </c>
      <c r="R92" s="154" t="s">
        <v>238</v>
      </c>
      <c r="S92" s="148">
        <v>160</v>
      </c>
      <c r="T92" s="148">
        <v>160</v>
      </c>
      <c r="X92" s="148">
        <v>37.200000000000003</v>
      </c>
      <c r="Y92" s="149">
        <v>29.2</v>
      </c>
      <c r="Z92" s="149">
        <v>1307.4000000000001</v>
      </c>
      <c r="AA92" s="150">
        <v>163.4</v>
      </c>
      <c r="AC92" s="151">
        <v>5.93</v>
      </c>
      <c r="AD92" s="152">
        <v>836.6</v>
      </c>
      <c r="AE92" s="150">
        <v>139.4</v>
      </c>
      <c r="AF92" s="153">
        <v>4.74</v>
      </c>
      <c r="AG92" s="174"/>
      <c r="AH92" s="174">
        <f t="shared" si="9"/>
        <v>0.63291139240506322</v>
      </c>
      <c r="AI92" s="174"/>
      <c r="AJ92" s="146"/>
      <c r="AK92" s="174">
        <f>(($AK$2+Y92*Лист1!$B$7^2*Лист1!$G$8/100)/(AA92/10^6)+$AK$3/(AE92/10^6))/1000/($Q92*IF(Лист1!$J$19="да",1/1.05,1))</f>
        <v>0.22234351619295253</v>
      </c>
      <c r="AM92" s="146"/>
      <c r="AN92" s="174">
        <f>(($AK$2+Y92*Лист1!$B$7^2*Лист1!$G$8/100)/(AA92/10^6)+$AK$3/(AE92/10^6))/1000/($Q92*IF(Лист1!$J$19="да",1/1.05,1))</f>
        <v>0.22234351619295253</v>
      </c>
      <c r="AP92" s="146"/>
      <c r="AQ92" s="174">
        <f>MAX((5/384*($AQ$2+$Y92/100)*$D$17^4/(2.06*10^8*$Z92/10^8))/($D$17/300)*INDEX(Лист1!$L$34:$L$38,MATCH(Лист1!$B$8,Лист1!$I$34:$I$38,0),1),(5/384*($AQ$3)*$D$17^4/(2.06*10^8*$AD92/10^8))/($D$17/200))</f>
        <v>0.31455162404201947</v>
      </c>
      <c r="AR92" s="174"/>
      <c r="AS92" s="175"/>
      <c r="AT92" s="174">
        <f>MAX((5/384*($AT$2+$Y92/100)*$D$17^4/(2.06*10^8*$Z92/10^8))/($D$17/300)*INDEX(Лист1!$L$34:$L$38,MATCH(Лист1!$B$8,Лист1!$I$34:$I$38,0),1),(5/384*($AT$3)*$D$17^4/(2.06*10^8*$AD92/10^8))/($D$17/200))</f>
        <v>0.18723310954882111</v>
      </c>
      <c r="AU92" s="174"/>
      <c r="AV92" s="174">
        <f>IF(OR(MAX(AH92,AQ92)&gt;1,AK92&gt;Лист1!$B$20,N92="-"),999999999,Y92*Лист1!$B$7+0.0001*O92)</f>
        <v>175.2089</v>
      </c>
      <c r="AW92" s="174"/>
      <c r="AX92" s="174">
        <f>IF(OR(MAX(AH92,AT92)&gt;1,AN92&gt;Лист1!$B$20,N92="-"),999999999,Y92*Лист1!$B$7+0.0001*O92)</f>
        <v>175.2089</v>
      </c>
    </row>
    <row r="93" spans="14:50" ht="16.5" thickBot="1" x14ac:dyDescent="0.3">
      <c r="O93">
        <f t="shared" si="8"/>
        <v>90</v>
      </c>
      <c r="P93" s="179" t="s">
        <v>297</v>
      </c>
      <c r="Q93" s="1">
        <v>240</v>
      </c>
      <c r="R93" s="154" t="s">
        <v>239</v>
      </c>
      <c r="S93" s="148">
        <v>160</v>
      </c>
      <c r="T93" s="148">
        <v>160</v>
      </c>
      <c r="X93" s="148">
        <v>42.3</v>
      </c>
      <c r="Y93" s="149">
        <v>33.200000000000003</v>
      </c>
      <c r="Z93" s="149">
        <v>1461</v>
      </c>
      <c r="AA93" s="150">
        <v>182.6</v>
      </c>
      <c r="AC93" s="151">
        <v>5.88</v>
      </c>
      <c r="AD93" s="152">
        <v>932.5</v>
      </c>
      <c r="AE93" s="150">
        <v>155.4</v>
      </c>
      <c r="AF93" s="153">
        <v>4.6900000000000004</v>
      </c>
      <c r="AG93" s="174"/>
      <c r="AH93" s="174">
        <f t="shared" si="9"/>
        <v>0.63965884861407252</v>
      </c>
      <c r="AI93" s="174"/>
      <c r="AJ93" s="146"/>
      <c r="AK93" s="174">
        <f>(($AK$2+Y93*Лист1!$B$7^2*Лист1!$G$8/100)/(AA93/10^6)+$AK$3/(AE93/10^6))/1000/($Q93*IF(Лист1!$J$19="да",1/1.05,1))</f>
        <v>0.20335550009549036</v>
      </c>
      <c r="AM93" s="146"/>
      <c r="AN93" s="174">
        <f>(($AK$2+Y93*Лист1!$B$7^2*Лист1!$G$8/100)/(AA93/10^6)+$AK$3/(AE93/10^6))/1000/($Q93*IF(Лист1!$J$19="да",1/1.05,1))</f>
        <v>0.20335550009549036</v>
      </c>
      <c r="AP93" s="146"/>
      <c r="AQ93" s="174">
        <f>MAX((5/384*($AQ$2+$Y93/100)*$D$17^4/(2.06*10^8*$Z93/10^8))/($D$17/300)*INDEX(Лист1!$L$34:$L$38,MATCH(Лист1!$B$8,Лист1!$I$34:$I$38,0),1),(5/384*($AQ$3)*$D$17^4/(2.06*10^8*$AD93/10^8))/($D$17/200))</f>
        <v>0.28220256158021817</v>
      </c>
      <c r="AR93" s="174"/>
      <c r="AS93" s="175"/>
      <c r="AT93" s="174">
        <f>MAX((5/384*($AT$2+$Y93/100)*$D$17^4/(2.06*10^8*$Z93/10^8))/($D$17/300)*INDEX(Лист1!$L$34:$L$38,MATCH(Лист1!$B$8,Лист1!$I$34:$I$38,0),1),(5/384*($AT$3)*$D$17^4/(2.06*10^8*$AD93/10^8))/($D$17/200))</f>
        <v>0.16797771522632035</v>
      </c>
      <c r="AU93" s="174"/>
      <c r="AV93" s="174">
        <f>IF(OR(MAX(AH93,AQ93)&gt;1,AK93&gt;Лист1!$B$20,N93="-"),999999999,Y93*Лист1!$B$7+0.0001*O93)</f>
        <v>199.209</v>
      </c>
      <c r="AW93" s="174"/>
      <c r="AX93" s="174">
        <f>IF(OR(MAX(AH93,AT93)&gt;1,AN93&gt;Лист1!$B$20,N93="-"),999999999,Y93*Лист1!$B$7+0.0001*O93)</f>
        <v>199.209</v>
      </c>
    </row>
    <row r="94" spans="14:50" ht="16.5" thickBot="1" x14ac:dyDescent="0.3">
      <c r="N94" t="s">
        <v>344</v>
      </c>
      <c r="O94">
        <f t="shared" si="8"/>
        <v>91</v>
      </c>
      <c r="P94" s="179" t="s">
        <v>297</v>
      </c>
      <c r="Q94" s="1">
        <v>240</v>
      </c>
      <c r="R94" s="154" t="s">
        <v>240</v>
      </c>
      <c r="S94" s="148">
        <v>180</v>
      </c>
      <c r="T94" s="148">
        <v>180</v>
      </c>
      <c r="X94" s="148">
        <v>22.9</v>
      </c>
      <c r="Y94" s="149">
        <v>18</v>
      </c>
      <c r="Z94" s="149">
        <v>833.8</v>
      </c>
      <c r="AA94" s="150">
        <v>92.6</v>
      </c>
      <c r="AC94" s="151">
        <v>6.03</v>
      </c>
      <c r="AD94" s="152">
        <v>144.69999999999999</v>
      </c>
      <c r="AE94" s="150">
        <v>48.2</v>
      </c>
      <c r="AF94" s="153">
        <v>2.5099999999999998</v>
      </c>
      <c r="AG94" s="174"/>
      <c r="AH94" s="174">
        <f t="shared" si="9"/>
        <v>1.1952191235059761</v>
      </c>
      <c r="AI94" s="174"/>
      <c r="AJ94" s="146"/>
      <c r="AK94" s="174">
        <f>(($AK$2+Y94*Лист1!$B$7^2*Лист1!$G$8/100)/(AA94/10^6)+$AK$3/(AE94/10^6))/1000/($Q94*IF(Лист1!$J$19="да",1/1.05,1))</f>
        <v>0.5158229239505745</v>
      </c>
      <c r="AM94" s="146"/>
      <c r="AN94" s="174">
        <f>(($AK$2+Y94*Лист1!$B$7^2*Лист1!$G$8/100)/(AA94/10^6)+$AK$3/(AE94/10^6))/1000/($Q94*IF(Лист1!$J$19="да",1/1.05,1))</f>
        <v>0.5158229239505745</v>
      </c>
      <c r="AP94" s="146"/>
      <c r="AQ94" s="174">
        <f>MAX((5/384*($AQ$2+$Y94/100)*$D$17^4/(2.06*10^8*$Z94/10^8))/($D$17/300)*INDEX(Лист1!$L$34:$L$38,MATCH(Лист1!$B$8,Лист1!$I$34:$I$38,0),1),(5/384*($AQ$3)*$D$17^4/(2.06*10^8*$AD94/10^8))/($D$17/200))</f>
        <v>1.8186170606327128</v>
      </c>
      <c r="AR94" s="174"/>
      <c r="AS94" s="175"/>
      <c r="AT94" s="174">
        <f>MAX((5/384*($AT$2+$Y94/100)*$D$17^4/(2.06*10^8*$Z94/10^8))/($D$17/300)*INDEX(Лист1!$L$34:$L$38,MATCH(Лист1!$B$8,Лист1!$I$34:$I$38,0),1),(5/384*($AT$3)*$D$17^4/(2.06*10^8*$AD94/10^8))/($D$17/200))</f>
        <v>1.0825101551385197</v>
      </c>
      <c r="AU94" s="174"/>
      <c r="AV94" s="174">
        <f>IF(OR(MAX(AH94,AQ94)&gt;1,AK94&gt;Лист1!$B$20,N94="-"),999999999,Y94*Лист1!$B$7+0.0001*O94)</f>
        <v>999999999</v>
      </c>
      <c r="AW94" s="174"/>
      <c r="AX94" s="174">
        <f>IF(OR(MAX(AH94,AT94)&gt;1,AN94&gt;Лист1!$B$20,N94="-"),999999999,Y94*Лист1!$B$7+0.0001*O94)</f>
        <v>999999999</v>
      </c>
    </row>
    <row r="95" spans="14:50" ht="16.5" thickBot="1" x14ac:dyDescent="0.3">
      <c r="N95" t="s">
        <v>344</v>
      </c>
      <c r="O95">
        <f t="shared" si="8"/>
        <v>92</v>
      </c>
      <c r="P95" s="179" t="s">
        <v>297</v>
      </c>
      <c r="Q95" s="1">
        <v>240</v>
      </c>
      <c r="R95" s="154" t="s">
        <v>241</v>
      </c>
      <c r="S95" s="148">
        <v>180</v>
      </c>
      <c r="T95" s="148">
        <v>180</v>
      </c>
      <c r="X95" s="148">
        <v>27.4</v>
      </c>
      <c r="Y95" s="149">
        <v>21.5</v>
      </c>
      <c r="Z95" s="149">
        <v>978.5</v>
      </c>
      <c r="AA95" s="150">
        <v>108.7</v>
      </c>
      <c r="AC95" s="151">
        <v>5.97</v>
      </c>
      <c r="AD95" s="152">
        <v>166.5</v>
      </c>
      <c r="AE95" s="150">
        <v>55.5</v>
      </c>
      <c r="AF95" s="153">
        <v>2.46</v>
      </c>
      <c r="AG95" s="174"/>
      <c r="AH95" s="174">
        <f t="shared" si="9"/>
        <v>1.2195121951219512</v>
      </c>
      <c r="AI95" s="174"/>
      <c r="AJ95" s="146"/>
      <c r="AK95" s="174">
        <f>(($AK$2+Y95*Лист1!$B$7^2*Лист1!$G$8/100)/(AA95/10^6)+$AK$3/(AE95/10^6))/1000/($Q95*IF(Лист1!$J$19="да",1/1.05,1))</f>
        <v>0.45167624649245069</v>
      </c>
      <c r="AM95" s="146"/>
      <c r="AN95" s="174">
        <f>(($AK$2+Y95*Лист1!$B$7^2*Лист1!$G$8/100)/(AA95/10^6)+$AK$3/(AE95/10^6))/1000/($Q95*IF(Лист1!$J$19="да",1/1.05,1))</f>
        <v>0.45167624649245069</v>
      </c>
      <c r="AP95" s="146"/>
      <c r="AQ95" s="174">
        <f>MAX((5/384*($AQ$2+$Y95/100)*$D$17^4/(2.06*10^8*$Z95/10^8))/($D$17/300)*INDEX(Лист1!$L$34:$L$38,MATCH(Лист1!$B$8,Лист1!$I$34:$I$38,0),1),(5/384*($AQ$3)*$D$17^4/(2.06*10^8*$AD95/10^8))/($D$17/200))</f>
        <v>1.5805038358771981</v>
      </c>
      <c r="AR95" s="174"/>
      <c r="AS95" s="175"/>
      <c r="AT95" s="174">
        <f>MAX((5/384*($AT$2+$Y95/100)*$D$17^4/(2.06*10^8*$Z95/10^8))/($D$17/300)*INDEX(Лист1!$L$34:$L$38,MATCH(Лист1!$B$8,Лист1!$I$34:$I$38,0),1),(5/384*($AT$3)*$D$17^4/(2.06*10^8*$AD95/10^8))/($D$17/200))</f>
        <v>0.9407760927840465</v>
      </c>
      <c r="AU95" s="174"/>
      <c r="AV95" s="174">
        <f>IF(OR(MAX(AH95,AQ95)&gt;1,AK95&gt;Лист1!$B$20,N95="-"),999999999,Y95*Лист1!$B$7+0.0001*O95)</f>
        <v>999999999</v>
      </c>
      <c r="AW95" s="174"/>
      <c r="AX95" s="174">
        <f>IF(OR(MAX(AH95,AT95)&gt;1,AN95&gt;Лист1!$B$20,N95="-"),999999999,Y95*Лист1!$B$7+0.0001*O95)</f>
        <v>999999999</v>
      </c>
    </row>
    <row r="96" spans="14:50" ht="16.5" thickBot="1" x14ac:dyDescent="0.3">
      <c r="O96">
        <f t="shared" si="8"/>
        <v>93</v>
      </c>
      <c r="P96" s="179" t="s">
        <v>297</v>
      </c>
      <c r="Q96" s="1">
        <v>240</v>
      </c>
      <c r="R96" s="154" t="s">
        <v>242</v>
      </c>
      <c r="S96" s="148">
        <v>180</v>
      </c>
      <c r="T96" s="148">
        <v>180</v>
      </c>
      <c r="X96" s="148">
        <v>26.9</v>
      </c>
      <c r="Y96" s="149">
        <v>21.1</v>
      </c>
      <c r="Z96" s="149">
        <v>1143</v>
      </c>
      <c r="AA96" s="150">
        <v>127</v>
      </c>
      <c r="AC96" s="151">
        <v>6.52</v>
      </c>
      <c r="AD96" s="152">
        <v>459.6</v>
      </c>
      <c r="AE96" s="150">
        <v>91.9</v>
      </c>
      <c r="AF96" s="153">
        <v>4.13</v>
      </c>
      <c r="AG96" s="174"/>
      <c r="AH96" s="174">
        <f t="shared" si="9"/>
        <v>0.72639225181598066</v>
      </c>
      <c r="AI96" s="174"/>
      <c r="AJ96" s="146"/>
      <c r="AK96" s="174">
        <f>(($AK$2+Y96*Лист1!$B$7^2*Лист1!$G$8/100)/(AA96/10^6)+$AK$3/(AE96/10^6))/1000/($Q96*IF(Лист1!$J$19="да",1/1.05,1))</f>
        <v>0.30395836112165464</v>
      </c>
      <c r="AM96" s="146"/>
      <c r="AN96" s="174">
        <f>(($AK$2+Y96*Лист1!$B$7^2*Лист1!$G$8/100)/(AA96/10^6)+$AK$3/(AE96/10^6))/1000/($Q96*IF(Лист1!$J$19="да",1/1.05,1))</f>
        <v>0.30395836112165464</v>
      </c>
      <c r="AP96" s="146"/>
      <c r="AQ96" s="174">
        <f>MAX((5/384*($AQ$2+$Y96/100)*$D$17^4/(2.06*10^8*$Z96/10^8))/($D$17/300)*INDEX(Лист1!$L$34:$L$38,MATCH(Лист1!$B$8,Лист1!$I$34:$I$38,0),1),(5/384*($AQ$3)*$D$17^4/(2.06*10^8*$AD96/10^8))/($D$17/200))</f>
        <v>0.57257155934193538</v>
      </c>
      <c r="AR96" s="174"/>
      <c r="AS96" s="175"/>
      <c r="AT96" s="174">
        <f>MAX((5/384*($AT$2+$Y96/100)*$D$17^4/(2.06*10^8*$Z96/10^8))/($D$17/300)*INDEX(Лист1!$L$34:$L$38,MATCH(Лист1!$B$8,Лист1!$I$34:$I$38,0),1),(5/384*($AT$3)*$D$17^4/(2.06*10^8*$AD96/10^8))/($D$17/200))</f>
        <v>0.34081640437019967</v>
      </c>
      <c r="AU96" s="174"/>
      <c r="AV96" s="174">
        <f>IF(OR(MAX(AH96,AQ96)&gt;1,AK96&gt;Лист1!$B$20,N96="-"),999999999,Y96*Лист1!$B$7+0.0001*O96)</f>
        <v>126.6093</v>
      </c>
      <c r="AW96" s="174"/>
      <c r="AX96" s="174">
        <f>IF(OR(MAX(AH96,AT96)&gt;1,AN96&gt;Лист1!$B$20,N96="-"),999999999,Y96*Лист1!$B$7+0.0001*O96)</f>
        <v>126.6093</v>
      </c>
    </row>
    <row r="97" spans="14:50" ht="16.5" thickBot="1" x14ac:dyDescent="0.3">
      <c r="O97">
        <f t="shared" si="8"/>
        <v>94</v>
      </c>
      <c r="P97" s="179" t="s">
        <v>297</v>
      </c>
      <c r="Q97" s="1">
        <v>240</v>
      </c>
      <c r="R97" s="154" t="s">
        <v>243</v>
      </c>
      <c r="S97" s="148">
        <v>180</v>
      </c>
      <c r="T97" s="148">
        <v>180</v>
      </c>
      <c r="X97" s="148">
        <v>32.1</v>
      </c>
      <c r="Y97" s="149">
        <v>25.2</v>
      </c>
      <c r="Z97" s="149">
        <v>1344.4</v>
      </c>
      <c r="AA97" s="150">
        <v>149.4</v>
      </c>
      <c r="AC97" s="151">
        <v>6.47</v>
      </c>
      <c r="AD97" s="152">
        <v>537.79999999999995</v>
      </c>
      <c r="AE97" s="150">
        <v>107.6</v>
      </c>
      <c r="AF97" s="153">
        <v>4.09</v>
      </c>
      <c r="AG97" s="174"/>
      <c r="AH97" s="174">
        <f t="shared" si="9"/>
        <v>0.73349633251833735</v>
      </c>
      <c r="AI97" s="174"/>
      <c r="AJ97" s="146"/>
      <c r="AK97" s="174">
        <f>(($AK$2+Y97*Лист1!$B$7^2*Лист1!$G$8/100)/(AA97/10^6)+$AK$3/(AE97/10^6))/1000/($Q97*IF(Лист1!$J$19="да",1/1.05,1))</f>
        <v>0.26432141907930667</v>
      </c>
      <c r="AM97" s="146"/>
      <c r="AN97" s="174">
        <f>(($AK$2+Y97*Лист1!$B$7^2*Лист1!$G$8/100)/(AA97/10^6)+$AK$3/(AE97/10^6))/1000/($Q97*IF(Лист1!$J$19="да",1/1.05,1))</f>
        <v>0.26432141907930667</v>
      </c>
      <c r="AP97" s="146"/>
      <c r="AQ97" s="174">
        <f>MAX((5/384*($AQ$2+$Y97/100)*$D$17^4/(2.06*10^8*$Z97/10^8))/($D$17/300)*INDEX(Лист1!$L$34:$L$38,MATCH(Лист1!$B$8,Лист1!$I$34:$I$38,0),1),(5/384*($AQ$3)*$D$17^4/(2.06*10^8*$AD97/10^8))/($D$17/200))</f>
        <v>0.48931552375149406</v>
      </c>
      <c r="AR97" s="174"/>
      <c r="AS97" s="175"/>
      <c r="AT97" s="174">
        <f>MAX((5/384*($AT$2+$Y97/100)*$D$17^4/(2.06*10^8*$Z97/10^8))/($D$17/300)*INDEX(Лист1!$L$34:$L$38,MATCH(Лист1!$B$8,Лист1!$I$34:$I$38,0),1),(5/384*($AT$3)*$D$17^4/(2.06*10^8*$AD97/10^8))/($D$17/200))</f>
        <v>0.29125924032827027</v>
      </c>
      <c r="AU97" s="174"/>
      <c r="AV97" s="174">
        <f>IF(OR(MAX(AH97,AQ97)&gt;1,AK97&gt;Лист1!$B$20,N97="-"),999999999,Y97*Лист1!$B$7+0.0001*O97)</f>
        <v>151.20939999999999</v>
      </c>
      <c r="AW97" s="174"/>
      <c r="AX97" s="174">
        <f>IF(OR(MAX(AH97,AT97)&gt;1,AN97&gt;Лист1!$B$20,N97="-"),999999999,Y97*Лист1!$B$7+0.0001*O97)</f>
        <v>151.20939999999999</v>
      </c>
    </row>
    <row r="98" spans="14:50" ht="16.5" thickBot="1" x14ac:dyDescent="0.3">
      <c r="N98" t="s">
        <v>344</v>
      </c>
      <c r="O98">
        <f t="shared" si="8"/>
        <v>95</v>
      </c>
      <c r="P98" s="179" t="s">
        <v>297</v>
      </c>
      <c r="Q98" s="1">
        <v>240</v>
      </c>
      <c r="R98" s="154" t="s">
        <v>244</v>
      </c>
      <c r="S98" s="148">
        <v>180</v>
      </c>
      <c r="T98" s="148">
        <v>180</v>
      </c>
      <c r="X98" s="148">
        <v>37.200000000000003</v>
      </c>
      <c r="Y98" s="149">
        <v>29.2</v>
      </c>
      <c r="Z98" s="149">
        <v>1527.9</v>
      </c>
      <c r="AA98" s="150">
        <v>169.8</v>
      </c>
      <c r="AC98" s="151">
        <v>6.41</v>
      </c>
      <c r="AD98" s="152">
        <v>607.9</v>
      </c>
      <c r="AE98" s="150">
        <v>121.6</v>
      </c>
      <c r="AF98" s="153">
        <v>4.04</v>
      </c>
      <c r="AG98" s="174"/>
      <c r="AH98" s="174">
        <f t="shared" si="9"/>
        <v>0.74257425742574257</v>
      </c>
      <c r="AI98" s="174"/>
      <c r="AJ98" s="146"/>
      <c r="AK98" s="174">
        <f>(($AK$2+Y98*Лист1!$B$7^2*Лист1!$G$8/100)/(AA98/10^6)+$AK$3/(AE98/10^6))/1000/($Q98*IF(Лист1!$J$19="да",1/1.05,1))</f>
        <v>0.2378237690809894</v>
      </c>
      <c r="AM98" s="146"/>
      <c r="AN98" s="174">
        <f>(($AK$2+Y98*Лист1!$B$7^2*Лист1!$G$8/100)/(AA98/10^6)+$AK$3/(AE98/10^6))/1000/($Q98*IF(Лист1!$J$19="да",1/1.05,1))</f>
        <v>0.2378237690809894</v>
      </c>
      <c r="AP98" s="146"/>
      <c r="AQ98" s="174">
        <f>MAX((5/384*($AQ$2+$Y98/100)*$D$17^4/(2.06*10^8*$Z98/10^8))/($D$17/300)*INDEX(Лист1!$L$34:$L$38,MATCH(Лист1!$B$8,Лист1!$I$34:$I$38,0),1),(5/384*($AQ$3)*$D$17^4/(2.06*10^8*$AD98/10^8))/($D$17/200))</f>
        <v>0.43289009487342245</v>
      </c>
      <c r="AR98" s="174"/>
      <c r="AS98" s="175"/>
      <c r="AT98" s="174">
        <f>MAX((5/384*($AT$2+$Y98/100)*$D$17^4/(2.06*10^8*$Z98/10^8))/($D$17/300)*INDEX(Лист1!$L$34:$L$38,MATCH(Лист1!$B$8,Лист1!$I$34:$I$38,0),1),(5/384*($AT$3)*$D$17^4/(2.06*10^8*$AD98/10^8))/($D$17/200))</f>
        <v>0.25767267551989431</v>
      </c>
      <c r="AU98" s="174"/>
      <c r="AV98" s="174">
        <f>IF(OR(MAX(AH98,AQ98)&gt;1,AK98&gt;Лист1!$B$20,N98="-"),999999999,Y98*Лист1!$B$7+0.0001*O98)</f>
        <v>999999999</v>
      </c>
      <c r="AW98" s="174"/>
      <c r="AX98" s="174">
        <f>IF(OR(MAX(AH98,AT98)&gt;1,AN98&gt;Лист1!$B$20,N98="-"),999999999,Y98*Лист1!$B$7+0.0001*O98)</f>
        <v>999999999</v>
      </c>
    </row>
    <row r="99" spans="14:50" ht="16.5" thickBot="1" x14ac:dyDescent="0.3">
      <c r="O99">
        <f t="shared" si="8"/>
        <v>96</v>
      </c>
      <c r="P99" s="179" t="s">
        <v>297</v>
      </c>
      <c r="Q99" s="1">
        <v>240</v>
      </c>
      <c r="R99" s="154" t="s">
        <v>245</v>
      </c>
      <c r="S99" s="148">
        <v>180</v>
      </c>
      <c r="T99" s="148">
        <v>180</v>
      </c>
      <c r="X99" s="148">
        <v>42.3</v>
      </c>
      <c r="Y99" s="149">
        <v>33.200000000000003</v>
      </c>
      <c r="Z99" s="149">
        <v>1706.1</v>
      </c>
      <c r="AA99" s="150">
        <v>189.6</v>
      </c>
      <c r="AC99" s="151">
        <v>6.35</v>
      </c>
      <c r="AD99" s="152">
        <v>676</v>
      </c>
      <c r="AE99" s="150">
        <v>135.19999999999999</v>
      </c>
      <c r="AF99" s="153">
        <v>4</v>
      </c>
      <c r="AG99" s="174"/>
      <c r="AH99" s="174">
        <f t="shared" si="9"/>
        <v>0.75</v>
      </c>
      <c r="AI99" s="174"/>
      <c r="AJ99" s="146"/>
      <c r="AK99" s="174">
        <f>(($AK$2+Y99*Лист1!$B$7^2*Лист1!$G$8/100)/(AA99/10^6)+$AK$3/(AE99/10^6))/1000/($Q99*IF(Лист1!$J$19="да",1/1.05,1))</f>
        <v>0.21751386863260583</v>
      </c>
      <c r="AM99" s="146"/>
      <c r="AN99" s="174">
        <f>(($AK$2+Y99*Лист1!$B$7^2*Лист1!$G$8/100)/(AA99/10^6)+$AK$3/(AE99/10^6))/1000/($Q99*IF(Лист1!$J$19="да",1/1.05,1))</f>
        <v>0.21751386863260583</v>
      </c>
      <c r="AP99" s="146"/>
      <c r="AQ99" s="174">
        <f>MAX((5/384*($AQ$2+$Y99/100)*$D$17^4/(2.06*10^8*$Z99/10^8))/($D$17/300)*INDEX(Лист1!$L$34:$L$38,MATCH(Лист1!$B$8,Лист1!$I$34:$I$38,0),1),(5/384*($AQ$3)*$D$17^4/(2.06*10^8*$AD99/10^8))/($D$17/200))</f>
        <v>0.3892809004046649</v>
      </c>
      <c r="AR99" s="174"/>
      <c r="AS99" s="175"/>
      <c r="AT99" s="174">
        <f>MAX((5/384*($AT$2+$Y99/100)*$D$17^4/(2.06*10^8*$Z99/10^8))/($D$17/300)*INDEX(Лист1!$L$34:$L$38,MATCH(Лист1!$B$8,Лист1!$I$34:$I$38,0),1),(5/384*($AT$3)*$D$17^4/(2.06*10^8*$AD99/10^8))/($D$17/200))</f>
        <v>0.23171482166944343</v>
      </c>
      <c r="AU99" s="174"/>
      <c r="AV99" s="174">
        <f>IF(OR(MAX(AH99,AQ99)&gt;1,AK99&gt;Лист1!$B$20,N99="-"),999999999,Y99*Лист1!$B$7+0.0001*O99)</f>
        <v>199.20960000000002</v>
      </c>
      <c r="AW99" s="174"/>
      <c r="AX99" s="174">
        <f>IF(OR(MAX(AH99,AT99)&gt;1,AN99&gt;Лист1!$B$20,N99="-"),999999999,Y99*Лист1!$B$7+0.0001*O99)</f>
        <v>199.20960000000002</v>
      </c>
    </row>
    <row r="100" spans="14:50" ht="16.5" thickBot="1" x14ac:dyDescent="0.3">
      <c r="O100">
        <f t="shared" si="8"/>
        <v>97</v>
      </c>
      <c r="P100" s="179" t="s">
        <v>297</v>
      </c>
      <c r="Q100" s="1">
        <v>240</v>
      </c>
      <c r="R100" s="154" t="s">
        <v>246</v>
      </c>
      <c r="S100" s="148">
        <v>180</v>
      </c>
      <c r="T100" s="148">
        <v>180</v>
      </c>
      <c r="X100" s="148">
        <v>24.6</v>
      </c>
      <c r="Y100" s="149">
        <v>19.3</v>
      </c>
      <c r="Z100" s="149">
        <v>1165</v>
      </c>
      <c r="AA100" s="150">
        <v>128.19999999999999</v>
      </c>
      <c r="AC100" s="151">
        <v>6.91</v>
      </c>
      <c r="AD100" s="152">
        <v>782.4</v>
      </c>
      <c r="AE100" s="150">
        <v>111.8</v>
      </c>
      <c r="AF100" s="153">
        <v>5.7</v>
      </c>
      <c r="AG100" s="174"/>
      <c r="AH100" s="174">
        <f t="shared" si="9"/>
        <v>0.52631578947368418</v>
      </c>
      <c r="AI100" s="174"/>
      <c r="AJ100" s="146"/>
      <c r="AK100" s="174">
        <f>(($AK$2+Y100*Лист1!$B$7^2*Лист1!$G$8/100)/(AA100/10^6)+$AK$3/(AE100/10^6))/1000/($Q100*IF(Лист1!$J$19="да",1/1.05,1))</f>
        <v>0.2653224135188107</v>
      </c>
      <c r="AM100" s="146"/>
      <c r="AN100" s="174">
        <f>(($AK$2+Y100*Лист1!$B$7^2*Лист1!$G$8/100)/(AA100/10^6)+$AK$3/(AE100/10^6))/1000/($Q100*IF(Лист1!$J$19="да",1/1.05,1))</f>
        <v>0.2653224135188107</v>
      </c>
      <c r="AP100" s="146"/>
      <c r="AQ100" s="174">
        <f>MAX((5/384*($AQ$2+$Y100/100)*$D$17^4/(2.06*10^8*$Z100/10^8))/($D$17/300)*INDEX(Лист1!$L$34:$L$38,MATCH(Лист1!$B$8,Лист1!$I$34:$I$38,0),1),(5/384*($AQ$3)*$D$17^4/(2.06*10^8*$AD100/10^8))/($D$17/200))</f>
        <v>0.33634188225147427</v>
      </c>
      <c r="AR100" s="174"/>
      <c r="AS100" s="175"/>
      <c r="AT100" s="174">
        <f>MAX((5/384*($AT$2+$Y100/100)*$D$17^4/(2.06*10^8*$Z100/10^8))/($D$17/300)*INDEX(Лист1!$L$34:$L$38,MATCH(Лист1!$B$8,Лист1!$I$34:$I$38,0),1),(5/384*($AT$3)*$D$17^4/(2.06*10^8*$AD100/10^8))/($D$17/200))</f>
        <v>0.20020350134016326</v>
      </c>
      <c r="AU100" s="174"/>
      <c r="AV100" s="174">
        <f>IF(OR(MAX(AH100,AQ100)&gt;1,AK100&gt;Лист1!$B$20,N100="-"),999999999,Y100*Лист1!$B$7+0.0001*O100)</f>
        <v>115.80970000000001</v>
      </c>
      <c r="AW100" s="174"/>
      <c r="AX100" s="174">
        <f>IF(OR(MAX(AH100,AT100)&gt;1,AN100&gt;Лист1!$B$20,N100="-"),999999999,Y100*Лист1!$B$7+0.0001*O100)</f>
        <v>115.80970000000001</v>
      </c>
    </row>
    <row r="101" spans="14:50" ht="16.5" thickBot="1" x14ac:dyDescent="0.3">
      <c r="O101">
        <f t="shared" si="8"/>
        <v>98</v>
      </c>
      <c r="P101" s="179" t="s">
        <v>297</v>
      </c>
      <c r="Q101" s="1">
        <v>240</v>
      </c>
      <c r="R101" s="154" t="s">
        <v>247</v>
      </c>
      <c r="S101" s="148">
        <v>180</v>
      </c>
      <c r="T101" s="148">
        <v>180</v>
      </c>
      <c r="X101" s="148">
        <v>30.7</v>
      </c>
      <c r="Y101" s="149">
        <v>24.1</v>
      </c>
      <c r="Z101" s="149">
        <v>1443</v>
      </c>
      <c r="AA101" s="150">
        <v>160.30000000000001</v>
      </c>
      <c r="AC101" s="151">
        <v>6.85</v>
      </c>
      <c r="AD101" s="152">
        <v>981.2</v>
      </c>
      <c r="AE101" s="150">
        <v>140.19999999999999</v>
      </c>
      <c r="AF101" s="153">
        <v>5.65</v>
      </c>
      <c r="AG101" s="174"/>
      <c r="AH101" s="174">
        <f t="shared" si="9"/>
        <v>0.53097345132743357</v>
      </c>
      <c r="AI101" s="174"/>
      <c r="AJ101" s="146"/>
      <c r="AK101" s="174">
        <f>(($AK$2+Y101*Лист1!$B$7^2*Лист1!$G$8/100)/(AA101/10^6)+$AK$3/(AE101/10^6))/1000/($Q101*IF(Лист1!$J$19="да",1/1.05,1))</f>
        <v>0.2174315089040483</v>
      </c>
      <c r="AM101" s="146"/>
      <c r="AN101" s="174">
        <f>(($AK$2+Y101*Лист1!$B$7^2*Лист1!$G$8/100)/(AA101/10^6)+$AK$3/(AE101/10^6))/1000/($Q101*IF(Лист1!$J$19="да",1/1.05,1))</f>
        <v>0.2174315089040483</v>
      </c>
      <c r="AP101" s="146"/>
      <c r="AQ101" s="174">
        <f>MAX((5/384*($AQ$2+$Y101/100)*$D$17^4/(2.06*10^8*$Z101/10^8))/($D$17/300)*INDEX(Лист1!$L$34:$L$38,MATCH(Лист1!$B$8,Лист1!$I$34:$I$38,0),1),(5/384*($AQ$3)*$D$17^4/(2.06*10^8*$AD101/10^8))/($D$17/200))</f>
        <v>0.26819597296530118</v>
      </c>
      <c r="AR101" s="174"/>
      <c r="AS101" s="175"/>
      <c r="AT101" s="174">
        <f>MAX((5/384*($AT$2+$Y101/100)*$D$17^4/(2.06*10^8*$Z101/10^8))/($D$17/300)*INDEX(Лист1!$L$34:$L$38,MATCH(Лист1!$B$8,Лист1!$I$34:$I$38,0),1),(5/384*($AT$3)*$D$17^4/(2.06*10^8*$AD101/10^8))/($D$17/200))</f>
        <v>0.15964046009839356</v>
      </c>
      <c r="AU101" s="174"/>
      <c r="AV101" s="174">
        <f>IF(OR(MAX(AH101,AQ101)&gt;1,AK101&gt;Лист1!$B$20,N101="-"),999999999,Y101*Лист1!$B$7+0.0001*O101)</f>
        <v>144.60980000000004</v>
      </c>
      <c r="AW101" s="174"/>
      <c r="AX101" s="174">
        <f>IF(OR(MAX(AH101,AT101)&gt;1,AN101&gt;Лист1!$B$20,N101="-"),999999999,Y101*Лист1!$B$7+0.0001*O101)</f>
        <v>144.60980000000004</v>
      </c>
    </row>
    <row r="102" spans="14:50" ht="16.5" thickBot="1" x14ac:dyDescent="0.3">
      <c r="O102">
        <f t="shared" si="8"/>
        <v>99</v>
      </c>
      <c r="P102" s="179" t="s">
        <v>297</v>
      </c>
      <c r="Q102" s="1">
        <v>240</v>
      </c>
      <c r="R102" s="154" t="s">
        <v>248</v>
      </c>
      <c r="S102" s="148">
        <v>180</v>
      </c>
      <c r="T102" s="148">
        <v>180</v>
      </c>
      <c r="X102" s="148">
        <v>36.799999999999997</v>
      </c>
      <c r="Y102" s="149">
        <v>28.9</v>
      </c>
      <c r="Z102" s="149">
        <v>1706.8</v>
      </c>
      <c r="AA102" s="150">
        <v>189.6</v>
      </c>
      <c r="AC102" s="151">
        <v>6.81</v>
      </c>
      <c r="AD102" s="152">
        <v>1158.9000000000001</v>
      </c>
      <c r="AE102" s="150">
        <v>165.6</v>
      </c>
      <c r="AF102" s="153">
        <v>5.61</v>
      </c>
      <c r="AG102" s="174"/>
      <c r="AH102" s="174">
        <f t="shared" si="9"/>
        <v>0.53475935828876997</v>
      </c>
      <c r="AI102" s="174"/>
      <c r="AJ102" s="146"/>
      <c r="AK102" s="174">
        <f>(($AK$2+Y102*Лист1!$B$7^2*Лист1!$G$8/100)/(AA102/10^6)+$AK$3/(AE102/10^6))/1000/($Q102*IF(Лист1!$J$19="да",1/1.05,1))</f>
        <v>0.1887261418463842</v>
      </c>
      <c r="AM102" s="146"/>
      <c r="AN102" s="174">
        <f>(($AK$2+Y102*Лист1!$B$7^2*Лист1!$G$8/100)/(AA102/10^6)+$AK$3/(AE102/10^6))/1000/($Q102*IF(Лист1!$J$19="да",1/1.05,1))</f>
        <v>0.1887261418463842</v>
      </c>
      <c r="AP102" s="146"/>
      <c r="AQ102" s="174">
        <f>MAX((5/384*($AQ$2+$Y102/100)*$D$17^4/(2.06*10^8*$Z102/10^8))/($D$17/300)*INDEX(Лист1!$L$34:$L$38,MATCH(Лист1!$B$8,Лист1!$I$34:$I$38,0),1),(5/384*($AQ$3)*$D$17^4/(2.06*10^8*$AD102/10^8))/($D$17/200))</f>
        <v>0.22707212759819953</v>
      </c>
      <c r="AR102" s="174"/>
      <c r="AS102" s="175"/>
      <c r="AT102" s="174">
        <f>MAX((5/384*($AT$2+$Y102/100)*$D$17^4/(2.06*10^8*$Z102/10^8))/($D$17/300)*INDEX(Лист1!$L$34:$L$38,MATCH(Лист1!$B$8,Лист1!$I$34:$I$38,0),1),(5/384*($AT$3)*$D$17^4/(2.06*10^8*$AD102/10^8))/($D$17/200))</f>
        <v>0.13516198071321403</v>
      </c>
      <c r="AU102" s="174"/>
      <c r="AV102" s="174">
        <f>IF(OR(MAX(AH102,AQ102)&gt;1,AK102&gt;Лист1!$B$20,N102="-"),999999999,Y102*Лист1!$B$7+0.0001*O102)</f>
        <v>173.40989999999996</v>
      </c>
      <c r="AW102" s="174"/>
      <c r="AX102" s="174">
        <f>IF(OR(MAX(AH102,AT102)&gt;1,AN102&gt;Лист1!$B$20,N102="-"),999999999,Y102*Лист1!$B$7+0.0001*O102)</f>
        <v>173.40989999999996</v>
      </c>
    </row>
    <row r="103" spans="14:50" ht="16.5" thickBot="1" x14ac:dyDescent="0.3">
      <c r="O103">
        <f t="shared" si="8"/>
        <v>100</v>
      </c>
      <c r="P103" s="179" t="s">
        <v>297</v>
      </c>
      <c r="Q103" s="1">
        <v>240</v>
      </c>
      <c r="R103" s="154" t="s">
        <v>249</v>
      </c>
      <c r="S103" s="148">
        <v>180</v>
      </c>
      <c r="T103" s="148">
        <v>180</v>
      </c>
      <c r="X103" s="148">
        <v>42.8</v>
      </c>
      <c r="Y103" s="149">
        <v>33.6</v>
      </c>
      <c r="Z103" s="149">
        <v>1952</v>
      </c>
      <c r="AA103" s="150">
        <v>216.9</v>
      </c>
      <c r="AC103" s="151">
        <v>6.75</v>
      </c>
      <c r="AD103" s="152">
        <v>1322.9</v>
      </c>
      <c r="AE103" s="150">
        <v>189</v>
      </c>
      <c r="AF103" s="153">
        <v>5.56</v>
      </c>
      <c r="AG103" s="174"/>
      <c r="AH103" s="174">
        <f t="shared" si="9"/>
        <v>0.53956834532374098</v>
      </c>
      <c r="AI103" s="174"/>
      <c r="AJ103" s="146"/>
      <c r="AK103" s="174">
        <f>(($AK$2+Y103*Лист1!$B$7^2*Лист1!$G$8/100)/(AA103/10^6)+$AK$3/(AE103/10^6))/1000/($Q103*IF(Лист1!$J$19="да",1/1.05,1))</f>
        <v>0.16925939067149101</v>
      </c>
      <c r="AM103" s="146"/>
      <c r="AN103" s="174">
        <f>(($AK$2+Y103*Лист1!$B$7^2*Лист1!$G$8/100)/(AA103/10^6)+$AK$3/(AE103/10^6))/1000/($Q103*IF(Лист1!$J$19="да",1/1.05,1))</f>
        <v>0.16925939067149101</v>
      </c>
      <c r="AP103" s="146"/>
      <c r="AQ103" s="174">
        <f>MAX((5/384*($AQ$2+$Y103/100)*$D$17^4/(2.06*10^8*$Z103/10^8))/($D$17/300)*INDEX(Лист1!$L$34:$L$38,MATCH(Лист1!$B$8,Лист1!$I$34:$I$38,0),1),(5/384*($AQ$3)*$D$17^4/(2.06*10^8*$AD103/10^8))/($D$17/200))</f>
        <v>0.19892198100654124</v>
      </c>
      <c r="AR103" s="174"/>
      <c r="AS103" s="175"/>
      <c r="AT103" s="174">
        <f>MAX((5/384*($AT$2+$Y103/100)*$D$17^4/(2.06*10^8*$Z103/10^8))/($D$17/300)*INDEX(Лист1!$L$34:$L$38,MATCH(Лист1!$B$8,Лист1!$I$34:$I$38,0),1),(5/384*($AT$3)*$D$17^4/(2.06*10^8*$AD103/10^8))/($D$17/200))</f>
        <v>0.11840594107532219</v>
      </c>
      <c r="AU103" s="174"/>
      <c r="AV103" s="174">
        <f>IF(OR(MAX(AH103,AQ103)&gt;1,AK103&gt;Лист1!$B$20,N103="-"),999999999,Y103*Лист1!$B$7+0.0001*O103)</f>
        <v>201.61</v>
      </c>
      <c r="AW103" s="174"/>
      <c r="AX103" s="174">
        <f>IF(OR(MAX(AH103,AT103)&gt;1,AN103&gt;Лист1!$B$20,N103="-"),999999999,Y103*Лист1!$B$7+0.0001*O103)</f>
        <v>201.61</v>
      </c>
    </row>
    <row r="104" spans="14:50" ht="15.75" x14ac:dyDescent="0.25">
      <c r="O104">
        <f t="shared" si="8"/>
        <v>101</v>
      </c>
      <c r="P104" s="179" t="s">
        <v>297</v>
      </c>
      <c r="Q104" s="1">
        <v>240</v>
      </c>
      <c r="R104" s="154" t="s">
        <v>250</v>
      </c>
      <c r="S104" s="148">
        <v>180</v>
      </c>
      <c r="T104" s="148">
        <v>180</v>
      </c>
      <c r="X104" s="148">
        <v>48.7</v>
      </c>
      <c r="Y104" s="149">
        <v>38.200000000000003</v>
      </c>
      <c r="Z104" s="149">
        <v>2187.3000000000002</v>
      </c>
      <c r="AA104" s="150">
        <v>243</v>
      </c>
      <c r="AC104" s="151">
        <v>6.7</v>
      </c>
      <c r="AD104" s="152">
        <v>1480.6</v>
      </c>
      <c r="AE104" s="150">
        <v>211.5</v>
      </c>
      <c r="AF104" s="153">
        <v>5.51</v>
      </c>
      <c r="AG104" s="174"/>
      <c r="AH104" s="174">
        <f t="shared" si="9"/>
        <v>0.54446460980036304</v>
      </c>
      <c r="AI104" s="174"/>
      <c r="AJ104" s="146"/>
      <c r="AK104" s="174">
        <f>(($AK$2+Y104*Лист1!$B$7^2*Лист1!$G$8/100)/(AA104/10^6)+$AK$3/(AE104/10^6))/1000/($Q104*IF(Лист1!$J$19="да",1/1.05,1))</f>
        <v>0.15472700457066246</v>
      </c>
      <c r="AM104" s="146"/>
      <c r="AN104" s="174">
        <f>(($AK$2+Y104*Лист1!$B$7^2*Лист1!$G$8/100)/(AA104/10^6)+$AK$3/(AE104/10^6))/1000/($Q104*IF(Лист1!$J$19="да",1/1.05,1))</f>
        <v>0.15472700457066246</v>
      </c>
      <c r="AP104" s="146"/>
      <c r="AQ104" s="174">
        <f>MAX((5/384*($AQ$2+$Y104/100)*$D$17^4/(2.06*10^8*$Z104/10^8))/($D$17/300)*INDEX(Лист1!$L$34:$L$38,MATCH(Лист1!$B$8,Лист1!$I$34:$I$38,0),1),(5/384*($AQ$3)*$D$17^4/(2.06*10^8*$AD104/10^8))/($D$17/200))</f>
        <v>0.17773462695768844</v>
      </c>
      <c r="AR104" s="174"/>
      <c r="AS104" s="175"/>
      <c r="AT104" s="174">
        <f>MAX((5/384*($AT$2+$Y104/100)*$D$17^4/(2.06*10^8*$Z104/10^8))/($D$17/300)*INDEX(Лист1!$L$34:$L$38,MATCH(Лист1!$B$8,Лист1!$I$34:$I$38,0),1),(5/384*($AT$3)*$D$17^4/(2.06*10^8*$AD104/10^8))/($D$17/200))</f>
        <v>0.10579442080814788</v>
      </c>
      <c r="AU104" s="174"/>
      <c r="AV104" s="174">
        <f>IF(OR(MAX(AH104,AQ104)&gt;1,AK104&gt;Лист1!$B$20,N104="-"),999999999,Y104*Лист1!$B$7+0.0001*O104)</f>
        <v>229.21010000000001</v>
      </c>
      <c r="AW104" s="174"/>
      <c r="AX104" s="174">
        <f>IF(OR(MAX(AH104,AT104)&gt;1,AN104&gt;Лист1!$B$20,N104="-"),999999999,Y104*Лист1!$B$7+0.0001*O104)</f>
        <v>229.21010000000001</v>
      </c>
    </row>
    <row r="105" spans="14:50" ht="16.5" thickBot="1" x14ac:dyDescent="0.3">
      <c r="N105" t="s">
        <v>344</v>
      </c>
      <c r="O105">
        <f t="shared" si="8"/>
        <v>102</v>
      </c>
      <c r="P105" s="179" t="s">
        <v>297</v>
      </c>
      <c r="Q105" s="1">
        <v>240</v>
      </c>
      <c r="R105" s="163" t="s">
        <v>251</v>
      </c>
      <c r="S105" s="148">
        <v>200</v>
      </c>
      <c r="T105" s="148">
        <v>200</v>
      </c>
      <c r="X105" s="148">
        <v>27.7</v>
      </c>
      <c r="Y105" s="149">
        <v>21.8</v>
      </c>
      <c r="Z105" s="149">
        <v>1631.8</v>
      </c>
      <c r="AA105" s="150">
        <v>163.19999999999999</v>
      </c>
      <c r="AC105" s="151">
        <v>7.68</v>
      </c>
      <c r="AD105" s="152">
        <v>1160</v>
      </c>
      <c r="AE105" s="150">
        <v>145</v>
      </c>
      <c r="AF105" s="153">
        <v>6.47</v>
      </c>
      <c r="AG105" s="174"/>
      <c r="AH105" s="174">
        <f t="shared" si="9"/>
        <v>0.46367851622874812</v>
      </c>
      <c r="AI105" s="174"/>
      <c r="AJ105" s="146"/>
      <c r="AK105" s="174">
        <f>(($AK$2+Y105*Лист1!$B$7^2*Лист1!$G$8/100)/(AA105/10^6)+$AK$3/(AE105/10^6))/1000/($Q105*IF(Лист1!$J$19="да",1/1.05,1))</f>
        <v>0.20894904656995053</v>
      </c>
      <c r="AM105" s="146"/>
      <c r="AN105" s="174">
        <f>(($AK$2+Y105*Лист1!$B$7^2*Лист1!$G$8/100)/(AA105/10^6)+$AK$3/(AE105/10^6))/1000/($Q105*IF(Лист1!$J$19="да",1/1.05,1))</f>
        <v>0.20894904656995053</v>
      </c>
      <c r="AP105" s="146"/>
      <c r="AQ105" s="174">
        <f>MAX((5/384*($AQ$2+$Y105/100)*$D$17^4/(2.06*10^8*$Z105/10^8))/($D$17/300)*INDEX(Лист1!$L$34:$L$38,MATCH(Лист1!$B$8,Лист1!$I$34:$I$38,0),1),(5/384*($AQ$3)*$D$17^4/(2.06*10^8*$AD105/10^8))/($D$17/200))</f>
        <v>0.22685680058064955</v>
      </c>
      <c r="AR105" s="174"/>
      <c r="AS105" s="175"/>
      <c r="AT105" s="174">
        <f>MAX((5/384*($AT$2+$Y105/100)*$D$17^4/(2.06*10^8*$Z105/10^8))/($D$17/300)*INDEX(Лист1!$L$34:$L$38,MATCH(Лист1!$B$8,Лист1!$I$34:$I$38,0),1),(5/384*($AT$3)*$D$17^4/(2.06*10^8*$AD105/10^8))/($D$17/200))</f>
        <v>0.13503380986943428</v>
      </c>
      <c r="AU105" s="174"/>
      <c r="AV105" s="174">
        <f>IF(OR(MAX(AH105,AQ105)&gt;1,AK105&gt;Лист1!$B$20,N105="-"),999999999,Y105*Лист1!$B$7+0.0001*O105)</f>
        <v>999999999</v>
      </c>
      <c r="AW105" s="174"/>
      <c r="AX105" s="174">
        <f>IF(OR(MAX(AH105,AT105)&gt;1,AN105&gt;Лист1!$B$20,N105="-"),999999999,Y105*Лист1!$B$7+0.0001*O105)</f>
        <v>999999999</v>
      </c>
    </row>
    <row r="106" spans="14:50" ht="16.5" thickBot="1" x14ac:dyDescent="0.3">
      <c r="O106">
        <f t="shared" si="8"/>
        <v>103</v>
      </c>
      <c r="P106" s="179" t="s">
        <v>297</v>
      </c>
      <c r="Q106" s="1">
        <v>240</v>
      </c>
      <c r="R106" s="154" t="s">
        <v>252</v>
      </c>
      <c r="S106" s="148">
        <v>200</v>
      </c>
      <c r="T106" s="148">
        <v>200</v>
      </c>
      <c r="X106" s="148">
        <v>34.6</v>
      </c>
      <c r="Y106" s="149">
        <v>27.2</v>
      </c>
      <c r="Z106" s="149">
        <v>2039.7</v>
      </c>
      <c r="AA106" s="150">
        <v>204</v>
      </c>
      <c r="AC106" s="151">
        <v>7.67</v>
      </c>
      <c r="AD106" s="152">
        <v>1450</v>
      </c>
      <c r="AE106" s="150">
        <v>181.2</v>
      </c>
      <c r="AF106" s="153">
        <v>6.46</v>
      </c>
      <c r="AG106" s="174"/>
      <c r="AH106" s="174">
        <f t="shared" si="9"/>
        <v>0.4643962848297214</v>
      </c>
      <c r="AI106" s="174"/>
      <c r="AJ106" s="146"/>
      <c r="AK106" s="174">
        <f>(($AK$2+Y106*Лист1!$B$7^2*Лист1!$G$8/100)/(AA106/10^6)+$AK$3/(AE106/10^6))/1000/($Q106*IF(Лист1!$J$19="да",1/1.05,1))</f>
        <v>0.17214998248439425</v>
      </c>
      <c r="AM106" s="146"/>
      <c r="AN106" s="174">
        <f>(($AK$2+Y106*Лист1!$B$7^2*Лист1!$G$8/100)/(AA106/10^6)+$AK$3/(AE106/10^6))/1000/($Q106*IF(Лист1!$J$19="да",1/1.05,1))</f>
        <v>0.17214998248439425</v>
      </c>
      <c r="AP106" s="146"/>
      <c r="AQ106" s="174">
        <f>MAX((5/384*($AQ$2+$Y106/100)*$D$17^4/(2.06*10^8*$Z106/10^8))/($D$17/300)*INDEX(Лист1!$L$34:$L$38,MATCH(Лист1!$B$8,Лист1!$I$34:$I$38,0),1),(5/384*($AQ$3)*$D$17^4/(2.06*10^8*$AD106/10^8))/($D$17/200))</f>
        <v>0.18148544046451964</v>
      </c>
      <c r="AR106" s="174"/>
      <c r="AS106" s="175"/>
      <c r="AT106" s="174">
        <f>MAX((5/384*($AT$2+$Y106/100)*$D$17^4/(2.06*10^8*$Z106/10^8))/($D$17/300)*INDEX(Лист1!$L$34:$L$38,MATCH(Лист1!$B$8,Лист1!$I$34:$I$38,0),1),(5/384*($AT$3)*$D$17^4/(2.06*10^8*$AD106/10^8))/($D$17/200))</f>
        <v>0.1080270478955474</v>
      </c>
      <c r="AU106" s="174"/>
      <c r="AV106" s="174">
        <f>IF(OR(MAX(AH106,AQ106)&gt;1,AK106&gt;Лист1!$B$20,N106="-"),999999999,Y106*Лист1!$B$7+0.0001*O106)</f>
        <v>163.21029999999999</v>
      </c>
      <c r="AW106" s="174"/>
      <c r="AX106" s="174">
        <f>IF(OR(MAX(AH106,AT106)&gt;1,AN106&gt;Лист1!$B$20,N106="-"),999999999,Y106*Лист1!$B$7+0.0001*O106)</f>
        <v>163.21029999999999</v>
      </c>
    </row>
    <row r="107" spans="14:50" ht="16.5" thickBot="1" x14ac:dyDescent="0.3">
      <c r="O107">
        <f t="shared" si="8"/>
        <v>104</v>
      </c>
      <c r="P107" s="179" t="s">
        <v>297</v>
      </c>
      <c r="Q107" s="1">
        <v>240</v>
      </c>
      <c r="R107" s="154" t="s">
        <v>253</v>
      </c>
      <c r="S107" s="148">
        <v>200</v>
      </c>
      <c r="T107" s="148">
        <v>200</v>
      </c>
      <c r="X107" s="148">
        <v>41.4</v>
      </c>
      <c r="Y107" s="149">
        <v>32.5</v>
      </c>
      <c r="Z107" s="149">
        <v>2412.4</v>
      </c>
      <c r="AA107" s="150">
        <v>241.2</v>
      </c>
      <c r="AC107" s="151">
        <v>7.63</v>
      </c>
      <c r="AD107" s="152">
        <v>1712.3</v>
      </c>
      <c r="AE107" s="150">
        <v>214</v>
      </c>
      <c r="AF107" s="153">
        <v>6.43</v>
      </c>
      <c r="AG107" s="174"/>
      <c r="AH107" s="174">
        <f t="shared" si="9"/>
        <v>0.46656298600311047</v>
      </c>
      <c r="AI107" s="174"/>
      <c r="AJ107" s="146"/>
      <c r="AK107" s="174">
        <f>(($AK$2+Y107*Лист1!$B$7^2*Лист1!$G$8/100)/(AA107/10^6)+$AK$3/(AE107/10^6))/1000/($Q107*IF(Лист1!$J$19="да",1/1.05,1))</f>
        <v>0.14981503048943098</v>
      </c>
      <c r="AM107" s="146"/>
      <c r="AN107" s="174">
        <f>(($AK$2+Y107*Лист1!$B$7^2*Лист1!$G$8/100)/(AA107/10^6)+$AK$3/(AE107/10^6))/1000/($Q107*IF(Лист1!$J$19="да",1/1.05,1))</f>
        <v>0.14981503048943098</v>
      </c>
      <c r="AP107" s="146"/>
      <c r="AQ107" s="174">
        <f>MAX((5/384*($AQ$2+$Y107/100)*$D$17^4/(2.06*10^8*$Z107/10^8))/($D$17/300)*INDEX(Лист1!$L$34:$L$38,MATCH(Лист1!$B$8,Лист1!$I$34:$I$38,0),1),(5/384*($AQ$3)*$D$17^4/(2.06*10^8*$AD107/10^8))/($D$17/200))</f>
        <v>0.15368445288416369</v>
      </c>
      <c r="AR107" s="174"/>
      <c r="AS107" s="175"/>
      <c r="AT107" s="174">
        <f>MAX((5/384*($AT$2+$Y107/100)*$D$17^4/(2.06*10^8*$Z107/10^8))/($D$17/300)*INDEX(Лист1!$L$34:$L$38,MATCH(Лист1!$B$8,Лист1!$I$34:$I$38,0),1),(5/384*($AT$3)*$D$17^4/(2.06*10^8*$AD107/10^8))/($D$17/200))</f>
        <v>9.1478841002478384E-2</v>
      </c>
      <c r="AU107" s="174"/>
      <c r="AV107" s="174">
        <f>IF(OR(MAX(AH107,AQ107)&gt;1,AK107&gt;Лист1!$B$20,N107="-"),999999999,Y107*Лист1!$B$7+0.0001*O107)</f>
        <v>195.0104</v>
      </c>
      <c r="AW107" s="174"/>
      <c r="AX107" s="174">
        <f>IF(OR(MAX(AH107,AT107)&gt;1,AN107&gt;Лист1!$B$20,N107="-"),999999999,Y107*Лист1!$B$7+0.0001*O107)</f>
        <v>195.0104</v>
      </c>
    </row>
    <row r="108" spans="14:50" ht="16.5" thickBot="1" x14ac:dyDescent="0.3">
      <c r="O108">
        <f t="shared" si="8"/>
        <v>105</v>
      </c>
      <c r="P108" s="179" t="s">
        <v>297</v>
      </c>
      <c r="Q108" s="1">
        <v>240</v>
      </c>
      <c r="R108" s="154" t="s">
        <v>254</v>
      </c>
      <c r="S108" s="148">
        <v>200</v>
      </c>
      <c r="T108" s="148">
        <v>200</v>
      </c>
      <c r="X108" s="148">
        <v>48.2</v>
      </c>
      <c r="Y108" s="149">
        <v>37.799999999999997</v>
      </c>
      <c r="Z108" s="149">
        <v>2767.1</v>
      </c>
      <c r="AA108" s="150">
        <v>276.7</v>
      </c>
      <c r="AC108" s="151">
        <v>7.58</v>
      </c>
      <c r="AD108" s="152">
        <v>1962</v>
      </c>
      <c r="AE108" s="150">
        <v>245.2</v>
      </c>
      <c r="AF108" s="153">
        <v>6.38</v>
      </c>
      <c r="AG108" s="174"/>
      <c r="AH108" s="174">
        <f t="shared" si="9"/>
        <v>0.47021943573667713</v>
      </c>
      <c r="AI108" s="174"/>
      <c r="AJ108" s="146"/>
      <c r="AK108" s="174">
        <f>(($AK$2+Y108*Лист1!$B$7^2*Лист1!$G$8/100)/(AA108/10^6)+$AK$3/(AE108/10^6))/1000/($Q108*IF(Лист1!$J$19="да",1/1.05,1))</f>
        <v>0.13427458711990259</v>
      </c>
      <c r="AM108" s="146"/>
      <c r="AN108" s="174">
        <f>(($AK$2+Y108*Лист1!$B$7^2*Лист1!$G$8/100)/(AA108/10^6)+$AK$3/(AE108/10^6))/1000/($Q108*IF(Лист1!$J$19="да",1/1.05,1))</f>
        <v>0.13427458711990259</v>
      </c>
      <c r="AP108" s="146"/>
      <c r="AQ108" s="174">
        <f>MAX((5/384*($AQ$2+$Y108/100)*$D$17^4/(2.06*10^8*$Z108/10^8))/($D$17/300)*INDEX(Лист1!$L$34:$L$38,MATCH(Лист1!$B$8,Лист1!$I$34:$I$38,0),1),(5/384*($AQ$3)*$D$17^4/(2.06*10^8*$AD108/10^8))/($D$17/200))</f>
        <v>0.13412532552168882</v>
      </c>
      <c r="AR108" s="174"/>
      <c r="AS108" s="175"/>
      <c r="AT108" s="174">
        <f>MAX((5/384*($AT$2+$Y108/100)*$D$17^4/(2.06*10^8*$Z108/10^8))/($D$17/300)*INDEX(Лист1!$L$34:$L$38,MATCH(Лист1!$B$8,Лист1!$I$34:$I$38,0),1),(5/384*($AT$3)*$D$17^4/(2.06*10^8*$AD108/10^8))/($D$17/200))</f>
        <v>7.9836503286719554E-2</v>
      </c>
      <c r="AU108" s="174"/>
      <c r="AV108" s="174">
        <f>IF(OR(MAX(AH108,AQ108)&gt;1,AK108&gt;Лист1!$B$20,N108="-"),999999999,Y108*Лист1!$B$7+0.0001*O108)</f>
        <v>226.81049999999999</v>
      </c>
      <c r="AW108" s="174"/>
      <c r="AX108" s="174">
        <f>IF(OR(MAX(AH108,AT108)&gt;1,AN108&gt;Лист1!$B$20,N108="-"),999999999,Y108*Лист1!$B$7+0.0001*O108)</f>
        <v>226.81049999999999</v>
      </c>
    </row>
    <row r="109" spans="14:50" ht="16.5" thickBot="1" x14ac:dyDescent="0.3">
      <c r="O109">
        <f t="shared" si="8"/>
        <v>106</v>
      </c>
      <c r="P109" s="179" t="s">
        <v>297</v>
      </c>
      <c r="Q109" s="1">
        <v>240</v>
      </c>
      <c r="R109" s="154" t="s">
        <v>255</v>
      </c>
      <c r="S109" s="148">
        <v>200</v>
      </c>
      <c r="T109" s="148">
        <v>200</v>
      </c>
      <c r="X109" s="148">
        <v>54.8</v>
      </c>
      <c r="Y109" s="149">
        <v>43</v>
      </c>
      <c r="Z109" s="149">
        <v>3104.3</v>
      </c>
      <c r="AA109" s="150">
        <v>310.39999999999998</v>
      </c>
      <c r="AC109" s="151">
        <v>7.53</v>
      </c>
      <c r="AD109" s="152">
        <v>2199</v>
      </c>
      <c r="AE109" s="150">
        <v>274.89999999999998</v>
      </c>
      <c r="AF109" s="153">
        <v>6.33</v>
      </c>
      <c r="AG109" s="174"/>
      <c r="AH109" s="174">
        <f t="shared" si="9"/>
        <v>0.47393364928909953</v>
      </c>
      <c r="AI109" s="174"/>
      <c r="AJ109" s="146"/>
      <c r="AK109" s="174">
        <f>(($AK$2+Y109*Лист1!$B$7^2*Лист1!$G$8/100)/(AA109/10^6)+$AK$3/(AE109/10^6))/1000/($Q109*IF(Лист1!$J$19="да",1/1.05,1))</f>
        <v>0.1228766390727518</v>
      </c>
      <c r="AM109" s="146"/>
      <c r="AN109" s="174">
        <f>(($AK$2+Y109*Лист1!$B$7^2*Лист1!$G$8/100)/(AA109/10^6)+$AK$3/(AE109/10^6))/1000/($Q109*IF(Лист1!$J$19="да",1/1.05,1))</f>
        <v>0.1228766390727518</v>
      </c>
      <c r="AP109" s="146"/>
      <c r="AQ109" s="174">
        <f>MAX((5/384*($AQ$2+$Y109/100)*$D$17^4/(2.06*10^8*$Z109/10^8))/($D$17/300)*INDEX(Лист1!$L$34:$L$38,MATCH(Лист1!$B$8,Лист1!$I$34:$I$38,0),1),(5/384*($AQ$3)*$D$17^4/(2.06*10^8*$AD109/10^8))/($D$17/200))</f>
        <v>0.12402542792975231</v>
      </c>
      <c r="AR109" s="174"/>
      <c r="AS109" s="175"/>
      <c r="AT109" s="174">
        <f>MAX((5/384*($AT$2+$Y109/100)*$D$17^4/(2.06*10^8*$Z109/10^8))/($D$17/300)*INDEX(Лист1!$L$34:$L$38,MATCH(Лист1!$B$8,Лист1!$I$34:$I$38,0),1),(5/384*($AT$3)*$D$17^4/(2.06*10^8*$AD109/10^8))/($D$17/200))</f>
        <v>7.1232023396336414E-2</v>
      </c>
      <c r="AU109" s="174"/>
      <c r="AV109" s="174">
        <f>IF(OR(MAX(AH109,AQ109)&gt;1,AK109&gt;Лист1!$B$20,N109="-"),999999999,Y109*Лист1!$B$7+0.0001*O109)</f>
        <v>258.01060000000001</v>
      </c>
      <c r="AW109" s="174"/>
      <c r="AX109" s="174">
        <f>IF(OR(MAX(AH109,AT109)&gt;1,AN109&gt;Лист1!$B$20,N109="-"),999999999,Y109*Лист1!$B$7+0.0001*O109)</f>
        <v>258.01060000000001</v>
      </c>
    </row>
    <row r="110" spans="14:50" ht="16.5" thickBot="1" x14ac:dyDescent="0.3">
      <c r="N110" t="s">
        <v>344</v>
      </c>
      <c r="O110">
        <f t="shared" si="8"/>
        <v>107</v>
      </c>
      <c r="P110" s="179" t="s">
        <v>297</v>
      </c>
      <c r="Q110" s="1">
        <v>240</v>
      </c>
      <c r="R110" s="154" t="s">
        <v>256</v>
      </c>
      <c r="S110" s="148">
        <v>200</v>
      </c>
      <c r="T110" s="148">
        <v>200</v>
      </c>
      <c r="X110" s="148">
        <v>61.3</v>
      </c>
      <c r="Y110" s="149">
        <v>48.1</v>
      </c>
      <c r="Z110" s="149">
        <v>3424</v>
      </c>
      <c r="AA110" s="150">
        <v>342.3</v>
      </c>
      <c r="AC110" s="151">
        <v>7.48</v>
      </c>
      <c r="AD110" s="152">
        <v>2436</v>
      </c>
      <c r="AE110" s="150">
        <v>303.3</v>
      </c>
      <c r="AF110" s="153">
        <v>6.28</v>
      </c>
      <c r="AG110" s="174"/>
      <c r="AH110" s="174">
        <f t="shared" si="9"/>
        <v>0.4777070063694267</v>
      </c>
      <c r="AI110" s="174"/>
      <c r="AJ110" s="146"/>
      <c r="AK110" s="174">
        <f>(($AK$2+Y110*Лист1!$B$7^2*Лист1!$G$8/100)/(AA110/10^6)+$AK$3/(AE110/10^6))/1000/($Q110*IF(Лист1!$J$19="да",1/1.05,1))</f>
        <v>0.11418982936376847</v>
      </c>
      <c r="AM110" s="146"/>
      <c r="AN110" s="174">
        <f>(($AK$2+Y110*Лист1!$B$7^2*Лист1!$G$8/100)/(AA110/10^6)+$AK$3/(AE110/10^6))/1000/($Q110*IF(Лист1!$J$19="да",1/1.05,1))</f>
        <v>0.11418982936376847</v>
      </c>
      <c r="AP110" s="146"/>
      <c r="AQ110" s="174">
        <f>MAX((5/384*($AQ$2+$Y110/100)*$D$17^4/(2.06*10^8*$Z110/10^8))/($D$17/300)*INDEX(Лист1!$L$34:$L$38,MATCH(Лист1!$B$8,Лист1!$I$34:$I$38,0),1),(5/384*($AQ$3)*$D$17^4/(2.06*10^8*$AD110/10^8))/($D$17/200))</f>
        <v>0.11854587974094911</v>
      </c>
      <c r="AR110" s="174"/>
      <c r="AS110" s="175"/>
      <c r="AT110" s="174">
        <f>MAX((5/384*($AT$2+$Y110/100)*$D$17^4/(2.06*10^8*$Z110/10^8))/($D$17/300)*INDEX(Лист1!$L$34:$L$38,MATCH(Лист1!$B$8,Лист1!$I$34:$I$38,0),1),(5/384*($AT$3)*$D$17^4/(2.06*10^8*$AD110/10^8))/($D$17/200))</f>
        <v>6.8304437267489346E-2</v>
      </c>
      <c r="AU110" s="174"/>
      <c r="AV110" s="174">
        <f>IF(OR(MAX(AH110,AQ110)&gt;1,AK110&gt;Лист1!$B$20,N110="-"),999999999,Y110*Лист1!$B$7+0.0001*O110)</f>
        <v>999999999</v>
      </c>
      <c r="AW110" s="174"/>
      <c r="AX110" s="174">
        <f>IF(OR(MAX(AH110,AT110)&gt;1,AN110&gt;Лист1!$B$20,N110="-"),999999999,Y110*Лист1!$B$7+0.0001*O110)</f>
        <v>999999999</v>
      </c>
    </row>
    <row r="111" spans="14:50" ht="16.5" thickBot="1" x14ac:dyDescent="0.3">
      <c r="O111">
        <f t="shared" si="8"/>
        <v>108</v>
      </c>
      <c r="P111" s="179" t="s">
        <v>297</v>
      </c>
      <c r="Q111" s="1">
        <v>240</v>
      </c>
      <c r="R111" s="154" t="s">
        <v>257</v>
      </c>
      <c r="S111" s="148">
        <v>200</v>
      </c>
      <c r="T111" s="148">
        <v>200</v>
      </c>
      <c r="X111" s="148">
        <v>67.7</v>
      </c>
      <c r="Y111" s="149">
        <v>53.1</v>
      </c>
      <c r="Z111" s="149">
        <v>3726.7</v>
      </c>
      <c r="AA111" s="150">
        <v>372.4</v>
      </c>
      <c r="AC111" s="151">
        <v>7.43</v>
      </c>
      <c r="AD111" s="152">
        <v>2211.6999999999998</v>
      </c>
      <c r="AE111" s="150">
        <v>330.4</v>
      </c>
      <c r="AF111" s="153">
        <v>6.23</v>
      </c>
      <c r="AG111" s="174"/>
      <c r="AH111" s="174">
        <f t="shared" si="9"/>
        <v>0.4815409309791332</v>
      </c>
      <c r="AI111" s="174"/>
      <c r="AJ111" s="146"/>
      <c r="AK111" s="174">
        <f>(($AK$2+Y111*Лист1!$B$7^2*Лист1!$G$8/100)/(AA111/10^6)+$AK$3/(AE111/10^6))/1000/($Q111*IF(Лист1!$J$19="да",1/1.05,1))</f>
        <v>0.10740647579813652</v>
      </c>
      <c r="AM111" s="146"/>
      <c r="AN111" s="174">
        <f>(($AK$2+Y111*Лист1!$B$7^2*Лист1!$G$8/100)/(AA111/10^6)+$AK$3/(AE111/10^6))/1000/($Q111*IF(Лист1!$J$19="да",1/1.05,1))</f>
        <v>0.10740647579813652</v>
      </c>
      <c r="AP111" s="146"/>
      <c r="AQ111" s="174">
        <f>MAX((5/384*($AQ$2+$Y111/100)*$D$17^4/(2.06*10^8*$Z111/10^8))/($D$17/300)*INDEX(Лист1!$L$34:$L$38,MATCH(Лист1!$B$8,Лист1!$I$34:$I$38,0),1),(5/384*($AQ$3)*$D$17^4/(2.06*10^8*$AD111/10^8))/($D$17/200))</f>
        <v>0.1189826326687858</v>
      </c>
      <c r="AR111" s="174"/>
      <c r="AS111" s="175"/>
      <c r="AT111" s="174">
        <f>MAX((5/384*($AT$2+$Y111/100)*$D$17^4/(2.06*10^8*$Z111/10^8))/($D$17/300)*INDEX(Лист1!$L$34:$L$38,MATCH(Лист1!$B$8,Лист1!$I$34:$I$38,0),1),(5/384*($AT$3)*$D$17^4/(2.06*10^8*$AD111/10^8))/($D$17/200))</f>
        <v>7.0822995636182023E-2</v>
      </c>
      <c r="AU111" s="174"/>
      <c r="AV111" s="174">
        <f>IF(OR(MAX(AH111,AQ111)&gt;1,AK111&gt;Лист1!$B$20,N111="-"),999999999,Y111*Лист1!$B$7+0.0001*O111)</f>
        <v>318.61080000000004</v>
      </c>
      <c r="AW111" s="174"/>
      <c r="AX111" s="174">
        <f>IF(OR(MAX(AH111,AT111)&gt;1,AN111&gt;Лист1!$B$20,N111="-"),999999999,Y111*Лист1!$B$7+0.0001*O111)</f>
        <v>318.61080000000004</v>
      </c>
    </row>
    <row r="112" spans="14:50" ht="16.5" thickBot="1" x14ac:dyDescent="0.3">
      <c r="O112">
        <f t="shared" si="8"/>
        <v>109</v>
      </c>
      <c r="P112" s="179" t="s">
        <v>297</v>
      </c>
      <c r="Q112" s="1">
        <v>240</v>
      </c>
      <c r="R112" s="154" t="s">
        <v>258</v>
      </c>
      <c r="S112" s="148">
        <v>300</v>
      </c>
      <c r="T112" s="148">
        <v>300</v>
      </c>
      <c r="X112" s="148">
        <v>75.8</v>
      </c>
      <c r="Y112" s="149">
        <v>59.5</v>
      </c>
      <c r="Z112" s="149">
        <v>9512</v>
      </c>
      <c r="AA112" s="150">
        <v>634</v>
      </c>
      <c r="AC112" s="151">
        <v>11.2</v>
      </c>
      <c r="AD112" s="152">
        <v>5069</v>
      </c>
      <c r="AE112" s="150">
        <v>510</v>
      </c>
      <c r="AF112" s="153">
        <v>8.1999999999999993</v>
      </c>
      <c r="AG112" s="174"/>
      <c r="AH112" s="174">
        <f t="shared" si="9"/>
        <v>0.36585365853658536</v>
      </c>
      <c r="AI112" s="174"/>
      <c r="AJ112" s="146"/>
      <c r="AK112" s="174">
        <f>(($AK$2+Y112*Лист1!$B$7^2*Лист1!$G$8/100)/(AA112/10^6)+$AK$3/(AE112/10^6))/1000/($Q112*IF(Лист1!$J$19="да",1/1.05,1))</f>
        <v>6.8288038366549939E-2</v>
      </c>
      <c r="AM112" s="146"/>
      <c r="AN112" s="174">
        <f>(($AK$2+Y112*Лист1!$B$7^2*Лист1!$G$8/100)/(AA112/10^6)+$AK$3/(AE112/10^6))/1000/($Q112*IF(Лист1!$J$19="да",1/1.05,1))</f>
        <v>6.8288038366549939E-2</v>
      </c>
      <c r="AP112" s="146"/>
      <c r="AQ112" s="174">
        <f>MAX((5/384*($AQ$2+$Y112/100)*$D$17^4/(2.06*10^8*$Z112/10^8))/($D$17/300)*INDEX(Лист1!$L$34:$L$38,MATCH(Лист1!$B$8,Лист1!$I$34:$I$38,0),1),(5/384*($AQ$3)*$D$17^4/(2.06*10^8*$AD112/10^8))/($D$17/200))</f>
        <v>5.1914359572608697E-2</v>
      </c>
      <c r="AR112" s="174"/>
      <c r="AS112" s="175"/>
      <c r="AT112" s="174">
        <f>MAX((5/384*($AT$2+$Y112/100)*$D$17^4/(2.06*10^8*$Z112/10^8))/($D$17/300)*INDEX(Лист1!$L$34:$L$38,MATCH(Лист1!$B$8,Лист1!$I$34:$I$38,0),1),(5/384*($AT$3)*$D$17^4/(2.06*10^8*$AD112/10^8))/($D$17/200))</f>
        <v>3.0901404507505177E-2</v>
      </c>
      <c r="AU112" s="174"/>
      <c r="AV112" s="174">
        <f>IF(OR(MAX(AH112,AQ112)&gt;1,AK112&gt;Лист1!$B$20,N112="-"),999999999,Y112*Лист1!$B$7+0.0001*O112)</f>
        <v>357.01089999999999</v>
      </c>
      <c r="AW112" s="174"/>
      <c r="AX112" s="174">
        <f>IF(OR(MAX(AH112,AT112)&gt;1,AN112&gt;Лист1!$B$20,N112="-"),999999999,Y112*Лист1!$B$7+0.0001*O112)</f>
        <v>357.01089999999999</v>
      </c>
    </row>
    <row r="113" spans="14:50" ht="16.5" thickBot="1" x14ac:dyDescent="0.3">
      <c r="N113" t="s">
        <v>344</v>
      </c>
      <c r="O113">
        <f t="shared" si="8"/>
        <v>110</v>
      </c>
      <c r="P113" s="179" t="s">
        <v>297</v>
      </c>
      <c r="Q113" s="1">
        <v>240</v>
      </c>
      <c r="R113" s="154" t="s">
        <v>259</v>
      </c>
      <c r="S113" s="148">
        <v>300</v>
      </c>
      <c r="T113" s="148">
        <v>300</v>
      </c>
      <c r="X113" s="148">
        <v>84.7</v>
      </c>
      <c r="Y113" s="149">
        <v>66.5</v>
      </c>
      <c r="Z113" s="149">
        <v>10527</v>
      </c>
      <c r="AA113" s="150">
        <v>702</v>
      </c>
      <c r="AC113" s="151">
        <v>11.15</v>
      </c>
      <c r="AD113" s="152">
        <v>5630</v>
      </c>
      <c r="AE113" s="150">
        <v>563</v>
      </c>
      <c r="AF113" s="153">
        <v>8.15</v>
      </c>
      <c r="AG113" s="174"/>
      <c r="AH113" s="174">
        <f t="shared" si="9"/>
        <v>0.36809815950920244</v>
      </c>
      <c r="AI113" s="174"/>
      <c r="AJ113" s="146"/>
      <c r="AK113" s="174">
        <f>(($AK$2+Y113*Лист1!$B$7^2*Лист1!$G$8/100)/(AA113/10^6)+$AK$3/(AE113/10^6))/1000/($Q113*IF(Лист1!$J$19="да",1/1.05,1))</f>
        <v>6.3639541172949066E-2</v>
      </c>
      <c r="AM113" s="146"/>
      <c r="AN113" s="174">
        <f>(($AK$2+Y113*Лист1!$B$7^2*Лист1!$G$8/100)/(AA113/10^6)+$AK$3/(AE113/10^6))/1000/($Q113*IF(Лист1!$J$19="да",1/1.05,1))</f>
        <v>6.3639541172949066E-2</v>
      </c>
      <c r="AP113" s="146"/>
      <c r="AQ113" s="174">
        <f>MAX((5/384*($AQ$2+$Y113/100)*$D$17^4/(2.06*10^8*$Z113/10^8))/($D$17/300)*INDEX(Лист1!$L$34:$L$38,MATCH(Лист1!$B$8,Лист1!$I$34:$I$38,0),1),(5/384*($AQ$3)*$D$17^4/(2.06*10^8*$AD113/10^8))/($D$17/200))</f>
        <v>4.6741365661377175E-2</v>
      </c>
      <c r="AR113" s="174"/>
      <c r="AS113" s="175"/>
      <c r="AT113" s="174">
        <f>MAX((5/384*($AT$2+$Y113/100)*$D$17^4/(2.06*10^8*$Z113/10^8))/($D$17/300)*INDEX(Лист1!$L$34:$L$38,MATCH(Лист1!$B$8,Лист1!$I$34:$I$38,0),1),(5/384*($AT$3)*$D$17^4/(2.06*10^8*$AD113/10^8))/($D$17/200))</f>
        <v>2.9375745309564587E-2</v>
      </c>
      <c r="AU113" s="174"/>
      <c r="AV113" s="174">
        <f>IF(OR(MAX(AH113,AQ113)&gt;1,AK113&gt;Лист1!$B$20,N113="-"),999999999,Y113*Лист1!$B$7+0.0001*O113)</f>
        <v>999999999</v>
      </c>
      <c r="AW113" s="174"/>
      <c r="AX113" s="174">
        <f>IF(OR(MAX(AH113,AT113)&gt;1,AN113&gt;Лист1!$B$20,N113="-"),999999999,Y113*Лист1!$B$7+0.0001*O113)</f>
        <v>999999999</v>
      </c>
    </row>
    <row r="114" spans="14:50" ht="16.5" thickBot="1" x14ac:dyDescent="0.3">
      <c r="O114">
        <f t="shared" si="8"/>
        <v>111</v>
      </c>
      <c r="P114" s="179" t="s">
        <v>297</v>
      </c>
      <c r="Q114" s="1">
        <v>240</v>
      </c>
      <c r="R114" s="154" t="s">
        <v>260</v>
      </c>
      <c r="S114" s="148">
        <v>300</v>
      </c>
      <c r="T114" s="148">
        <v>300</v>
      </c>
      <c r="X114" s="148">
        <v>93.4</v>
      </c>
      <c r="Y114" s="149">
        <v>73.3</v>
      </c>
      <c r="Z114" s="149">
        <v>11505</v>
      </c>
      <c r="AA114" s="150">
        <v>767</v>
      </c>
      <c r="AC114" s="151">
        <v>11.1</v>
      </c>
      <c r="AD114" s="152">
        <v>6143</v>
      </c>
      <c r="AE114" s="150">
        <v>614</v>
      </c>
      <c r="AF114" s="153">
        <v>8.11</v>
      </c>
      <c r="AG114" s="174"/>
      <c r="AH114" s="174">
        <f t="shared" si="9"/>
        <v>0.3699136868064119</v>
      </c>
      <c r="AI114" s="174"/>
      <c r="AJ114" s="146"/>
      <c r="AK114" s="174">
        <f>(($AK$2+Y114*Лист1!$B$7^2*Лист1!$G$8/100)/(AA114/10^6)+$AK$3/(AE114/10^6))/1000/($Q114*IF(Лист1!$J$19="да",1/1.05,1))</f>
        <v>5.9962725608748775E-2</v>
      </c>
      <c r="AM114" s="146"/>
      <c r="AN114" s="174">
        <f>(($AK$2+Y114*Лист1!$B$7^2*Лист1!$G$8/100)/(AA114/10^6)+$AK$3/(AE114/10^6))/1000/($Q114*IF(Лист1!$J$19="да",1/1.05,1))</f>
        <v>5.9962725608748775E-2</v>
      </c>
      <c r="AP114" s="146"/>
      <c r="AQ114" s="174">
        <f>MAX((5/384*($AQ$2+$Y114/100)*$D$17^4/(2.06*10^8*$Z114/10^8))/($D$17/300)*INDEX(Лист1!$L$34:$L$38,MATCH(Лист1!$B$8,Лист1!$I$34:$I$38,0),1),(5/384*($AQ$3)*$D$17^4/(2.06*10^8*$AD114/10^8))/($D$17/200))</f>
        <v>4.4251813268186481E-2</v>
      </c>
      <c r="AR114" s="174"/>
      <c r="AS114" s="175"/>
      <c r="AT114" s="174">
        <f>MAX((5/384*($AT$2+$Y114/100)*$D$17^4/(2.06*10^8*$Z114/10^8))/($D$17/300)*INDEX(Лист1!$L$34:$L$38,MATCH(Лист1!$B$8,Лист1!$I$34:$I$38,0),1),(5/384*($AT$3)*$D$17^4/(2.06*10^8*$AD114/10^8))/($D$17/200))</f>
        <v>2.9299470892773505E-2</v>
      </c>
      <c r="AU114" s="174"/>
      <c r="AV114" s="174">
        <f>IF(OR(MAX(AH114,AQ114)&gt;1,AK114&gt;Лист1!$B$20,N114="-"),999999999,Y114*Лист1!$B$7+0.0001*O114)</f>
        <v>439.81109999999995</v>
      </c>
      <c r="AW114" s="174"/>
      <c r="AX114" s="174">
        <f>IF(OR(MAX(AH114,AT114)&gt;1,AN114&gt;Лист1!$B$20,N114="-"),999999999,Y114*Лист1!$B$7+0.0001*O114)</f>
        <v>439.81109999999995</v>
      </c>
    </row>
    <row r="115" spans="14:50" ht="16.5" thickBot="1" x14ac:dyDescent="0.3">
      <c r="N115" t="s">
        <v>344</v>
      </c>
      <c r="O115">
        <f t="shared" si="8"/>
        <v>112</v>
      </c>
      <c r="P115" s="179" t="s">
        <v>297</v>
      </c>
      <c r="Q115" s="1">
        <v>240</v>
      </c>
      <c r="R115" s="154" t="s">
        <v>261</v>
      </c>
      <c r="S115" s="148">
        <v>300</v>
      </c>
      <c r="T115" s="148">
        <v>300</v>
      </c>
      <c r="X115" s="148">
        <v>102</v>
      </c>
      <c r="Y115" s="149">
        <v>80.099999999999994</v>
      </c>
      <c r="Z115" s="149">
        <v>12446</v>
      </c>
      <c r="AA115" s="150">
        <v>830</v>
      </c>
      <c r="AC115" s="151">
        <v>11.05</v>
      </c>
      <c r="AD115" s="152">
        <v>6634</v>
      </c>
      <c r="AE115" s="150">
        <v>663</v>
      </c>
      <c r="AF115" s="153">
        <v>8.06</v>
      </c>
      <c r="AG115" s="174"/>
      <c r="AH115" s="174">
        <f t="shared" si="9"/>
        <v>0.37220843672456572</v>
      </c>
      <c r="AI115" s="174"/>
      <c r="AJ115" s="146"/>
      <c r="AK115" s="174">
        <f>(($AK$2+Y115*Лист1!$B$7^2*Лист1!$G$8/100)/(AA115/10^6)+$AK$3/(AE115/10^6))/1000/($Q115*IF(Лист1!$J$19="да",1/1.05,1))</f>
        <v>5.70062576916439E-2</v>
      </c>
      <c r="AM115" s="146"/>
      <c r="AN115" s="174">
        <f>(($AK$2+Y115*Лист1!$B$7^2*Лист1!$G$8/100)/(AA115/10^6)+$AK$3/(AE115/10^6))/1000/($Q115*IF(Лист1!$J$19="да",1/1.05,1))</f>
        <v>5.70062576916439E-2</v>
      </c>
      <c r="AP115" s="146"/>
      <c r="AQ115" s="174">
        <f>MAX((5/384*($AQ$2+$Y115/100)*$D$17^4/(2.06*10^8*$Z115/10^8))/($D$17/300)*INDEX(Лист1!$L$34:$L$38,MATCH(Лист1!$B$8,Лист1!$I$34:$I$38,0),1),(5/384*($AQ$3)*$D$17^4/(2.06*10^8*$AD115/10^8))/($D$17/200))</f>
        <v>4.3143905945529352E-2</v>
      </c>
      <c r="AR115" s="174"/>
      <c r="AS115" s="175"/>
      <c r="AT115" s="174">
        <f>MAX((5/384*($AT$2+$Y115/100)*$D$17^4/(2.06*10^8*$Z115/10^8))/($D$17/300)*INDEX(Лист1!$L$34:$L$38,MATCH(Лист1!$B$8,Лист1!$I$34:$I$38,0),1),(5/384*($AT$3)*$D$17^4/(2.06*10^8*$AD115/10^8))/($D$17/200))</f>
        <v>2.9322059647190427E-2</v>
      </c>
      <c r="AU115" s="174"/>
      <c r="AV115" s="174">
        <f>IF(OR(MAX(AH115,AQ115)&gt;1,AK115&gt;Лист1!$B$20,N115="-"),999999999,Y115*Лист1!$B$7+0.0001*O115)</f>
        <v>999999999</v>
      </c>
      <c r="AW115" s="174"/>
      <c r="AX115" s="174">
        <f>IF(OR(MAX(AH115,AT115)&gt;1,AN115&gt;Лист1!$B$20,N115="-"),999999999,Y115*Лист1!$B$7+0.0001*O115)</f>
        <v>999999999</v>
      </c>
    </row>
    <row r="116" spans="14:50" ht="16.5" thickBot="1" x14ac:dyDescent="0.3">
      <c r="O116">
        <f t="shared" si="8"/>
        <v>113</v>
      </c>
      <c r="P116" s="179" t="s">
        <v>297</v>
      </c>
      <c r="Q116" s="1">
        <v>240</v>
      </c>
      <c r="R116" s="154" t="s">
        <v>262</v>
      </c>
      <c r="S116" s="148">
        <v>300</v>
      </c>
      <c r="T116" s="148">
        <v>300</v>
      </c>
      <c r="X116" s="148">
        <v>111</v>
      </c>
      <c r="Y116" s="149">
        <v>86.8</v>
      </c>
      <c r="Z116" s="149">
        <v>13351</v>
      </c>
      <c r="AA116" s="150">
        <v>890</v>
      </c>
      <c r="AC116" s="151">
        <v>11</v>
      </c>
      <c r="AD116" s="152">
        <v>7104</v>
      </c>
      <c r="AE116" s="150">
        <v>710</v>
      </c>
      <c r="AF116" s="153">
        <v>8.01</v>
      </c>
      <c r="AG116" s="174"/>
      <c r="AH116" s="174">
        <f t="shared" si="9"/>
        <v>0.37453183520599254</v>
      </c>
      <c r="AI116" s="174"/>
      <c r="AJ116" s="146"/>
      <c r="AK116" s="174">
        <f>(($AK$2+Y116*Лист1!$B$7^2*Лист1!$G$8/100)/(AA116/10^6)+$AK$3/(AE116/10^6))/1000/($Q116*IF(Лист1!$J$19="да",1/1.05,1))</f>
        <v>5.4607867251890742E-2</v>
      </c>
      <c r="AM116" s="146"/>
      <c r="AN116" s="174">
        <f>(($AK$2+Y116*Лист1!$B$7^2*Лист1!$G$8/100)/(AA116/10^6)+$AK$3/(AE116/10^6))/1000/($Q116*IF(Лист1!$J$19="да",1/1.05,1))</f>
        <v>5.4607867251890742E-2</v>
      </c>
      <c r="AP116" s="146"/>
      <c r="AQ116" s="174">
        <f>MAX((5/384*($AQ$2+$Y116/100)*$D$17^4/(2.06*10^8*$Z116/10^8))/($D$17/300)*INDEX(Лист1!$L$34:$L$38,MATCH(Лист1!$B$8,Лист1!$I$34:$I$38,0),1),(5/384*($AQ$3)*$D$17^4/(2.06*10^8*$AD116/10^8))/($D$17/200))</f>
        <v>4.2274841417645891E-2</v>
      </c>
      <c r="AR116" s="174"/>
      <c r="AS116" s="175"/>
      <c r="AT116" s="174">
        <f>MAX((5/384*($AT$2+$Y116/100)*$D$17^4/(2.06*10^8*$Z116/10^8))/($D$17/300)*INDEX(Лист1!$L$34:$L$38,MATCH(Лист1!$B$8,Лист1!$I$34:$I$38,0),1),(5/384*($AT$3)*$D$17^4/(2.06*10^8*$AD116/10^8))/($D$17/200))</f>
        <v>2.93899115225724E-2</v>
      </c>
      <c r="AU116" s="174"/>
      <c r="AV116" s="174">
        <f>IF(OR(MAX(AH116,AQ116)&gt;1,AK116&gt;Лист1!$B$20,N116="-"),999999999,Y116*Лист1!$B$7+0.0001*O116)</f>
        <v>520.81129999999996</v>
      </c>
      <c r="AW116" s="174"/>
      <c r="AX116" s="174">
        <f>IF(OR(MAX(AH116,AT116)&gt;1,AN116&gt;Лист1!$B$20,N116="-"),999999999,Y116*Лист1!$B$7+0.0001*O116)</f>
        <v>520.81129999999996</v>
      </c>
    </row>
    <row r="117" spans="14:50" ht="16.5" thickBot="1" x14ac:dyDescent="0.3">
      <c r="N117" t="s">
        <v>344</v>
      </c>
      <c r="O117">
        <f t="shared" si="8"/>
        <v>114</v>
      </c>
      <c r="P117" s="179" t="s">
        <v>297</v>
      </c>
      <c r="Q117" s="1">
        <v>240</v>
      </c>
      <c r="R117" s="154" t="s">
        <v>263</v>
      </c>
      <c r="S117" s="148">
        <v>300</v>
      </c>
      <c r="T117" s="148">
        <v>300</v>
      </c>
      <c r="X117" s="148">
        <v>119</v>
      </c>
      <c r="Y117" s="149">
        <v>93.4</v>
      </c>
      <c r="Z117" s="149">
        <v>12482</v>
      </c>
      <c r="AA117" s="150">
        <v>945</v>
      </c>
      <c r="AC117" s="151">
        <v>10.95</v>
      </c>
      <c r="AD117" s="152">
        <v>7553</v>
      </c>
      <c r="AE117" s="150">
        <v>755</v>
      </c>
      <c r="AF117" s="153">
        <v>7.96</v>
      </c>
      <c r="AG117" s="174"/>
      <c r="AH117" s="174">
        <f t="shared" si="9"/>
        <v>0.37688442211055273</v>
      </c>
      <c r="AI117" s="174"/>
      <c r="AJ117" s="146"/>
      <c r="AK117" s="174">
        <f>(($AK$2+Y117*Лист1!$B$7^2*Лист1!$G$8/100)/(AA117/10^6)+$AK$3/(AE117/10^6))/1000/($Q117*IF(Лист1!$J$19="да",1/1.05,1))</f>
        <v>5.2703484124919417E-2</v>
      </c>
      <c r="AM117" s="146"/>
      <c r="AN117" s="174">
        <f>(($AK$2+Y117*Лист1!$B$7^2*Лист1!$G$8/100)/(AA117/10^6)+$AK$3/(AE117/10^6))/1000/($Q117*IF(Лист1!$J$19="да",1/1.05,1))</f>
        <v>5.2703484124919417E-2</v>
      </c>
      <c r="AP117" s="146"/>
      <c r="AQ117" s="174">
        <f>MAX((5/384*($AQ$2+$Y117/100)*$D$17^4/(2.06*10^8*$Z117/10^8))/($D$17/300)*INDEX(Лист1!$L$34:$L$38,MATCH(Лист1!$B$8,Лист1!$I$34:$I$38,0),1),(5/384*($AQ$3)*$D$17^4/(2.06*10^8*$AD117/10^8))/($D$17/200))</f>
        <v>4.7383766604492998E-2</v>
      </c>
      <c r="AR117" s="174"/>
      <c r="AS117" s="175"/>
      <c r="AT117" s="174">
        <f>MAX((5/384*($AT$2+$Y117/100)*$D$17^4/(2.06*10^8*$Z117/10^8))/($D$17/300)*INDEX(Лист1!$L$34:$L$38,MATCH(Лист1!$B$8,Лист1!$I$34:$I$38,0),1),(5/384*($AT$3)*$D$17^4/(2.06*10^8*$AD117/10^8))/($D$17/200))</f>
        <v>3.3601784628116922E-2</v>
      </c>
      <c r="AU117" s="174"/>
      <c r="AV117" s="174">
        <f>IF(OR(MAX(AH117,AQ117)&gt;1,AK117&gt;Лист1!$B$20,N117="-"),999999999,Y117*Лист1!$B$7+0.0001*O117)</f>
        <v>999999999</v>
      </c>
      <c r="AW117" s="174"/>
      <c r="AX117" s="174">
        <f>IF(OR(MAX(AH117,AT117)&gt;1,AN117&gt;Лист1!$B$20,N117="-"),999999999,Y117*Лист1!$B$7+0.0001*O117)</f>
        <v>999999999</v>
      </c>
    </row>
    <row r="118" spans="14:50" ht="16.5" thickBot="1" x14ac:dyDescent="0.3">
      <c r="N118" t="s">
        <v>344</v>
      </c>
      <c r="O118">
        <f t="shared" si="8"/>
        <v>115</v>
      </c>
      <c r="P118" s="179" t="s">
        <v>297</v>
      </c>
      <c r="Q118" s="1">
        <v>240</v>
      </c>
      <c r="R118" s="154" t="s">
        <v>264</v>
      </c>
      <c r="S118" s="148">
        <v>300</v>
      </c>
      <c r="T118" s="148">
        <v>300</v>
      </c>
      <c r="X118" s="148">
        <v>127</v>
      </c>
      <c r="Y118" s="149">
        <v>99.8</v>
      </c>
      <c r="Z118" s="149">
        <v>15054</v>
      </c>
      <c r="AA118" s="150">
        <v>1004</v>
      </c>
      <c r="AC118" s="151">
        <v>10.9</v>
      </c>
      <c r="AD118" s="152">
        <v>7983</v>
      </c>
      <c r="AE118" s="150">
        <v>798</v>
      </c>
      <c r="AF118" s="153">
        <v>7.92</v>
      </c>
      <c r="AG118" s="174"/>
      <c r="AH118" s="174">
        <f t="shared" si="9"/>
        <v>0.37878787878787884</v>
      </c>
      <c r="AI118" s="174"/>
      <c r="AJ118" s="146"/>
      <c r="AK118" s="174">
        <f>(($AK$2+Y118*Лист1!$B$7^2*Лист1!$G$8/100)/(AA118/10^6)+$AK$3/(AE118/10^6))/1000/($Q118*IF(Лист1!$J$19="да",1/1.05,1))</f>
        <v>5.0918387798438255E-2</v>
      </c>
      <c r="AM118" s="146"/>
      <c r="AN118" s="174">
        <f>(($AK$2+Y118*Лист1!$B$7^2*Лист1!$G$8/100)/(AA118/10^6)+$AK$3/(AE118/10^6))/1000/($Q118*IF(Лист1!$J$19="да",1/1.05,1))</f>
        <v>5.0918387798438255E-2</v>
      </c>
      <c r="AP118" s="146"/>
      <c r="AQ118" s="174">
        <f>MAX((5/384*($AQ$2+$Y118/100)*$D$17^4/(2.06*10^8*$Z118/10^8))/($D$17/300)*INDEX(Лист1!$L$34:$L$38,MATCH(Лист1!$B$8,Лист1!$I$34:$I$38,0),1),(5/384*($AQ$3)*$D$17^4/(2.06*10^8*$AD118/10^8))/($D$17/200))</f>
        <v>4.1029478343981088E-2</v>
      </c>
      <c r="AR118" s="174"/>
      <c r="AS118" s="175"/>
      <c r="AT118" s="174">
        <f>MAX((5/384*($AT$2+$Y118/100)*$D$17^4/(2.06*10^8*$Z118/10^8))/($D$17/300)*INDEX(Лист1!$L$34:$L$38,MATCH(Лист1!$B$8,Лист1!$I$34:$I$38,0),1),(5/384*($AT$3)*$D$17^4/(2.06*10^8*$AD118/10^8))/($D$17/200))</f>
        <v>2.9602170051890864E-2</v>
      </c>
      <c r="AU118" s="174"/>
      <c r="AV118" s="174">
        <f>IF(OR(MAX(AH118,AQ118)&gt;1,AK118&gt;Лист1!$B$20,N118="-"),999999999,Y118*Лист1!$B$7+0.0001*O118)</f>
        <v>999999999</v>
      </c>
      <c r="AW118" s="174"/>
      <c r="AX118" s="174">
        <f>IF(OR(MAX(AH118,AT118)&gt;1,AN118&gt;Лист1!$B$20,N118="-"),999999999,Y118*Лист1!$B$7+0.0001*O118)</f>
        <v>999999999</v>
      </c>
    </row>
    <row r="119" spans="14:50" ht="16.5" thickBot="1" x14ac:dyDescent="0.3">
      <c r="N119" t="s">
        <v>344</v>
      </c>
      <c r="O119">
        <f t="shared" si="8"/>
        <v>116</v>
      </c>
      <c r="P119" s="179" t="s">
        <v>297</v>
      </c>
      <c r="Q119" s="1">
        <v>240</v>
      </c>
      <c r="R119" s="154" t="s">
        <v>265</v>
      </c>
      <c r="S119" s="148">
        <v>320</v>
      </c>
      <c r="T119" s="148">
        <v>320</v>
      </c>
      <c r="X119" s="148">
        <v>75.8</v>
      </c>
      <c r="Y119" s="149">
        <v>59.5</v>
      </c>
      <c r="Z119" s="149">
        <v>10341</v>
      </c>
      <c r="AA119" s="150">
        <v>646</v>
      </c>
      <c r="AC119" s="151">
        <v>11.7</v>
      </c>
      <c r="AD119" s="152">
        <v>4248</v>
      </c>
      <c r="AE119" s="150">
        <v>472</v>
      </c>
      <c r="AF119" s="153">
        <v>7.49</v>
      </c>
      <c r="AG119" s="174"/>
      <c r="AH119" s="174">
        <f t="shared" si="9"/>
        <v>0.40053404539385845</v>
      </c>
      <c r="AI119" s="174"/>
      <c r="AJ119" s="146"/>
      <c r="AK119" s="174">
        <f>(($AK$2+Y119*Лист1!$B$7^2*Лист1!$G$8/100)/(AA119/10^6)+$AK$3/(AE119/10^6))/1000/($Q119*IF(Лист1!$J$19="да",1/1.05,1))</f>
        <v>7.053020422189768E-2</v>
      </c>
      <c r="AM119" s="146"/>
      <c r="AN119" s="174">
        <f>(($AK$2+Y119*Лист1!$B$7^2*Лист1!$G$8/100)/(AA119/10^6)+$AK$3/(AE119/10^6))/1000/($Q119*IF(Лист1!$J$19="да",1/1.05,1))</f>
        <v>7.053020422189768E-2</v>
      </c>
      <c r="AP119" s="146"/>
      <c r="AQ119" s="174">
        <f>MAX((5/384*($AQ$2+$Y119/100)*$D$17^4/(2.06*10^8*$Z119/10^8))/($D$17/300)*INDEX(Лист1!$L$34:$L$38,MATCH(Лист1!$B$8,Лист1!$I$34:$I$38,0),1),(5/384*($AQ$3)*$D$17^4/(2.06*10^8*$AD119/10^8))/($D$17/200))</f>
        <v>6.1947713906203745E-2</v>
      </c>
      <c r="AR119" s="174"/>
      <c r="AS119" s="175"/>
      <c r="AT119" s="174">
        <f>MAX((5/384*($AT$2+$Y119/100)*$D$17^4/(2.06*10^8*$Z119/10^8))/($D$17/300)*INDEX(Лист1!$L$34:$L$38,MATCH(Лист1!$B$8,Лист1!$I$34:$I$38,0),1),(5/384*($AT$3)*$D$17^4/(2.06*10^8*$AD119/10^8))/($D$17/200))</f>
        <v>3.6873639229883182E-2</v>
      </c>
      <c r="AU119" s="174"/>
      <c r="AV119" s="174">
        <f>IF(OR(MAX(AH119,AQ119)&gt;1,AK119&gt;Лист1!$B$20,N119="-"),999999999,Y119*Лист1!$B$7+0.0001*O119)</f>
        <v>999999999</v>
      </c>
      <c r="AW119" s="174"/>
      <c r="AX119" s="174">
        <f>IF(OR(MAX(AH119,AT119)&gt;1,AN119&gt;Лист1!$B$20,N119="-"),999999999,Y119*Лист1!$B$7+0.0001*O119)</f>
        <v>999999999</v>
      </c>
    </row>
    <row r="120" spans="14:50" ht="16.5" thickBot="1" x14ac:dyDescent="0.3">
      <c r="N120" t="s">
        <v>344</v>
      </c>
      <c r="O120">
        <f t="shared" si="8"/>
        <v>117</v>
      </c>
      <c r="P120" s="179" t="s">
        <v>297</v>
      </c>
      <c r="Q120" s="1">
        <v>240</v>
      </c>
      <c r="R120" s="154" t="s">
        <v>266</v>
      </c>
      <c r="S120" s="148">
        <v>320</v>
      </c>
      <c r="T120" s="148">
        <v>320</v>
      </c>
      <c r="X120" s="148">
        <v>93.4</v>
      </c>
      <c r="Y120" s="149">
        <v>73.3</v>
      </c>
      <c r="Z120" s="149">
        <v>12506</v>
      </c>
      <c r="AA120" s="150">
        <v>782</v>
      </c>
      <c r="AC120" s="151">
        <v>11.6</v>
      </c>
      <c r="AD120" s="152">
        <v>5111</v>
      </c>
      <c r="AE120" s="150">
        <v>568</v>
      </c>
      <c r="AF120" s="153">
        <v>7.4</v>
      </c>
      <c r="AG120" s="174"/>
      <c r="AH120" s="174">
        <f t="shared" si="9"/>
        <v>0.40540540540540543</v>
      </c>
      <c r="AI120" s="174"/>
      <c r="AJ120" s="146"/>
      <c r="AK120" s="174">
        <f>(($AK$2+Y120*Лист1!$B$7^2*Лист1!$G$8/100)/(AA120/10^6)+$AK$3/(AE120/10^6))/1000/($Q120*IF(Лист1!$J$19="да",1/1.05,1))</f>
        <v>6.1760455490766468E-2</v>
      </c>
      <c r="AM120" s="146"/>
      <c r="AN120" s="174">
        <f>(($AK$2+Y120*Лист1!$B$7^2*Лист1!$G$8/100)/(AA120/10^6)+$AK$3/(AE120/10^6))/1000/($Q120*IF(Лист1!$J$19="да",1/1.05,1))</f>
        <v>6.1760455490766468E-2</v>
      </c>
      <c r="AP120" s="146"/>
      <c r="AQ120" s="174">
        <f>MAX((5/384*($AQ$2+$Y120/100)*$D$17^4/(2.06*10^8*$Z120/10^8))/($D$17/300)*INDEX(Лист1!$L$34:$L$38,MATCH(Лист1!$B$8,Лист1!$I$34:$I$38,0),1),(5/384*($AQ$3)*$D$17^4/(2.06*10^8*$AD120/10^8))/($D$17/200))</f>
        <v>5.1487749691558109E-2</v>
      </c>
      <c r="AR120" s="174"/>
      <c r="AS120" s="175"/>
      <c r="AT120" s="174">
        <f>MAX((5/384*($AT$2+$Y120/100)*$D$17^4/(2.06*10^8*$Z120/10^8))/($D$17/300)*INDEX(Лист1!$L$34:$L$38,MATCH(Лист1!$B$8,Лист1!$I$34:$I$38,0),1),(5/384*($AT$3)*$D$17^4/(2.06*10^8*$AD120/10^8))/($D$17/200))</f>
        <v>3.0647470054498874E-2</v>
      </c>
      <c r="AU120" s="174"/>
      <c r="AV120" s="174">
        <f>IF(OR(MAX(AH120,AQ120)&gt;1,AK120&gt;Лист1!$B$20,N120="-"),999999999,Y120*Лист1!$B$7+0.0001*O120)</f>
        <v>999999999</v>
      </c>
      <c r="AW120" s="174"/>
      <c r="AX120" s="174">
        <f>IF(OR(MAX(AH120,AT120)&gt;1,AN120&gt;Лист1!$B$20,N120="-"),999999999,Y120*Лист1!$B$7+0.0001*O120)</f>
        <v>999999999</v>
      </c>
    </row>
    <row r="121" spans="14:50" ht="16.5" thickBot="1" x14ac:dyDescent="0.3">
      <c r="N121" t="s">
        <v>344</v>
      </c>
      <c r="O121">
        <f t="shared" si="8"/>
        <v>118</v>
      </c>
      <c r="P121" s="179" t="s">
        <v>297</v>
      </c>
      <c r="Q121" s="1">
        <v>240</v>
      </c>
      <c r="R121" s="154" t="s">
        <v>267</v>
      </c>
      <c r="S121" s="148">
        <v>320</v>
      </c>
      <c r="T121" s="148">
        <v>320</v>
      </c>
      <c r="X121" s="148">
        <v>111</v>
      </c>
      <c r="Y121" s="149">
        <v>86.8</v>
      </c>
      <c r="Z121" s="149">
        <v>14511</v>
      </c>
      <c r="AA121" s="150">
        <v>907</v>
      </c>
      <c r="AC121" s="151">
        <v>11.5</v>
      </c>
      <c r="AD121" s="152">
        <v>5899</v>
      </c>
      <c r="AE121" s="150">
        <v>655</v>
      </c>
      <c r="AF121" s="153">
        <v>7.31</v>
      </c>
      <c r="AG121" s="174"/>
      <c r="AH121" s="174">
        <f t="shared" si="9"/>
        <v>0.41039671682626538</v>
      </c>
      <c r="AI121" s="174"/>
      <c r="AJ121" s="146"/>
      <c r="AK121" s="174">
        <f>(($AK$2+Y121*Лист1!$B$7^2*Лист1!$G$8/100)/(AA121/10^6)+$AK$3/(AE121/10^6))/1000/($Q121*IF(Лист1!$J$19="да",1/1.05,1))</f>
        <v>5.619843898182026E-2</v>
      </c>
      <c r="AM121" s="146"/>
      <c r="AN121" s="174">
        <f>(($AK$2+Y121*Лист1!$B$7^2*Лист1!$G$8/100)/(AA121/10^6)+$AK$3/(AE121/10^6))/1000/($Q121*IF(Лист1!$J$19="да",1/1.05,1))</f>
        <v>5.619843898182026E-2</v>
      </c>
      <c r="AP121" s="146"/>
      <c r="AQ121" s="174">
        <f>MAX((5/384*($AQ$2+$Y121/100)*$D$17^4/(2.06*10^8*$Z121/10^8))/($D$17/300)*INDEX(Лист1!$L$34:$L$38,MATCH(Лист1!$B$8,Лист1!$I$34:$I$38,0),1),(5/384*($AQ$3)*$D$17^4/(2.06*10^8*$AD121/10^8))/($D$17/200))</f>
        <v>4.4609915015011603E-2</v>
      </c>
      <c r="AR121" s="174"/>
      <c r="AS121" s="175"/>
      <c r="AT121" s="174">
        <f>MAX((5/384*($AT$2+$Y121/100)*$D$17^4/(2.06*10^8*$Z121/10^8))/($D$17/300)*INDEX(Лист1!$L$34:$L$38,MATCH(Лист1!$B$8,Лист1!$I$34:$I$38,0),1),(5/384*($AT$3)*$D$17^4/(2.06*10^8*$AD121/10^8))/($D$17/200))</f>
        <v>2.7040500912264082E-2</v>
      </c>
      <c r="AU121" s="174"/>
      <c r="AV121" s="174">
        <f>IF(OR(MAX(AH121,AQ121)&gt;1,AK121&gt;Лист1!$B$20,N121="-"),999999999,Y121*Лист1!$B$7+0.0001*O121)</f>
        <v>999999999</v>
      </c>
      <c r="AW121" s="174"/>
      <c r="AX121" s="174">
        <f>IF(OR(MAX(AH121,AT121)&gt;1,AN121&gt;Лист1!$B$20,N121="-"),999999999,Y121*Лист1!$B$7+0.0001*O121)</f>
        <v>999999999</v>
      </c>
    </row>
    <row r="122" spans="14:50" ht="16.5" thickBot="1" x14ac:dyDescent="0.3">
      <c r="N122" t="s">
        <v>344</v>
      </c>
      <c r="O122">
        <f t="shared" ref="O122:O185" si="10">O121+1</f>
        <v>119</v>
      </c>
      <c r="P122" s="179" t="s">
        <v>297</v>
      </c>
      <c r="Q122" s="1">
        <v>240</v>
      </c>
      <c r="R122" s="154" t="s">
        <v>268</v>
      </c>
      <c r="S122" s="148">
        <v>320</v>
      </c>
      <c r="T122" s="148">
        <v>320</v>
      </c>
      <c r="X122" s="148">
        <v>127</v>
      </c>
      <c r="Y122" s="149">
        <v>99.8</v>
      </c>
      <c r="Z122" s="149">
        <v>16359</v>
      </c>
      <c r="AA122" s="150">
        <v>1022</v>
      </c>
      <c r="AC122" s="151">
        <v>11.3</v>
      </c>
      <c r="AD122" s="152">
        <v>6617</v>
      </c>
      <c r="AE122" s="150">
        <v>735</v>
      </c>
      <c r="AF122" s="153">
        <v>7.21</v>
      </c>
      <c r="AG122" s="174"/>
      <c r="AH122" s="174">
        <f t="shared" si="9"/>
        <v>0.41608876560332875</v>
      </c>
      <c r="AI122" s="174"/>
      <c r="AJ122" s="146"/>
      <c r="AK122" s="174">
        <f>(($AK$2+Y122*Лист1!$B$7^2*Лист1!$G$8/100)/(AA122/10^6)+$AK$3/(AE122/10^6))/1000/($Q122*IF(Лист1!$J$19="да",1/1.05,1))</f>
        <v>5.2361317229664195E-2</v>
      </c>
      <c r="AM122" s="146"/>
      <c r="AN122" s="174">
        <f>(($AK$2+Y122*Лист1!$B$7^2*Лист1!$G$8/100)/(AA122/10^6)+$AK$3/(AE122/10^6))/1000/($Q122*IF(Лист1!$J$19="да",1/1.05,1))</f>
        <v>5.2361317229664195E-2</v>
      </c>
      <c r="AP122" s="146"/>
      <c r="AQ122" s="174">
        <f>MAX((5/384*($AQ$2+$Y122/100)*$D$17^4/(2.06*10^8*$Z122/10^8))/($D$17/300)*INDEX(Лист1!$L$34:$L$38,MATCH(Лист1!$B$8,Лист1!$I$34:$I$38,0),1),(5/384*($AQ$3)*$D$17^4/(2.06*10^8*$AD122/10^8))/($D$17/200))</f>
        <v>3.976936507081056E-2</v>
      </c>
      <c r="AR122" s="174"/>
      <c r="AS122" s="175"/>
      <c r="AT122" s="174">
        <f>MAX((5/384*($AT$2+$Y122/100)*$D$17^4/(2.06*10^8*$Z122/10^8))/($D$17/300)*INDEX(Лист1!$L$34:$L$38,MATCH(Лист1!$B$8,Лист1!$I$34:$I$38,0),1),(5/384*($AT$3)*$D$17^4/(2.06*10^8*$AD122/10^8))/($D$17/200))</f>
        <v>2.7240727914980445E-2</v>
      </c>
      <c r="AU122" s="174"/>
      <c r="AV122" s="174">
        <f>IF(OR(MAX(AH122,AQ122)&gt;1,AK122&gt;Лист1!$B$20,N122="-"),999999999,Y122*Лист1!$B$7+0.0001*O122)</f>
        <v>999999999</v>
      </c>
      <c r="AW122" s="174"/>
      <c r="AX122" s="174">
        <f>IF(OR(MAX(AH122,AT122)&gt;1,AN122&gt;Лист1!$B$20,N122="-"),999999999,Y122*Лист1!$B$7+0.0001*O122)</f>
        <v>999999999</v>
      </c>
    </row>
    <row r="123" spans="14:50" ht="16.5" thickBot="1" x14ac:dyDescent="0.3">
      <c r="N123" t="s">
        <v>344</v>
      </c>
      <c r="O123">
        <f t="shared" si="10"/>
        <v>120</v>
      </c>
      <c r="P123" s="179" t="s">
        <v>297</v>
      </c>
      <c r="Q123" s="1">
        <v>240</v>
      </c>
      <c r="R123" s="154" t="s">
        <v>269</v>
      </c>
      <c r="S123" s="148">
        <v>340</v>
      </c>
      <c r="T123" s="148">
        <v>340</v>
      </c>
      <c r="X123" s="148">
        <v>84.7</v>
      </c>
      <c r="Y123" s="149">
        <v>66.5</v>
      </c>
      <c r="Z123" s="149">
        <v>12306</v>
      </c>
      <c r="AA123" s="150">
        <v>724</v>
      </c>
      <c r="AC123" s="151">
        <v>12.1</v>
      </c>
      <c r="AD123" s="152">
        <v>3793</v>
      </c>
      <c r="AE123" s="150">
        <v>474</v>
      </c>
      <c r="AF123" s="153">
        <v>6.69</v>
      </c>
      <c r="AG123" s="174"/>
      <c r="AH123" s="174">
        <f t="shared" si="9"/>
        <v>0.44843049327354256</v>
      </c>
      <c r="AI123" s="174"/>
      <c r="AJ123" s="146"/>
      <c r="AK123" s="174">
        <f>(($AK$2+Y123*Лист1!$B$7^2*Лист1!$G$8/100)/(AA123/10^6)+$AK$3/(AE123/10^6))/1000/($Q123*IF(Лист1!$J$19="да",1/1.05,1))</f>
        <v>6.8707442704160016E-2</v>
      </c>
      <c r="AM123" s="146"/>
      <c r="AN123" s="174">
        <f>(($AK$2+Y123*Лист1!$B$7^2*Лист1!$G$8/100)/(AA123/10^6)+$AK$3/(AE123/10^6))/1000/($Q123*IF(Лист1!$J$19="да",1/1.05,1))</f>
        <v>6.8707442704160016E-2</v>
      </c>
      <c r="AP123" s="146"/>
      <c r="AQ123" s="174">
        <f>MAX((5/384*($AQ$2+$Y123/100)*$D$17^4/(2.06*10^8*$Z123/10^8))/($D$17/300)*INDEX(Лист1!$L$34:$L$38,MATCH(Лист1!$B$8,Лист1!$I$34:$I$38,0),1),(5/384*($AQ$3)*$D$17^4/(2.06*10^8*$AD123/10^8))/($D$17/200))</f>
        <v>6.9378826436475999E-2</v>
      </c>
      <c r="AR123" s="174"/>
      <c r="AS123" s="175"/>
      <c r="AT123" s="174">
        <f>MAX((5/384*($AT$2+$Y123/100)*$D$17^4/(2.06*10^8*$Z123/10^8))/($D$17/300)*INDEX(Лист1!$L$34:$L$38,MATCH(Лист1!$B$8,Лист1!$I$34:$I$38,0),1),(5/384*($AT$3)*$D$17^4/(2.06*10^8*$AD123/10^8))/($D$17/200))</f>
        <v>4.1296920497902387E-2</v>
      </c>
      <c r="AU123" s="174"/>
      <c r="AV123" s="174">
        <f>IF(OR(MAX(AH123,AQ123)&gt;1,AK123&gt;Лист1!$B$20,N123="-"),999999999,Y123*Лист1!$B$7+0.0001*O123)</f>
        <v>999999999</v>
      </c>
      <c r="AW123" s="174"/>
      <c r="AX123" s="174">
        <f>IF(OR(MAX(AH123,AT123)&gt;1,AN123&gt;Лист1!$B$20,N123="-"),999999999,Y123*Лист1!$B$7+0.0001*O123)</f>
        <v>999999999</v>
      </c>
    </row>
    <row r="124" spans="14:50" ht="16.5" thickBot="1" x14ac:dyDescent="0.3">
      <c r="N124" t="s">
        <v>344</v>
      </c>
      <c r="O124">
        <f t="shared" si="10"/>
        <v>121</v>
      </c>
      <c r="P124" s="179" t="s">
        <v>297</v>
      </c>
      <c r="Q124" s="1">
        <v>240</v>
      </c>
      <c r="R124" s="154" t="s">
        <v>270</v>
      </c>
      <c r="S124" s="148">
        <v>340</v>
      </c>
      <c r="T124" s="148">
        <v>340</v>
      </c>
      <c r="X124" s="148">
        <v>93.4</v>
      </c>
      <c r="Y124" s="149">
        <v>73.3</v>
      </c>
      <c r="Z124" s="149">
        <v>13446</v>
      </c>
      <c r="AA124" s="150">
        <v>791</v>
      </c>
      <c r="AC124" s="151">
        <v>12</v>
      </c>
      <c r="AD124" s="152">
        <v>4130</v>
      </c>
      <c r="AE124" s="150">
        <v>516</v>
      </c>
      <c r="AF124" s="153">
        <v>6.65</v>
      </c>
      <c r="AG124" s="174"/>
      <c r="AH124" s="174">
        <f t="shared" si="9"/>
        <v>0.45112781954887216</v>
      </c>
      <c r="AI124" s="174"/>
      <c r="AJ124" s="146"/>
      <c r="AK124" s="174">
        <f>(($AK$2+Y124*Лист1!$B$7^2*Лист1!$G$8/100)/(AA124/10^6)+$AK$3/(AE124/10^6))/1000/($Q124*IF(Лист1!$J$19="да",1/1.05,1))</f>
        <v>6.4625697481519181E-2</v>
      </c>
      <c r="AM124" s="146"/>
      <c r="AN124" s="174">
        <f>(($AK$2+Y124*Лист1!$B$7^2*Лист1!$G$8/100)/(AA124/10^6)+$AK$3/(AE124/10^6))/1000/($Q124*IF(Лист1!$J$19="да",1/1.05,1))</f>
        <v>6.4625697481519181E-2</v>
      </c>
      <c r="AP124" s="146"/>
      <c r="AQ124" s="174">
        <f>MAX((5/384*($AQ$2+$Y124/100)*$D$17^4/(2.06*10^8*$Z124/10^8))/($D$17/300)*INDEX(Лист1!$L$34:$L$38,MATCH(Лист1!$B$8,Лист1!$I$34:$I$38,0),1),(5/384*($AQ$3)*$D$17^4/(2.06*10^8*$AD124/10^8))/($D$17/200))</f>
        <v>6.3717648589238132E-2</v>
      </c>
      <c r="AR124" s="174"/>
      <c r="AS124" s="175"/>
      <c r="AT124" s="174">
        <f>MAX((5/384*($AT$2+$Y124/100)*$D$17^4/(2.06*10^8*$Z124/10^8))/($D$17/300)*INDEX(Лист1!$L$34:$L$38,MATCH(Лист1!$B$8,Лист1!$I$34:$I$38,0),1),(5/384*($AT$3)*$D$17^4/(2.06*10^8*$AD124/10^8))/($D$17/200))</f>
        <v>3.7927171779308412E-2</v>
      </c>
      <c r="AU124" s="174"/>
      <c r="AV124" s="174">
        <f>IF(OR(MAX(AH124,AQ124)&gt;1,AK124&gt;Лист1!$B$20,N124="-"),999999999,Y124*Лист1!$B$7+0.0001*O124)</f>
        <v>999999999</v>
      </c>
      <c r="AW124" s="174"/>
      <c r="AX124" s="174">
        <f>IF(OR(MAX(AH124,AT124)&gt;1,AN124&gt;Лист1!$B$20,N124="-"),999999999,Y124*Лист1!$B$7+0.0001*O124)</f>
        <v>999999999</v>
      </c>
    </row>
    <row r="125" spans="14:50" ht="16.5" thickBot="1" x14ac:dyDescent="0.3">
      <c r="N125" t="s">
        <v>344</v>
      </c>
      <c r="O125">
        <f t="shared" si="10"/>
        <v>122</v>
      </c>
      <c r="P125" s="179" t="s">
        <v>297</v>
      </c>
      <c r="Q125" s="1">
        <v>240</v>
      </c>
      <c r="R125" s="154" t="s">
        <v>271</v>
      </c>
      <c r="S125" s="148">
        <v>340</v>
      </c>
      <c r="T125" s="148">
        <v>340</v>
      </c>
      <c r="X125" s="148">
        <v>111</v>
      </c>
      <c r="Y125" s="149">
        <v>86.8</v>
      </c>
      <c r="Z125" s="149">
        <v>15596</v>
      </c>
      <c r="AA125" s="150">
        <v>917</v>
      </c>
      <c r="AC125" s="151">
        <v>11.9</v>
      </c>
      <c r="AD125" s="152">
        <v>4755</v>
      </c>
      <c r="AE125" s="150">
        <v>594</v>
      </c>
      <c r="AF125" s="153">
        <v>6.56</v>
      </c>
      <c r="AG125" s="174"/>
      <c r="AH125" s="174">
        <f t="shared" si="9"/>
        <v>0.45731707317073172</v>
      </c>
      <c r="AI125" s="174"/>
      <c r="AJ125" s="146"/>
      <c r="AK125" s="174">
        <f>(($AK$2+Y125*Лист1!$B$7^2*Лист1!$G$8/100)/(AA125/10^6)+$AK$3/(AE125/10^6))/1000/($Q125*IF(Лист1!$J$19="да",1/1.05,1))</f>
        <v>5.8719508105538352E-2</v>
      </c>
      <c r="AM125" s="146"/>
      <c r="AN125" s="174">
        <f>(($AK$2+Y125*Лист1!$B$7^2*Лист1!$G$8/100)/(AA125/10^6)+$AK$3/(AE125/10^6))/1000/($Q125*IF(Лист1!$J$19="да",1/1.05,1))</f>
        <v>5.8719508105538352E-2</v>
      </c>
      <c r="AP125" s="146"/>
      <c r="AQ125" s="174">
        <f>MAX((5/384*($AQ$2+$Y125/100)*$D$17^4/(2.06*10^8*$Z125/10^8))/($D$17/300)*INDEX(Лист1!$L$34:$L$38,MATCH(Лист1!$B$8,Лист1!$I$34:$I$38,0),1),(5/384*($AQ$3)*$D$17^4/(2.06*10^8*$AD125/10^8))/($D$17/200))</f>
        <v>5.534256333828675E-2</v>
      </c>
      <c r="AR125" s="174"/>
      <c r="AS125" s="175"/>
      <c r="AT125" s="174">
        <f>MAX((5/384*($AT$2+$Y125/100)*$D$17^4/(2.06*10^8*$Z125/10^8))/($D$17/300)*INDEX(Лист1!$L$34:$L$38,MATCH(Лист1!$B$8,Лист1!$I$34:$I$38,0),1),(5/384*($AT$3)*$D$17^4/(2.06*10^8*$AD125/10^8))/($D$17/200))</f>
        <v>3.2942001987075448E-2</v>
      </c>
      <c r="AU125" s="174"/>
      <c r="AV125" s="174">
        <f>IF(OR(MAX(AH125,AQ125)&gt;1,AK125&gt;Лист1!$B$20,N125="-"),999999999,Y125*Лист1!$B$7+0.0001*O125)</f>
        <v>999999999</v>
      </c>
      <c r="AW125" s="174"/>
      <c r="AX125" s="174">
        <f>IF(OR(MAX(AH125,AT125)&gt;1,AN125&gt;Лист1!$B$20,N125="-"),999999999,Y125*Лист1!$B$7+0.0001*O125)</f>
        <v>999999999</v>
      </c>
    </row>
    <row r="126" spans="14:50" ht="16.5" thickBot="1" x14ac:dyDescent="0.3">
      <c r="N126" t="s">
        <v>344</v>
      </c>
      <c r="O126">
        <f t="shared" si="10"/>
        <v>123</v>
      </c>
      <c r="P126" s="179" t="s">
        <v>297</v>
      </c>
      <c r="Q126" s="1">
        <v>240</v>
      </c>
      <c r="R126" s="154" t="s">
        <v>272</v>
      </c>
      <c r="S126" s="148">
        <v>340</v>
      </c>
      <c r="T126" s="148">
        <v>340</v>
      </c>
      <c r="X126" s="148">
        <v>127</v>
      </c>
      <c r="Y126" s="149">
        <v>99.8</v>
      </c>
      <c r="Z126" s="149">
        <v>17576</v>
      </c>
      <c r="AA126" s="150">
        <v>1034</v>
      </c>
      <c r="AC126" s="151">
        <v>11.8</v>
      </c>
      <c r="AD126" s="152">
        <v>5319</v>
      </c>
      <c r="AE126" s="150">
        <v>655</v>
      </c>
      <c r="AF126" s="153">
        <v>6.47</v>
      </c>
      <c r="AG126" s="174"/>
      <c r="AH126" s="174">
        <f t="shared" si="9"/>
        <v>0.46367851622874812</v>
      </c>
      <c r="AI126" s="174"/>
      <c r="AJ126" s="146"/>
      <c r="AK126" s="174">
        <f>(($AK$2+Y126*Лист1!$B$7^2*Лист1!$G$8/100)/(AA126/10^6)+$AK$3/(AE126/10^6))/1000/($Q126*IF(Лист1!$J$19="да",1/1.05,1))</f>
        <v>5.5041696026213852E-2</v>
      </c>
      <c r="AM126" s="146"/>
      <c r="AN126" s="174">
        <f>(($AK$2+Y126*Лист1!$B$7^2*Лист1!$G$8/100)/(AA126/10^6)+$AK$3/(AE126/10^6))/1000/($Q126*IF(Лист1!$J$19="да",1/1.05,1))</f>
        <v>5.5041696026213852E-2</v>
      </c>
      <c r="AP126" s="146"/>
      <c r="AQ126" s="174">
        <f>MAX((5/384*($AQ$2+$Y126/100)*$D$17^4/(2.06*10^8*$Z126/10^8))/($D$17/300)*INDEX(Лист1!$L$34:$L$38,MATCH(Лист1!$B$8,Лист1!$I$34:$I$38,0),1),(5/384*($AQ$3)*$D$17^4/(2.06*10^8*$AD126/10^8))/($D$17/200))</f>
        <v>4.94743163514859E-2</v>
      </c>
      <c r="AR126" s="174"/>
      <c r="AS126" s="175"/>
      <c r="AT126" s="174">
        <f>MAX((5/384*($AT$2+$Y126/100)*$D$17^4/(2.06*10^8*$Z126/10^8))/($D$17/300)*INDEX(Лист1!$L$34:$L$38,MATCH(Лист1!$B$8,Лист1!$I$34:$I$38,0),1),(5/384*($AT$3)*$D$17^4/(2.06*10^8*$AD126/10^8))/($D$17/200))</f>
        <v>2.9448997828265419E-2</v>
      </c>
      <c r="AU126" s="174"/>
      <c r="AV126" s="174">
        <f>IF(OR(MAX(AH126,AQ126)&gt;1,AK126&gt;Лист1!$B$20,N126="-"),999999999,Y126*Лист1!$B$7+0.0001*O126)</f>
        <v>999999999</v>
      </c>
      <c r="AW126" s="174"/>
      <c r="AX126" s="174">
        <f>IF(OR(MAX(AH126,AT126)&gt;1,AN126&gt;Лист1!$B$20,N126="-"),999999999,Y126*Лист1!$B$7+0.0001*O126)</f>
        <v>999999999</v>
      </c>
    </row>
    <row r="127" spans="14:50" ht="16.5" thickBot="1" x14ac:dyDescent="0.3">
      <c r="N127" t="s">
        <v>344</v>
      </c>
      <c r="O127">
        <f t="shared" si="10"/>
        <v>124</v>
      </c>
      <c r="P127" s="179" t="s">
        <v>297</v>
      </c>
      <c r="Q127" s="1">
        <v>240</v>
      </c>
      <c r="R127" s="154" t="s">
        <v>273</v>
      </c>
      <c r="S127" s="148">
        <v>340</v>
      </c>
      <c r="T127" s="148">
        <v>340</v>
      </c>
      <c r="X127" s="148">
        <v>113</v>
      </c>
      <c r="Y127" s="149">
        <v>89</v>
      </c>
      <c r="Z127" s="149">
        <v>18892</v>
      </c>
      <c r="AA127" s="150">
        <v>1111</v>
      </c>
      <c r="AC127" s="151">
        <v>12.9</v>
      </c>
      <c r="AD127" s="152">
        <v>12510</v>
      </c>
      <c r="AE127" s="150">
        <v>962</v>
      </c>
      <c r="AF127" s="153">
        <v>10.5</v>
      </c>
      <c r="AG127" s="174"/>
      <c r="AH127" s="174">
        <f t="shared" si="9"/>
        <v>0.28571428571428575</v>
      </c>
      <c r="AI127" s="174"/>
      <c r="AJ127" s="146"/>
      <c r="AK127" s="174">
        <f>(($AK$2+Y127*Лист1!$B$7^2*Лист1!$G$8/100)/(AA127/10^6)+$AK$3/(AE127/10^6))/1000/($Q127*IF(Лист1!$J$19="да",1/1.05,1))</f>
        <v>4.2512303065595995E-2</v>
      </c>
      <c r="AM127" s="146"/>
      <c r="AN127" s="174">
        <f>(($AK$2+Y127*Лист1!$B$7^2*Лист1!$G$8/100)/(AA127/10^6)+$AK$3/(AE127/10^6))/1000/($Q127*IF(Лист1!$J$19="да",1/1.05,1))</f>
        <v>4.2512303065595995E-2</v>
      </c>
      <c r="AP127" s="146"/>
      <c r="AQ127" s="174">
        <f>MAX((5/384*($AQ$2+$Y127/100)*$D$17^4/(2.06*10^8*$Z127/10^8))/($D$17/300)*INDEX(Лист1!$L$34:$L$38,MATCH(Лист1!$B$8,Лист1!$I$34:$I$38,0),1),(5/384*($AQ$3)*$D$17^4/(2.06*10^8*$AD127/10^8))/($D$17/200))</f>
        <v>3.0352653509267809E-2</v>
      </c>
      <c r="AR127" s="174"/>
      <c r="AS127" s="175"/>
      <c r="AT127" s="174">
        <f>MAX((5/384*($AT$2+$Y127/100)*$D$17^4/(2.06*10^8*$Z127/10^8))/($D$17/300)*INDEX(Лист1!$L$34:$L$38,MATCH(Лист1!$B$8,Лист1!$I$34:$I$38,0),1),(5/384*($AT$3)*$D$17^4/(2.06*10^8*$AD127/10^8))/($D$17/200))</f>
        <v>2.1246857456487467E-2</v>
      </c>
      <c r="AU127" s="174"/>
      <c r="AV127" s="174">
        <f>IF(OR(MAX(AH127,AQ127)&gt;1,AK127&gt;Лист1!$B$20,N127="-"),999999999,Y127*Лист1!$B$7+0.0001*O127)</f>
        <v>999999999</v>
      </c>
      <c r="AW127" s="174"/>
      <c r="AX127" s="174">
        <f>IF(OR(MAX(AH127,AT127)&gt;1,AN127&gt;Лист1!$B$20,N127="-"),999999999,Y127*Лист1!$B$7+0.0001*O127)</f>
        <v>999999999</v>
      </c>
    </row>
    <row r="128" spans="14:50" ht="16.5" thickBot="1" x14ac:dyDescent="0.3">
      <c r="N128" t="s">
        <v>344</v>
      </c>
      <c r="O128">
        <f t="shared" si="10"/>
        <v>125</v>
      </c>
      <c r="P128" s="179" t="s">
        <v>297</v>
      </c>
      <c r="Q128" s="1">
        <v>240</v>
      </c>
      <c r="R128" s="154" t="s">
        <v>274</v>
      </c>
      <c r="S128" s="148">
        <v>340</v>
      </c>
      <c r="T128" s="148">
        <v>340</v>
      </c>
      <c r="X128" s="148">
        <v>135</v>
      </c>
      <c r="Y128" s="149">
        <v>106</v>
      </c>
      <c r="Z128" s="149">
        <v>22054</v>
      </c>
      <c r="AA128" s="150">
        <v>1297</v>
      </c>
      <c r="AC128" s="151">
        <v>12.8</v>
      </c>
      <c r="AD128" s="152">
        <v>14577</v>
      </c>
      <c r="AE128" s="150">
        <v>1121</v>
      </c>
      <c r="AF128" s="153">
        <v>10.4</v>
      </c>
      <c r="AG128" s="174"/>
      <c r="AH128" s="174">
        <f t="shared" si="9"/>
        <v>0.28846153846153849</v>
      </c>
      <c r="AI128" s="174"/>
      <c r="AJ128" s="146"/>
      <c r="AK128" s="174">
        <f>(($AK$2+Y128*Лист1!$B$7^2*Лист1!$G$8/100)/(AA128/10^6)+$AK$3/(AE128/10^6))/1000/($Q128*IF(Лист1!$J$19="да",1/1.05,1))</f>
        <v>3.89027934230936E-2</v>
      </c>
      <c r="AM128" s="146"/>
      <c r="AN128" s="174">
        <f>(($AK$2+Y128*Лист1!$B$7^2*Лист1!$G$8/100)/(AA128/10^6)+$AK$3/(AE128/10^6))/1000/($Q128*IF(Лист1!$J$19="да",1/1.05,1))</f>
        <v>3.89027934230936E-2</v>
      </c>
      <c r="AP128" s="146"/>
      <c r="AQ128" s="174">
        <f>MAX((5/384*($AQ$2+$Y128/100)*$D$17^4/(2.06*10^8*$Z128/10^8))/($D$17/300)*INDEX(Лист1!$L$34:$L$38,MATCH(Лист1!$B$8,Лист1!$I$34:$I$38,0),1),(5/384*($AQ$3)*$D$17^4/(2.06*10^8*$AD128/10^8))/($D$17/200))</f>
        <v>2.9158074928177177E-2</v>
      </c>
      <c r="AR128" s="174"/>
      <c r="AS128" s="175"/>
      <c r="AT128" s="174">
        <f>MAX((5/384*($AT$2+$Y128/100)*$D$17^4/(2.06*10^8*$Z128/10^8))/($D$17/300)*INDEX(Лист1!$L$34:$L$38,MATCH(Лист1!$B$8,Лист1!$I$34:$I$38,0),1),(5/384*($AT$3)*$D$17^4/(2.06*10^8*$AD128/10^8))/($D$17/200))</f>
        <v>2.1357825584333603E-2</v>
      </c>
      <c r="AU128" s="174"/>
      <c r="AV128" s="174">
        <f>IF(OR(MAX(AH128,AQ128)&gt;1,AK128&gt;Лист1!$B$20,N128="-"),999999999,Y128*Лист1!$B$7+0.0001*O128)</f>
        <v>999999999</v>
      </c>
      <c r="AW128" s="174"/>
      <c r="AX128" s="174">
        <f>IF(OR(MAX(AH128,AT128)&gt;1,AN128&gt;Лист1!$B$20,N128="-"),999999999,Y128*Лист1!$B$7+0.0001*O128)</f>
        <v>999999999</v>
      </c>
    </row>
    <row r="129" spans="14:50" ht="16.5" thickBot="1" x14ac:dyDescent="0.3">
      <c r="N129" t="s">
        <v>344</v>
      </c>
      <c r="O129">
        <f t="shared" si="10"/>
        <v>126</v>
      </c>
      <c r="P129" s="179" t="s">
        <v>297</v>
      </c>
      <c r="Q129" s="1">
        <v>240</v>
      </c>
      <c r="R129" s="154" t="s">
        <v>275</v>
      </c>
      <c r="S129" s="148">
        <v>340</v>
      </c>
      <c r="T129" s="148">
        <v>340</v>
      </c>
      <c r="X129" s="148">
        <v>155</v>
      </c>
      <c r="Y129" s="149">
        <v>122</v>
      </c>
      <c r="Z129" s="149">
        <v>25020</v>
      </c>
      <c r="AA129" s="150">
        <v>1472</v>
      </c>
      <c r="AC129" s="151">
        <v>12.7</v>
      </c>
      <c r="AD129" s="152">
        <v>16508</v>
      </c>
      <c r="AE129" s="150">
        <v>1269</v>
      </c>
      <c r="AF129" s="153">
        <v>10.3</v>
      </c>
      <c r="AG129" s="174"/>
      <c r="AH129" s="174">
        <f t="shared" si="9"/>
        <v>0.29126213592233008</v>
      </c>
      <c r="AI129" s="174"/>
      <c r="AJ129" s="146"/>
      <c r="AK129" s="174">
        <f>(($AK$2+Y129*Лист1!$B$7^2*Лист1!$G$8/100)/(AA129/10^6)+$AK$3/(AE129/10^6))/1000/($Q129*IF(Лист1!$J$19="да",1/1.05,1))</f>
        <v>3.6352251924775827E-2</v>
      </c>
      <c r="AM129" s="146"/>
      <c r="AN129" s="174">
        <f>(($AK$2+Y129*Лист1!$B$7^2*Лист1!$G$8/100)/(AA129/10^6)+$AK$3/(AE129/10^6))/1000/($Q129*IF(Лист1!$J$19="да",1/1.05,1))</f>
        <v>3.6352251924775827E-2</v>
      </c>
      <c r="AP129" s="146"/>
      <c r="AQ129" s="174">
        <f>MAX((5/384*($AQ$2+$Y129/100)*$D$17^4/(2.06*10^8*$Z129/10^8))/($D$17/300)*INDEX(Лист1!$L$34:$L$38,MATCH(Лист1!$B$8,Лист1!$I$34:$I$38,0),1),(5/384*($AQ$3)*$D$17^4/(2.06*10^8*$AD129/10^8))/($D$17/200))</f>
        <v>2.8320789969965777E-2</v>
      </c>
      <c r="AR129" s="174"/>
      <c r="AS129" s="175"/>
      <c r="AT129" s="174">
        <f>MAX((5/384*($AT$2+$Y129/100)*$D$17^4/(2.06*10^8*$Z129/10^8))/($D$17/300)*INDEX(Лист1!$L$34:$L$38,MATCH(Лист1!$B$8,Лист1!$I$34:$I$38,0),1),(5/384*($AT$3)*$D$17^4/(2.06*10^8*$AD129/10^8))/($D$17/200))</f>
        <v>2.144522246280646E-2</v>
      </c>
      <c r="AU129" s="174"/>
      <c r="AV129" s="174">
        <f>IF(OR(MAX(AH129,AQ129)&gt;1,AK129&gt;Лист1!$B$20,N129="-"),999999999,Y129*Лист1!$B$7+0.0001*O129)</f>
        <v>999999999</v>
      </c>
      <c r="AW129" s="174"/>
      <c r="AX129" s="174">
        <f>IF(OR(MAX(AH129,AT129)&gt;1,AN129&gt;Лист1!$B$20,N129="-"),999999999,Y129*Лист1!$B$7+0.0001*O129)</f>
        <v>999999999</v>
      </c>
    </row>
    <row r="130" spans="14:50" ht="16.5" thickBot="1" x14ac:dyDescent="0.3">
      <c r="N130" t="s">
        <v>344</v>
      </c>
      <c r="O130">
        <f t="shared" si="10"/>
        <v>127</v>
      </c>
      <c r="P130" s="179" t="s">
        <v>297</v>
      </c>
      <c r="Q130" s="1">
        <v>240</v>
      </c>
      <c r="R130" s="154" t="s">
        <v>276</v>
      </c>
      <c r="S130" s="148">
        <v>380</v>
      </c>
      <c r="T130" s="148">
        <v>380</v>
      </c>
      <c r="X130" s="148">
        <v>113</v>
      </c>
      <c r="Y130" s="149">
        <v>89</v>
      </c>
      <c r="Z130" s="149">
        <v>21925</v>
      </c>
      <c r="AA130" s="150">
        <v>1154</v>
      </c>
      <c r="AC130" s="151">
        <v>13.9</v>
      </c>
      <c r="AD130" s="152">
        <v>9416</v>
      </c>
      <c r="AE130" s="150">
        <v>856</v>
      </c>
      <c r="AF130" s="153">
        <v>9.11</v>
      </c>
      <c r="AG130" s="174"/>
      <c r="AH130" s="174">
        <f t="shared" si="9"/>
        <v>0.3293084522502745</v>
      </c>
      <c r="AI130" s="174"/>
      <c r="AJ130" s="146"/>
      <c r="AK130" s="174">
        <f>(($AK$2+Y130*Лист1!$B$7^2*Лист1!$G$8/100)/(AA130/10^6)+$AK$3/(AE130/10^6))/1000/($Q130*IF(Лист1!$J$19="да",1/1.05,1))</f>
        <v>4.395415074987441E-2</v>
      </c>
      <c r="AM130" s="146"/>
      <c r="AN130" s="174">
        <f>(($AK$2+Y130*Лист1!$B$7^2*Лист1!$G$8/100)/(AA130/10^6)+$AK$3/(AE130/10^6))/1000/($Q130*IF(Лист1!$J$19="да",1/1.05,1))</f>
        <v>4.395415074987441E-2</v>
      </c>
      <c r="AP130" s="146"/>
      <c r="AQ130" s="174">
        <f>MAX((5/384*($AQ$2+$Y130/100)*$D$17^4/(2.06*10^8*$Z130/10^8))/($D$17/300)*INDEX(Лист1!$L$34:$L$38,MATCH(Лист1!$B$8,Лист1!$I$34:$I$38,0),1),(5/384*($AQ$3)*$D$17^4/(2.06*10^8*$AD130/10^8))/($D$17/200))</f>
        <v>2.7947524285636523E-2</v>
      </c>
      <c r="AR130" s="174"/>
      <c r="AS130" s="175"/>
      <c r="AT130" s="174">
        <f>MAX((5/384*($AT$2+$Y130/100)*$D$17^4/(2.06*10^8*$Z130/10^8))/($D$17/300)*INDEX(Лист1!$L$34:$L$38,MATCH(Лист1!$B$8,Лист1!$I$34:$I$38,0),1),(5/384*($AT$3)*$D$17^4/(2.06*10^8*$AD130/10^8))/($D$17/200))</f>
        <v>1.8307668463761056E-2</v>
      </c>
      <c r="AU130" s="174"/>
      <c r="AV130" s="174">
        <f>IF(OR(MAX(AH130,AQ130)&gt;1,AK130&gt;Лист1!$B$20,N130="-"),999999999,Y130*Лист1!$B$7+0.0001*O130)</f>
        <v>999999999</v>
      </c>
      <c r="AW130" s="174"/>
      <c r="AX130" s="174">
        <f>IF(OR(MAX(AH130,AT130)&gt;1,AN130&gt;Лист1!$B$20,N130="-"),999999999,Y130*Лист1!$B$7+0.0001*O130)</f>
        <v>999999999</v>
      </c>
    </row>
    <row r="131" spans="14:50" ht="16.5" thickBot="1" x14ac:dyDescent="0.3">
      <c r="N131" t="s">
        <v>344</v>
      </c>
      <c r="O131">
        <f t="shared" si="10"/>
        <v>128</v>
      </c>
      <c r="P131" s="179" t="s">
        <v>297</v>
      </c>
      <c r="Q131" s="1">
        <v>240</v>
      </c>
      <c r="R131" s="154" t="s">
        <v>277</v>
      </c>
      <c r="S131" s="148">
        <v>380</v>
      </c>
      <c r="T131" s="148">
        <v>380</v>
      </c>
      <c r="X131" s="148">
        <v>135</v>
      </c>
      <c r="Y131" s="149">
        <v>106</v>
      </c>
      <c r="Z131" s="149">
        <v>25594</v>
      </c>
      <c r="AA131" s="150">
        <v>1347</v>
      </c>
      <c r="AC131" s="151">
        <v>13.8</v>
      </c>
      <c r="AD131" s="152">
        <v>10948</v>
      </c>
      <c r="AE131" s="150">
        <v>995</v>
      </c>
      <c r="AF131" s="153">
        <v>9.02</v>
      </c>
      <c r="AG131" s="174"/>
      <c r="AH131" s="174">
        <f t="shared" si="9"/>
        <v>0.33259423503325941</v>
      </c>
      <c r="AI131" s="174"/>
      <c r="AJ131" s="146"/>
      <c r="AK131" s="174">
        <f>(($AK$2+Y131*Лист1!$B$7^2*Лист1!$G$8/100)/(AA131/10^6)+$AK$3/(AE131/10^6))/1000/($Q131*IF(Лист1!$J$19="да",1/1.05,1))</f>
        <v>4.0098343073177056E-2</v>
      </c>
      <c r="AM131" s="146"/>
      <c r="AN131" s="174">
        <f>(($AK$2+Y131*Лист1!$B$7^2*Лист1!$G$8/100)/(AA131/10^6)+$AK$3/(AE131/10^6))/1000/($Q131*IF(Лист1!$J$19="да",1/1.05,1))</f>
        <v>4.0098343073177056E-2</v>
      </c>
      <c r="AP131" s="146"/>
      <c r="AQ131" s="174">
        <f>MAX((5/384*($AQ$2+$Y131/100)*$D$17^4/(2.06*10^8*$Z131/10^8))/($D$17/300)*INDEX(Лист1!$L$34:$L$38,MATCH(Лист1!$B$8,Лист1!$I$34:$I$38,0),1),(5/384*($AQ$3)*$D$17^4/(2.06*10^8*$AD131/10^8))/($D$17/200))</f>
        <v>2.5125114654451022E-2</v>
      </c>
      <c r="AR131" s="174"/>
      <c r="AS131" s="175"/>
      <c r="AT131" s="174">
        <f>MAX((5/384*($AT$2+$Y131/100)*$D$17^4/(2.06*10^8*$Z131/10^8))/($D$17/300)*INDEX(Лист1!$L$34:$L$38,MATCH(Лист1!$B$8,Лист1!$I$34:$I$38,0),1),(5/384*($AT$3)*$D$17^4/(2.06*10^8*$AD131/10^8))/($D$17/200))</f>
        <v>1.8403746402941835E-2</v>
      </c>
      <c r="AU131" s="174"/>
      <c r="AV131" s="174">
        <f>IF(OR(MAX(AH131,AQ131)&gt;1,AK131&gt;Лист1!$B$20,N131="-"),999999999,Y131*Лист1!$B$7+0.0001*O131)</f>
        <v>999999999</v>
      </c>
      <c r="AW131" s="174"/>
      <c r="AX131" s="174">
        <f>IF(OR(MAX(AH131,AT131)&gt;1,AN131&gt;Лист1!$B$20,N131="-"),999999999,Y131*Лист1!$B$7+0.0001*O131)</f>
        <v>999999999</v>
      </c>
    </row>
    <row r="132" spans="14:50" ht="16.5" thickBot="1" x14ac:dyDescent="0.3">
      <c r="N132" t="s">
        <v>344</v>
      </c>
      <c r="O132">
        <f t="shared" si="10"/>
        <v>129</v>
      </c>
      <c r="P132" s="179" t="s">
        <v>297</v>
      </c>
      <c r="Q132" s="1">
        <v>240</v>
      </c>
      <c r="R132" s="154" t="s">
        <v>278</v>
      </c>
      <c r="S132" s="148">
        <v>380</v>
      </c>
      <c r="T132" s="148">
        <v>380</v>
      </c>
      <c r="X132" s="148">
        <v>155</v>
      </c>
      <c r="Y132" s="149">
        <v>122</v>
      </c>
      <c r="Z132" s="149">
        <v>29037</v>
      </c>
      <c r="AA132" s="150">
        <v>1528</v>
      </c>
      <c r="AC132" s="151">
        <v>13.7</v>
      </c>
      <c r="AD132" s="152">
        <v>12370</v>
      </c>
      <c r="AE132" s="150">
        <v>1125</v>
      </c>
      <c r="AF132" s="153">
        <v>8.93</v>
      </c>
      <c r="AG132" s="174"/>
      <c r="AH132" s="174">
        <f t="shared" si="9"/>
        <v>0.33594624860022398</v>
      </c>
      <c r="AI132" s="174"/>
      <c r="AJ132" s="146"/>
      <c r="AK132" s="174">
        <f>(($AK$2+Y132*Лист1!$B$7^2*Лист1!$G$8/100)/(AA132/10^6)+$AK$3/(AE132/10^6))/1000/($Q132*IF(Лист1!$J$19="да",1/1.05,1))</f>
        <v>3.7364489670350415E-2</v>
      </c>
      <c r="AM132" s="146"/>
      <c r="AN132" s="174">
        <f>(($AK$2+Y132*Лист1!$B$7^2*Лист1!$G$8/100)/(AA132/10^6)+$AK$3/(AE132/10^6))/1000/($Q132*IF(Лист1!$J$19="да",1/1.05,1))</f>
        <v>3.7364489670350415E-2</v>
      </c>
      <c r="AP132" s="146"/>
      <c r="AQ132" s="174">
        <f>MAX((5/384*($AQ$2+$Y132/100)*$D$17^4/(2.06*10^8*$Z132/10^8))/($D$17/300)*INDEX(Лист1!$L$34:$L$38,MATCH(Лист1!$B$8,Лист1!$I$34:$I$38,0),1),(5/384*($AQ$3)*$D$17^4/(2.06*10^8*$AD132/10^8))/($D$17/200))</f>
        <v>2.4402870993854176E-2</v>
      </c>
      <c r="AR132" s="174"/>
      <c r="AS132" s="175"/>
      <c r="AT132" s="174">
        <f>MAX((5/384*($AT$2+$Y132/100)*$D$17^4/(2.06*10^8*$Z132/10^8))/($D$17/300)*INDEX(Лист1!$L$34:$L$38,MATCH(Лист1!$B$8,Лист1!$I$34:$I$38,0),1),(5/384*($AT$3)*$D$17^4/(2.06*10^8*$AD132/10^8))/($D$17/200))</f>
        <v>1.8478474567600562E-2</v>
      </c>
      <c r="AU132" s="174"/>
      <c r="AV132" s="174">
        <f>IF(OR(MAX(AH132,AQ132)&gt;1,AK132&gt;Лист1!$B$20,N132="-"),999999999,Y132*Лист1!$B$7+0.0001*O132)</f>
        <v>999999999</v>
      </c>
      <c r="AW132" s="174"/>
      <c r="AX132" s="174">
        <f>IF(OR(MAX(AH132,AT132)&gt;1,AN132&gt;Лист1!$B$20,N132="-"),999999999,Y132*Лист1!$B$7+0.0001*O132)</f>
        <v>999999999</v>
      </c>
    </row>
    <row r="133" spans="14:50" ht="16.5" thickBot="1" x14ac:dyDescent="0.3">
      <c r="O133">
        <f t="shared" si="10"/>
        <v>130</v>
      </c>
      <c r="P133" s="179" t="s">
        <v>297</v>
      </c>
      <c r="Q133" s="1">
        <v>240</v>
      </c>
      <c r="R133" s="154" t="s">
        <v>279</v>
      </c>
      <c r="S133" s="148">
        <v>400</v>
      </c>
      <c r="T133" s="148">
        <v>400</v>
      </c>
      <c r="X133" s="148">
        <v>113</v>
      </c>
      <c r="Y133" s="149">
        <v>89</v>
      </c>
      <c r="Z133" s="149">
        <v>23345</v>
      </c>
      <c r="AA133" s="150">
        <v>1167</v>
      </c>
      <c r="AC133" s="151">
        <v>14.3</v>
      </c>
      <c r="AD133" s="152">
        <v>7949</v>
      </c>
      <c r="AE133" s="150">
        <v>795</v>
      </c>
      <c r="AF133" s="153">
        <v>8.3699999999999992</v>
      </c>
      <c r="AG133" s="174"/>
      <c r="AH133" s="174">
        <f t="shared" ref="AH133:AH196" si="11">MAX($D$18*100/$AC133,$D$17*100/$AF133)/200</f>
        <v>0.35842293906810041</v>
      </c>
      <c r="AI133" s="174"/>
      <c r="AJ133" s="146"/>
      <c r="AK133" s="174">
        <f>(($AK$2+Y133*Лист1!$B$7^2*Лист1!$G$8/100)/(AA133/10^6)+$AK$3/(AE133/10^6))/1000/($Q133*IF(Лист1!$J$19="да",1/1.05,1))</f>
        <v>4.5319408702598749E-2</v>
      </c>
      <c r="AM133" s="146"/>
      <c r="AN133" s="174">
        <f>(($AK$2+Y133*Лист1!$B$7^2*Лист1!$G$8/100)/(AA133/10^6)+$AK$3/(AE133/10^6))/1000/($Q133*IF(Лист1!$J$19="да",1/1.05,1))</f>
        <v>4.5319408702598749E-2</v>
      </c>
      <c r="AP133" s="146"/>
      <c r="AQ133" s="174">
        <f>MAX((5/384*($AQ$2+$Y133/100)*$D$17^4/(2.06*10^8*$Z133/10^8))/($D$17/300)*INDEX(Лист1!$L$34:$L$38,MATCH(Лист1!$B$8,Лист1!$I$34:$I$38,0),1),(5/384*($AQ$3)*$D$17^4/(2.06*10^8*$AD133/10^8))/($D$17/200))</f>
        <v>3.3105282258592716E-2</v>
      </c>
      <c r="AR133" s="174"/>
      <c r="AS133" s="175"/>
      <c r="AT133" s="174">
        <f>MAX((5/384*($AT$2+$Y133/100)*$D$17^4/(2.06*10^8*$Z133/10^8))/($D$17/300)*INDEX(Лист1!$L$34:$L$38,MATCH(Лист1!$B$8,Лист1!$I$34:$I$38,0),1),(5/384*($AT$3)*$D$17^4/(2.06*10^8*$AD133/10^8))/($D$17/200))</f>
        <v>1.9705525153924233E-2</v>
      </c>
      <c r="AU133" s="174"/>
      <c r="AV133" s="174">
        <f>IF(OR(MAX(AH133,AQ133)&gt;1,AK133&gt;Лист1!$B$20,N133="-"),999999999,Y133*Лист1!$B$7+0.0001*O133)</f>
        <v>534.01300000000003</v>
      </c>
      <c r="AW133" s="174"/>
      <c r="AX133" s="174">
        <f>IF(OR(MAX(AH133,AT133)&gt;1,AN133&gt;Лист1!$B$20,N133="-"),999999999,Y133*Лист1!$B$7+0.0001*O133)</f>
        <v>534.01300000000003</v>
      </c>
    </row>
    <row r="134" spans="14:50" ht="16.5" thickBot="1" x14ac:dyDescent="0.3">
      <c r="N134" t="s">
        <v>344</v>
      </c>
      <c r="O134">
        <f t="shared" si="10"/>
        <v>131</v>
      </c>
      <c r="P134" s="179" t="s">
        <v>297</v>
      </c>
      <c r="Q134" s="1">
        <v>240</v>
      </c>
      <c r="R134" s="154" t="s">
        <v>280</v>
      </c>
      <c r="S134" s="148">
        <v>400</v>
      </c>
      <c r="T134" s="148">
        <v>400</v>
      </c>
      <c r="X134" s="148">
        <v>135</v>
      </c>
      <c r="Y134" s="149">
        <v>106</v>
      </c>
      <c r="Z134" s="149">
        <v>27248</v>
      </c>
      <c r="AA134" s="150">
        <v>1362</v>
      </c>
      <c r="AC134" s="151">
        <v>14.2</v>
      </c>
      <c r="AD134" s="152">
        <v>9227</v>
      </c>
      <c r="AE134" s="150">
        <v>923</v>
      </c>
      <c r="AF134" s="153">
        <v>8.2799999999999994</v>
      </c>
      <c r="AG134" s="174"/>
      <c r="AH134" s="174">
        <f t="shared" si="11"/>
        <v>0.36231884057971014</v>
      </c>
      <c r="AI134" s="174"/>
      <c r="AJ134" s="146"/>
      <c r="AK134" s="174">
        <f>(($AK$2+Y134*Лист1!$B$7^2*Лист1!$G$8/100)/(AA134/10^6)+$AK$3/(AE134/10^6))/1000/($Q134*IF(Лист1!$J$19="да",1/1.05,1))</f>
        <v>4.1273392073909385E-2</v>
      </c>
      <c r="AM134" s="146"/>
      <c r="AN134" s="174">
        <f>(($AK$2+Y134*Лист1!$B$7^2*Лист1!$G$8/100)/(AA134/10^6)+$AK$3/(AE134/10^6))/1000/($Q134*IF(Лист1!$J$19="да",1/1.05,1))</f>
        <v>4.1273392073909385E-2</v>
      </c>
      <c r="AP134" s="146"/>
      <c r="AQ134" s="174">
        <f>MAX((5/384*($AQ$2+$Y134/100)*$D$17^4/(2.06*10^8*$Z134/10^8))/($D$17/300)*INDEX(Лист1!$L$34:$L$38,MATCH(Лист1!$B$8,Лист1!$I$34:$I$38,0),1),(5/384*($AQ$3)*$D$17^4/(2.06*10^8*$AD134/10^8))/($D$17/200))</f>
        <v>2.8519983599604799E-2</v>
      </c>
      <c r="AR134" s="174"/>
      <c r="AS134" s="175"/>
      <c r="AT134" s="174">
        <f>MAX((5/384*($AT$2+$Y134/100)*$D$17^4/(2.06*10^8*$Z134/10^8))/($D$17/300)*INDEX(Лист1!$L$34:$L$38,MATCH(Лист1!$B$8,Лист1!$I$34:$I$38,0),1),(5/384*($AT$3)*$D$17^4/(2.06*10^8*$AD134/10^8))/($D$17/200))</f>
        <v>1.7286607656961734E-2</v>
      </c>
      <c r="AU134" s="174"/>
      <c r="AV134" s="174">
        <f>IF(OR(MAX(AH134,AQ134)&gt;1,AK134&gt;Лист1!$B$20,N134="-"),999999999,Y134*Лист1!$B$7+0.0001*O134)</f>
        <v>999999999</v>
      </c>
      <c r="AW134" s="174"/>
      <c r="AX134" s="174">
        <f>IF(OR(MAX(AH134,AT134)&gt;1,AN134&gt;Лист1!$B$20,N134="-"),999999999,Y134*Лист1!$B$7+0.0001*O134)</f>
        <v>999999999</v>
      </c>
    </row>
    <row r="135" spans="14:50" ht="16.5" thickBot="1" x14ac:dyDescent="0.3">
      <c r="O135">
        <f t="shared" si="10"/>
        <v>132</v>
      </c>
      <c r="P135" s="179" t="s">
        <v>297</v>
      </c>
      <c r="Q135" s="1">
        <v>240</v>
      </c>
      <c r="R135" s="154" t="s">
        <v>281</v>
      </c>
      <c r="S135" s="148">
        <v>400</v>
      </c>
      <c r="T135" s="148">
        <v>400</v>
      </c>
      <c r="X135" s="165">
        <v>155</v>
      </c>
      <c r="Y135" s="166">
        <v>122</v>
      </c>
      <c r="Z135" s="167">
        <v>30907</v>
      </c>
      <c r="AA135" s="168">
        <v>1545</v>
      </c>
      <c r="AC135" s="164">
        <v>14.1</v>
      </c>
      <c r="AD135" s="169">
        <v>10409</v>
      </c>
      <c r="AE135" s="168">
        <v>1041</v>
      </c>
      <c r="AF135" s="166">
        <v>8.19</v>
      </c>
      <c r="AG135" s="174"/>
      <c r="AH135" s="174">
        <f t="shared" si="11"/>
        <v>0.36630036630036633</v>
      </c>
      <c r="AI135" s="174"/>
      <c r="AJ135" s="146"/>
      <c r="AK135" s="174">
        <f>(($AK$2+Y135*Лист1!$B$7^2*Лист1!$G$8/100)/(AA135/10^6)+$AK$3/(AE135/10^6))/1000/($Q135*IF(Лист1!$J$19="да",1/1.05,1))</f>
        <v>3.8426174763111942E-2</v>
      </c>
      <c r="AM135" s="146"/>
      <c r="AN135" s="174">
        <f>(($AK$2+Y135*Лист1!$B$7^2*Лист1!$G$8/100)/(AA135/10^6)+$AK$3/(AE135/10^6))/1000/($Q135*IF(Лист1!$J$19="да",1/1.05,1))</f>
        <v>3.8426174763111942E-2</v>
      </c>
      <c r="AP135" s="146"/>
      <c r="AQ135" s="174">
        <f>MAX((5/384*($AQ$2+$Y135/100)*$D$17^4/(2.06*10^8*$Z135/10^8))/($D$17/300)*INDEX(Лист1!$L$34:$L$38,MATCH(Лист1!$B$8,Лист1!$I$34:$I$38,0),1),(5/384*($AQ$3)*$D$17^4/(2.06*10^8*$AD135/10^8))/($D$17/200))</f>
        <v>2.5281380408641894E-2</v>
      </c>
      <c r="AR135" s="174"/>
      <c r="AS135" s="175"/>
      <c r="AT135" s="174">
        <f>MAX((5/384*($AT$2+$Y135/100)*$D$17^4/(2.06*10^8*$Z135/10^8))/($D$17/300)*INDEX(Лист1!$L$34:$L$38,MATCH(Лист1!$B$8,Лист1!$I$34:$I$38,0),1),(5/384*($AT$3)*$D$17^4/(2.06*10^8*$AD135/10^8))/($D$17/200))</f>
        <v>1.7360451225269923E-2</v>
      </c>
      <c r="AU135" s="174"/>
      <c r="AV135" s="174">
        <f>IF(OR(MAX(AH135,AQ135)&gt;1,AK135&gt;Лист1!$B$20,N135="-"),999999999,Y135*Лист1!$B$7+0.0001*O135)</f>
        <v>732.01319999999998</v>
      </c>
      <c r="AW135" s="174"/>
      <c r="AX135" s="174">
        <f>IF(OR(MAX(AH135,AT135)&gt;1,AN135&gt;Лист1!$B$20,N135="-"),999999999,Y135*Лист1!$B$7+0.0001*O135)</f>
        <v>732.01319999999998</v>
      </c>
    </row>
    <row r="136" spans="14:50" ht="16.5" thickBot="1" x14ac:dyDescent="0.3">
      <c r="O136">
        <f t="shared" si="10"/>
        <v>133</v>
      </c>
      <c r="P136" s="179" t="s">
        <v>296</v>
      </c>
      <c r="Q136" s="179">
        <v>340</v>
      </c>
      <c r="R136" s="129" t="s">
        <v>150</v>
      </c>
      <c r="S136" s="184">
        <v>50</v>
      </c>
      <c r="T136" s="184">
        <v>50</v>
      </c>
      <c r="X136" s="130">
        <v>3.9</v>
      </c>
      <c r="Y136" s="131">
        <v>3</v>
      </c>
      <c r="Z136" s="130">
        <v>14.4</v>
      </c>
      <c r="AA136" s="130">
        <v>5.7</v>
      </c>
      <c r="AC136" s="130">
        <v>1.96</v>
      </c>
      <c r="AD136" s="130">
        <v>14.4</v>
      </c>
      <c r="AE136" s="130">
        <v>5.7</v>
      </c>
      <c r="AF136" s="130">
        <v>1.96</v>
      </c>
      <c r="AG136" s="174"/>
      <c r="AH136" s="174">
        <f t="shared" si="11"/>
        <v>1.5306122448979593</v>
      </c>
      <c r="AI136" s="174"/>
      <c r="AJ136" s="186"/>
      <c r="AK136" s="174">
        <f>(($AK$2+Y136*Лист1!$B$7^2*Лист1!$G$8/100)/(AA136/10^6)+$AK$3/(AE136/10^6))/1000/($Q136*IF(Лист1!$J$19="да",1/1.05,1))</f>
        <v>3.505560415552198</v>
      </c>
      <c r="AL136" s="24"/>
      <c r="AM136" s="186"/>
      <c r="AN136" s="174">
        <f>(($AK$2+Y136*Лист1!$B$7^2*Лист1!$G$8/100)/(AA136/10^6)+$AK$3/(AE136/10^6))/1000/($Q136*IF(Лист1!$J$19="да",1/1.05,1))</f>
        <v>3.505560415552198</v>
      </c>
      <c r="AO136" s="24"/>
      <c r="AP136" s="186"/>
      <c r="AQ136" s="174">
        <f>MAX((5/384*($AQ$2+$Y136/100)*$D$17^4/(2.06*10^8*$Z136/10^8))/($D$17/300)*INDEX(Лист1!$L$34:$L$38,MATCH(Лист1!$B$8,Лист1!$I$34:$I$38,0),1),(5/384*($AQ$3)*$D$17^4/(2.06*10^8*$AD136/10^8))/($D$17/200))</f>
        <v>18.274575602330103</v>
      </c>
      <c r="AR136" s="174"/>
      <c r="AS136" s="175"/>
      <c r="AT136" s="174">
        <f>MAX((5/384*($AT$2+$Y136/100)*$D$17^4/(2.06*10^8*$Z136/10^8))/($D$17/300)*INDEX(Лист1!$L$34:$L$38,MATCH(Лист1!$B$8,Лист1!$I$34:$I$38,0),1),(5/384*($AT$3)*$D$17^4/(2.06*10^8*$AD136/10^8))/($D$17/200))</f>
        <v>10.877723572815537</v>
      </c>
      <c r="AU136" s="174"/>
      <c r="AV136" s="174">
        <f>IF(OR(MAX(AH136,AQ136)&gt;1,AK136&gt;Лист1!$B$20,N136="-"),999999999,Y136*Лист1!$B$7+0.0001*O136)</f>
        <v>999999999</v>
      </c>
      <c r="AW136" s="174"/>
      <c r="AX136" s="174">
        <f>IF(OR(MAX(AH136,AT136)&gt;1,AN136&gt;Лист1!$B$20,N136="-"),999999999,Y136*Лист1!$B$7+0.0001*O136)</f>
        <v>999999999</v>
      </c>
    </row>
    <row r="137" spans="14:50" ht="16.5" thickBot="1" x14ac:dyDescent="0.3">
      <c r="N137" t="s">
        <v>344</v>
      </c>
      <c r="O137">
        <f t="shared" si="10"/>
        <v>134</v>
      </c>
      <c r="P137" s="179" t="s">
        <v>296</v>
      </c>
      <c r="Q137" s="179">
        <v>340</v>
      </c>
      <c r="R137" s="129" t="s">
        <v>151</v>
      </c>
      <c r="S137" s="184">
        <v>50</v>
      </c>
      <c r="T137" s="184">
        <v>50</v>
      </c>
      <c r="X137" s="132">
        <v>4.7</v>
      </c>
      <c r="Y137" s="133">
        <v>3.6</v>
      </c>
      <c r="Z137" s="132">
        <v>17.2</v>
      </c>
      <c r="AA137" s="132">
        <v>6.8</v>
      </c>
      <c r="AC137" s="132">
        <v>1.93</v>
      </c>
      <c r="AD137" s="132">
        <v>17.2</v>
      </c>
      <c r="AE137" s="132">
        <v>6.8</v>
      </c>
      <c r="AF137" s="132">
        <v>1.93</v>
      </c>
      <c r="AG137" s="174"/>
      <c r="AH137" s="174">
        <f t="shared" si="11"/>
        <v>1.5544041450777204</v>
      </c>
      <c r="AI137" s="174"/>
      <c r="AJ137" s="186"/>
      <c r="AK137" s="174">
        <f>(($AK$2+Y137*Лист1!$B$7^2*Лист1!$G$8/100)/(AA137/10^6)+$AK$3/(AE137/10^6))/1000/($Q137*IF(Лист1!$J$19="да",1/1.05,1))</f>
        <v>2.9501626666696192</v>
      </c>
      <c r="AL137" s="24"/>
      <c r="AM137" s="186"/>
      <c r="AN137" s="174">
        <f>(($AK$2+Y137*Лист1!$B$7^2*Лист1!$G$8/100)/(AA137/10^6)+$AK$3/(AE137/10^6))/1000/($Q137*IF(Лист1!$J$19="да",1/1.05,1))</f>
        <v>2.9501626666696192</v>
      </c>
      <c r="AO137" s="24"/>
      <c r="AP137" s="186"/>
      <c r="AQ137" s="174">
        <f>MAX((5/384*($AQ$2+$Y137/100)*$D$17^4/(2.06*10^8*$Z137/10^8))/($D$17/300)*INDEX(Лист1!$L$34:$L$38,MATCH(Лист1!$B$8,Лист1!$I$34:$I$38,0),1),(5/384*($AQ$3)*$D$17^4/(2.06*10^8*$AD137/10^8))/($D$17/200))</f>
        <v>15.299644690322875</v>
      </c>
      <c r="AR137" s="174"/>
      <c r="AS137" s="175"/>
      <c r="AT137" s="174">
        <f>MAX((5/384*($AT$2+$Y137/100)*$D$17^4/(2.06*10^8*$Z137/10^8))/($D$17/300)*INDEX(Лист1!$L$34:$L$38,MATCH(Лист1!$B$8,Лист1!$I$34:$I$38,0),1),(5/384*($AT$3)*$D$17^4/(2.06*10^8*$AD137/10^8))/($D$17/200))</f>
        <v>9.1069313632874263</v>
      </c>
      <c r="AU137" s="174"/>
      <c r="AV137" s="174">
        <f>IF(OR(MAX(AH137,AQ137)&gt;1,AK137&gt;Лист1!$B$20,N137="-"),999999999,Y137*Лист1!$B$7+0.0001*O137)</f>
        <v>999999999</v>
      </c>
      <c r="AW137" s="174"/>
      <c r="AX137" s="174">
        <f>IF(OR(MAX(AH137,AT137)&gt;1,AN137&gt;Лист1!$B$20,N137="-"),999999999,Y137*Лист1!$B$7+0.0001*O137)</f>
        <v>999999999</v>
      </c>
    </row>
    <row r="138" spans="14:50" ht="16.5" thickBot="1" x14ac:dyDescent="0.3">
      <c r="O138">
        <f t="shared" si="10"/>
        <v>135</v>
      </c>
      <c r="P138" s="179" t="s">
        <v>296</v>
      </c>
      <c r="Q138" s="179">
        <v>340</v>
      </c>
      <c r="R138" s="129" t="s">
        <v>152</v>
      </c>
      <c r="S138" s="184">
        <v>50</v>
      </c>
      <c r="T138" s="184">
        <v>50</v>
      </c>
      <c r="X138" s="132">
        <v>5.5</v>
      </c>
      <c r="Y138" s="133">
        <v>4.3</v>
      </c>
      <c r="Z138" s="132">
        <v>19.899999999999999</v>
      </c>
      <c r="AA138" s="132">
        <v>7.9</v>
      </c>
      <c r="AC138" s="132">
        <v>1.91</v>
      </c>
      <c r="AD138" s="132">
        <v>19.899999999999999</v>
      </c>
      <c r="AE138" s="132">
        <v>7.9</v>
      </c>
      <c r="AF138" s="132">
        <v>1.91</v>
      </c>
      <c r="AG138" s="174"/>
      <c r="AH138" s="174">
        <f t="shared" si="11"/>
        <v>1.5706806282722514</v>
      </c>
      <c r="AI138" s="174"/>
      <c r="AJ138" s="186"/>
      <c r="AK138" s="174">
        <f>(($AK$2+Y138*Лист1!$B$7^2*Лист1!$G$8/100)/(AA138/10^6)+$AK$3/(AE138/10^6))/1000/($Q138*IF(Лист1!$J$19="да",1/1.05,1))</f>
        <v>2.5511079990097394</v>
      </c>
      <c r="AL138" s="24"/>
      <c r="AM138" s="186"/>
      <c r="AN138" s="174">
        <f>(($AK$2+Y138*Лист1!$B$7^2*Лист1!$G$8/100)/(AA138/10^6)+$AK$3/(AE138/10^6))/1000/($Q138*IF(Лист1!$J$19="да",1/1.05,1))</f>
        <v>2.5511079990097394</v>
      </c>
      <c r="AO138" s="24"/>
      <c r="AP138" s="186"/>
      <c r="AQ138" s="174">
        <f>MAX((5/384*($AQ$2+$Y138/100)*$D$17^4/(2.06*10^8*$Z138/10^8))/($D$17/300)*INDEX(Лист1!$L$34:$L$38,MATCH(Лист1!$B$8,Лист1!$I$34:$I$38,0),1),(5/384*($AQ$3)*$D$17^4/(2.06*10^8*$AD138/10^8))/($D$17/200))</f>
        <v>13.223813501183594</v>
      </c>
      <c r="AR138" s="174"/>
      <c r="AS138" s="175"/>
      <c r="AT138" s="174">
        <f>MAX((5/384*($AT$2+$Y138/100)*$D$17^4/(2.06*10^8*$Z138/10^8))/($D$17/300)*INDEX(Лист1!$L$34:$L$38,MATCH(Лист1!$B$8,Лист1!$I$34:$I$38,0),1),(5/384*($AT$3)*$D$17^4/(2.06*10^8*$AD138/10^8))/($D$17/200))</f>
        <v>7.8713175602283307</v>
      </c>
      <c r="AU138" s="174"/>
      <c r="AV138" s="174">
        <f>IF(OR(MAX(AH138,AQ138)&gt;1,AK138&gt;Лист1!$B$20,N138="-"),999999999,Y138*Лист1!$B$7+0.0001*O138)</f>
        <v>999999999</v>
      </c>
      <c r="AW138" s="174"/>
      <c r="AX138" s="174">
        <f>IF(OR(MAX(AH138,AT138)&gt;1,AN138&gt;Лист1!$B$20,N138="-"),999999999,Y138*Лист1!$B$7+0.0001*O138)</f>
        <v>999999999</v>
      </c>
    </row>
    <row r="139" spans="14:50" ht="16.5" thickBot="1" x14ac:dyDescent="0.3">
      <c r="O139">
        <f t="shared" si="10"/>
        <v>136</v>
      </c>
      <c r="P139" s="179" t="s">
        <v>296</v>
      </c>
      <c r="Q139" s="179">
        <v>340</v>
      </c>
      <c r="R139" s="129" t="s">
        <v>153</v>
      </c>
      <c r="S139" s="184">
        <v>50</v>
      </c>
      <c r="T139" s="184">
        <v>50</v>
      </c>
      <c r="X139" s="132">
        <v>7.1</v>
      </c>
      <c r="Y139" s="133">
        <v>5.5</v>
      </c>
      <c r="Z139" s="132">
        <v>24.5</v>
      </c>
      <c r="AA139" s="132">
        <v>9.8000000000000007</v>
      </c>
      <c r="AC139" s="132">
        <v>1.86</v>
      </c>
      <c r="AD139" s="132">
        <v>24.5</v>
      </c>
      <c r="AE139" s="132">
        <v>9.8000000000000007</v>
      </c>
      <c r="AF139" s="132">
        <v>1.86</v>
      </c>
      <c r="AG139" s="174"/>
      <c r="AH139" s="174">
        <f t="shared" si="11"/>
        <v>1.6129032258064515</v>
      </c>
      <c r="AI139" s="174"/>
      <c r="AJ139" s="186"/>
      <c r="AK139" s="174">
        <f>(($AK$2+Y139*Лист1!$B$7^2*Лист1!$G$8/100)/(AA139/10^6)+$AK$3/(AE139/10^6))/1000/($Q139*IF(Лист1!$J$19="да",1/1.05,1))</f>
        <v>2.0727119103661944</v>
      </c>
      <c r="AL139" s="24"/>
      <c r="AM139" s="186"/>
      <c r="AN139" s="174">
        <f>(($AK$2+Y139*Лист1!$B$7^2*Лист1!$G$8/100)/(AA139/10^6)+$AK$3/(AE139/10^6))/1000/($Q139*IF(Лист1!$J$19="да",1/1.05,1))</f>
        <v>2.0727119103661944</v>
      </c>
      <c r="AO139" s="24"/>
      <c r="AP139" s="186"/>
      <c r="AQ139" s="174">
        <f>MAX((5/384*($AQ$2+$Y139/100)*$D$17^4/(2.06*10^8*$Z139/10^8))/($D$17/300)*INDEX(Лист1!$L$34:$L$38,MATCH(Лист1!$B$8,Лист1!$I$34:$I$38,0),1),(5/384*($AQ$3)*$D$17^4/(2.06*10^8*$AD139/10^8))/($D$17/200))</f>
        <v>10.740975047900143</v>
      </c>
      <c r="AR139" s="174"/>
      <c r="AS139" s="175"/>
      <c r="AT139" s="174">
        <f>MAX((5/384*($AT$2+$Y139/100)*$D$17^4/(2.06*10^8*$Z139/10^8))/($D$17/300)*INDEX(Лист1!$L$34:$L$38,MATCH(Лист1!$B$8,Лист1!$I$34:$I$38,0),1),(5/384*($AT$3)*$D$17^4/(2.06*10^8*$AD139/10^8))/($D$17/200))</f>
        <v>6.3934375285119902</v>
      </c>
      <c r="AU139" s="174"/>
      <c r="AV139" s="174">
        <f>IF(OR(MAX(AH139,AQ139)&gt;1,AK139&gt;Лист1!$B$20,N139="-"),999999999,Y139*Лист1!$B$7+0.0001*O139)</f>
        <v>999999999</v>
      </c>
      <c r="AW139" s="174"/>
      <c r="AX139" s="174">
        <f>IF(OR(MAX(AH139,AT139)&gt;1,AN139&gt;Лист1!$B$20,N139="-"),999999999,Y139*Лист1!$B$7+0.0001*O139)</f>
        <v>999999999</v>
      </c>
    </row>
    <row r="140" spans="14:50" ht="16.5" thickBot="1" x14ac:dyDescent="0.3">
      <c r="O140">
        <f t="shared" si="10"/>
        <v>137</v>
      </c>
      <c r="P140" s="179" t="s">
        <v>296</v>
      </c>
      <c r="Q140" s="179">
        <v>340</v>
      </c>
      <c r="R140" s="129" t="s">
        <v>154</v>
      </c>
      <c r="S140" s="184">
        <v>50</v>
      </c>
      <c r="T140" s="184">
        <v>50</v>
      </c>
      <c r="X140" s="134">
        <v>8.6</v>
      </c>
      <c r="Y140" s="135">
        <v>6.7</v>
      </c>
      <c r="Z140" s="134">
        <v>28.3</v>
      </c>
      <c r="AA140" s="134">
        <v>11.3</v>
      </c>
      <c r="AC140" s="134">
        <v>1.81</v>
      </c>
      <c r="AD140" s="134">
        <v>28.3</v>
      </c>
      <c r="AE140" s="134">
        <v>11.3</v>
      </c>
      <c r="AF140" s="134">
        <v>1.81</v>
      </c>
      <c r="AG140" s="174"/>
      <c r="AH140" s="174">
        <f t="shared" si="11"/>
        <v>1.6574585635359116</v>
      </c>
      <c r="AI140" s="174"/>
      <c r="AJ140" s="186"/>
      <c r="AK140" s="174">
        <f>(($AK$2+Y140*Лист1!$B$7^2*Лист1!$G$8/100)/(AA140/10^6)+$AK$3/(AE140/10^6))/1000/($Q140*IF(Лист1!$J$19="да",1/1.05,1))</f>
        <v>1.8116283407965017</v>
      </c>
      <c r="AL140" s="24"/>
      <c r="AM140" s="186"/>
      <c r="AN140" s="174">
        <f>(($AK$2+Y140*Лист1!$B$7^2*Лист1!$G$8/100)/(AA140/10^6)+$AK$3/(AE140/10^6))/1000/($Q140*IF(Лист1!$J$19="да",1/1.05,1))</f>
        <v>1.8116283407965017</v>
      </c>
      <c r="AO140" s="24"/>
      <c r="AP140" s="186"/>
      <c r="AQ140" s="174">
        <f>MAX((5/384*($AQ$2+$Y140/100)*$D$17^4/(2.06*10^8*$Z140/10^8))/($D$17/300)*INDEX(Лист1!$L$34:$L$38,MATCH(Лист1!$B$8,Лист1!$I$34:$I$38,0),1),(5/384*($AQ$3)*$D$17^4/(2.06*10^8*$AD140/10^8))/($D$17/200))</f>
        <v>9.2987239813976483</v>
      </c>
      <c r="AR140" s="174"/>
      <c r="AS140" s="175"/>
      <c r="AT140" s="174">
        <f>MAX((5/384*($AT$2+$Y140/100)*$D$17^4/(2.06*10^8*$Z140/10^8))/($D$17/300)*INDEX(Лист1!$L$34:$L$38,MATCH(Лист1!$B$8,Лист1!$I$34:$I$38,0),1),(5/384*($AT$3)*$D$17^4/(2.06*10^8*$AD140/10^8))/($D$17/200))</f>
        <v>5.5349547508319343</v>
      </c>
      <c r="AU140" s="174"/>
      <c r="AV140" s="174">
        <f>IF(OR(MAX(AH140,AQ140)&gt;1,AK140&gt;Лист1!$B$20,N140="-"),999999999,Y140*Лист1!$B$7+0.0001*O140)</f>
        <v>999999999</v>
      </c>
      <c r="AW140" s="174"/>
      <c r="AX140" s="174">
        <f>IF(OR(MAX(AH140,AT140)&gt;1,AN140&gt;Лист1!$B$20,N140="-"),999999999,Y140*Лист1!$B$7+0.0001*O140)</f>
        <v>999999999</v>
      </c>
    </row>
    <row r="141" spans="14:50" ht="16.5" thickBot="1" x14ac:dyDescent="0.3">
      <c r="N141" t="s">
        <v>344</v>
      </c>
      <c r="O141">
        <f t="shared" si="10"/>
        <v>138</v>
      </c>
      <c r="P141" s="179" t="s">
        <v>296</v>
      </c>
      <c r="Q141" s="179">
        <v>340</v>
      </c>
      <c r="R141" s="129" t="s">
        <v>155</v>
      </c>
      <c r="S141" s="184">
        <v>80</v>
      </c>
      <c r="T141" s="184">
        <v>80</v>
      </c>
      <c r="X141" s="130">
        <v>7.7</v>
      </c>
      <c r="Y141" s="131">
        <v>6</v>
      </c>
      <c r="Z141" s="130">
        <v>74.599999999999994</v>
      </c>
      <c r="AA141" s="130">
        <v>18.7</v>
      </c>
      <c r="AC141" s="130">
        <v>3.12</v>
      </c>
      <c r="AD141" s="130">
        <v>74.599999999999994</v>
      </c>
      <c r="AE141" s="130">
        <v>18.7</v>
      </c>
      <c r="AF141" s="130">
        <v>3.12</v>
      </c>
      <c r="AG141" s="174"/>
      <c r="AH141" s="174">
        <f t="shared" si="11"/>
        <v>0.96153846153846145</v>
      </c>
      <c r="AI141" s="174"/>
      <c r="AJ141" s="186"/>
      <c r="AK141" s="174">
        <f>(($AK$2+Y141*Лист1!$B$7^2*Лист1!$G$8/100)/(AA141/10^6)+$AK$3/(AE141/10^6))/1000/($Q141*IF(Лист1!$J$19="да",1/1.05,1))</f>
        <v>1.0897728979773764</v>
      </c>
      <c r="AL141" s="24"/>
      <c r="AM141" s="186"/>
      <c r="AN141" s="174">
        <f>(($AK$2+Y141*Лист1!$B$7^2*Лист1!$G$8/100)/(AA141/10^6)+$AK$3/(AE141/10^6))/1000/($Q141*IF(Лист1!$J$19="да",1/1.05,1))</f>
        <v>1.0897728979773764</v>
      </c>
      <c r="AO141" s="24"/>
      <c r="AP141" s="186"/>
      <c r="AQ141" s="174">
        <f>MAX((5/384*($AQ$2+$Y141/100)*$D$17^4/(2.06*10^8*$Z141/10^8))/($D$17/300)*INDEX(Лист1!$L$34:$L$38,MATCH(Лист1!$B$8,Лист1!$I$34:$I$38,0),1),(5/384*($AQ$3)*$D$17^4/(2.06*10^8*$AD141/10^8))/($D$17/200))</f>
        <v>3.5275320197527278</v>
      </c>
      <c r="AR141" s="174"/>
      <c r="AS141" s="175"/>
      <c r="AT141" s="174">
        <f>MAX((5/384*($AT$2+$Y141/100)*$D$17^4/(2.06*10^8*$Z141/10^8))/($D$17/300)*INDEX(Лист1!$L$34:$L$38,MATCH(Лист1!$B$8,Лист1!$I$34:$I$38,0),1),(5/384*($AT$3)*$D$17^4/(2.06*10^8*$AD141/10^8))/($D$17/200))</f>
        <v>2.0997214403290045</v>
      </c>
      <c r="AU141" s="174"/>
      <c r="AV141" s="174">
        <f>IF(OR(MAX(AH141,AQ141)&gt;1,AK141&gt;Лист1!$B$20,N141="-"),999999999,Y141*Лист1!$B$7+0.0001*O141)</f>
        <v>999999999</v>
      </c>
      <c r="AW141" s="174"/>
      <c r="AX141" s="174">
        <f>IF(OR(MAX(AH141,AT141)&gt;1,AN141&gt;Лист1!$B$20,N141="-"),999999999,Y141*Лист1!$B$7+0.0001*O141)</f>
        <v>999999999</v>
      </c>
    </row>
    <row r="142" spans="14:50" ht="16.5" thickBot="1" x14ac:dyDescent="0.3">
      <c r="O142">
        <f t="shared" si="10"/>
        <v>139</v>
      </c>
      <c r="P142" s="179" t="s">
        <v>296</v>
      </c>
      <c r="Q142" s="179">
        <v>340</v>
      </c>
      <c r="R142" s="129" t="s">
        <v>156</v>
      </c>
      <c r="S142" s="184">
        <v>80</v>
      </c>
      <c r="T142" s="184">
        <v>80</v>
      </c>
      <c r="X142" s="132">
        <v>9.1999999999999993</v>
      </c>
      <c r="Y142" s="133">
        <v>7.2</v>
      </c>
      <c r="Z142" s="132">
        <v>89.5</v>
      </c>
      <c r="AA142" s="132">
        <v>22.4</v>
      </c>
      <c r="AC142" s="132">
        <v>3.12</v>
      </c>
      <c r="AD142" s="132">
        <v>89.5</v>
      </c>
      <c r="AE142" s="132">
        <v>22.4</v>
      </c>
      <c r="AF142" s="132">
        <v>3.12</v>
      </c>
      <c r="AG142" s="174"/>
      <c r="AH142" s="174">
        <f t="shared" si="11"/>
        <v>0.96153846153846145</v>
      </c>
      <c r="AI142" s="174"/>
      <c r="AJ142" s="186"/>
      <c r="AK142" s="174">
        <f>(($AK$2+Y142*Лист1!$B$7^2*Лист1!$G$8/100)/(AA142/10^6)+$AK$3/(AE142/10^6))/1000/($Q142*IF(Лист1!$J$19="да",1/1.05,1))</f>
        <v>0.91685610364235304</v>
      </c>
      <c r="AL142" s="24"/>
      <c r="AM142" s="186"/>
      <c r="AN142" s="174">
        <f>(($AK$2+Y142*Лист1!$B$7^2*Лист1!$G$8/100)/(AA142/10^6)+$AK$3/(AE142/10^6))/1000/($Q142*IF(Лист1!$J$19="да",1/1.05,1))</f>
        <v>0.91685610364235304</v>
      </c>
      <c r="AO142" s="24"/>
      <c r="AP142" s="186"/>
      <c r="AQ142" s="174">
        <f>MAX((5/384*($AQ$2+$Y142/100)*$D$17^4/(2.06*10^8*$Z142/10^8))/($D$17/300)*INDEX(Лист1!$L$34:$L$38,MATCH(Лист1!$B$8,Лист1!$I$34:$I$38,0),1),(5/384*($AQ$3)*$D$17^4/(2.06*10^8*$AD142/10^8))/($D$17/200))</f>
        <v>2.9402669125536698</v>
      </c>
      <c r="AR142" s="174"/>
      <c r="AS142" s="175"/>
      <c r="AT142" s="174">
        <f>MAX((5/384*($AT$2+$Y142/100)*$D$17^4/(2.06*10^8*$Z142/10^8))/($D$17/300)*INDEX(Лист1!$L$34:$L$38,MATCH(Лист1!$B$8,Лист1!$I$34:$I$38,0),1),(5/384*($AT$3)*$D$17^4/(2.06*10^8*$AD142/10^8))/($D$17/200))</f>
        <v>1.7501588765200418</v>
      </c>
      <c r="AU142" s="174"/>
      <c r="AV142" s="174">
        <f>IF(OR(MAX(AH142,AQ142)&gt;1,AK142&gt;Лист1!$B$20,N142="-"),999999999,Y142*Лист1!$B$7+0.0001*O142)</f>
        <v>999999999</v>
      </c>
      <c r="AW142" s="174"/>
      <c r="AX142" s="174">
        <f>IF(OR(MAX(AH142,AT142)&gt;1,AN142&gt;Лист1!$B$20,N142="-"),999999999,Y142*Лист1!$B$7+0.0001*O142)</f>
        <v>999999999</v>
      </c>
    </row>
    <row r="143" spans="14:50" ht="16.5" thickBot="1" x14ac:dyDescent="0.3">
      <c r="O143">
        <f t="shared" si="10"/>
        <v>140</v>
      </c>
      <c r="P143" s="179" t="s">
        <v>296</v>
      </c>
      <c r="Q143" s="179">
        <v>340</v>
      </c>
      <c r="R143" s="129" t="s">
        <v>157</v>
      </c>
      <c r="S143" s="184">
        <v>80</v>
      </c>
      <c r="T143" s="184">
        <v>80</v>
      </c>
      <c r="X143" s="136">
        <v>12.2</v>
      </c>
      <c r="Y143" s="137">
        <v>9.6</v>
      </c>
      <c r="Z143" s="136">
        <v>115.3</v>
      </c>
      <c r="AA143" s="136">
        <v>28.8</v>
      </c>
      <c r="AC143" s="136">
        <v>3.07</v>
      </c>
      <c r="AD143" s="136">
        <v>115.3</v>
      </c>
      <c r="AE143" s="136">
        <v>28.8</v>
      </c>
      <c r="AF143" s="136">
        <v>3.07</v>
      </c>
      <c r="AG143" s="174"/>
      <c r="AH143" s="174">
        <f t="shared" si="11"/>
        <v>0.97719869706840401</v>
      </c>
      <c r="AI143" s="174"/>
      <c r="AJ143" s="186"/>
      <c r="AK143" s="174">
        <f>(($AK$2+Y143*Лист1!$B$7^2*Лист1!$G$8/100)/(AA143/10^6)+$AK$3/(AE143/10^6))/1000/($Q143*IF(Лист1!$J$19="да",1/1.05,1))</f>
        <v>0.72413971459764703</v>
      </c>
      <c r="AL143" s="24"/>
      <c r="AM143" s="186"/>
      <c r="AN143" s="174">
        <f>(($AK$2+Y143*Лист1!$B$7^2*Лист1!$G$8/100)/(AA143/10^6)+$AK$3/(AE143/10^6))/1000/($Q143*IF(Лист1!$J$19="да",1/1.05,1))</f>
        <v>0.72413971459764703</v>
      </c>
      <c r="AO143" s="24"/>
      <c r="AP143" s="186"/>
      <c r="AQ143" s="174">
        <f>MAX((5/384*($AQ$2+$Y143/100)*$D$17^4/(2.06*10^8*$Z143/10^8))/($D$17/300)*INDEX(Лист1!$L$34:$L$38,MATCH(Лист1!$B$8,Лист1!$I$34:$I$38,0),1),(5/384*($AQ$3)*$D$17^4/(2.06*10^8*$AD143/10^8))/($D$17/200))</f>
        <v>2.2823407517220593</v>
      </c>
      <c r="AR143" s="174"/>
      <c r="AS143" s="175"/>
      <c r="AT143" s="174">
        <f>MAX((5/384*($AT$2+$Y143/100)*$D$17^4/(2.06*10^8*$Z143/10^8))/($D$17/300)*INDEX(Лист1!$L$34:$L$38,MATCH(Лист1!$B$8,Лист1!$I$34:$I$38,0),1),(5/384*($AT$3)*$D$17^4/(2.06*10^8*$AD143/10^8))/($D$17/200))</f>
        <v>1.3585361617393212</v>
      </c>
      <c r="AU143" s="174"/>
      <c r="AV143" s="174">
        <f>IF(OR(MAX(AH143,AQ143)&gt;1,AK143&gt;Лист1!$B$20,N143="-"),999999999,Y143*Лист1!$B$7+0.0001*O143)</f>
        <v>999999999</v>
      </c>
      <c r="AW143" s="174"/>
      <c r="AX143" s="174">
        <f>IF(OR(MAX(AH143,AT143)&gt;1,AN143&gt;Лист1!$B$20,N143="-"),999999999,Y143*Лист1!$B$7+0.0001*O143)</f>
        <v>999999999</v>
      </c>
    </row>
    <row r="144" spans="14:50" ht="16.5" thickBot="1" x14ac:dyDescent="0.3">
      <c r="O144">
        <f t="shared" si="10"/>
        <v>141</v>
      </c>
      <c r="P144" s="179" t="s">
        <v>296</v>
      </c>
      <c r="Q144" s="179">
        <v>340</v>
      </c>
      <c r="R144" s="129" t="s">
        <v>158</v>
      </c>
      <c r="S144" s="184">
        <v>80</v>
      </c>
      <c r="T144" s="184">
        <v>80</v>
      </c>
      <c r="X144" s="132">
        <v>15</v>
      </c>
      <c r="Y144" s="133">
        <v>11.8</v>
      </c>
      <c r="Z144" s="132">
        <v>138</v>
      </c>
      <c r="AA144" s="132">
        <v>34.5</v>
      </c>
      <c r="AC144" s="132">
        <v>3.03</v>
      </c>
      <c r="AD144" s="132">
        <v>138</v>
      </c>
      <c r="AE144" s="132">
        <v>34.5</v>
      </c>
      <c r="AF144" s="132">
        <v>3.03</v>
      </c>
      <c r="AG144" s="174"/>
      <c r="AH144" s="174">
        <f t="shared" si="11"/>
        <v>0.99009900990099009</v>
      </c>
      <c r="AI144" s="174"/>
      <c r="AJ144" s="186"/>
      <c r="AK144" s="174">
        <f>(($AK$2+Y144*Лист1!$B$7^2*Лист1!$G$8/100)/(AA144/10^6)+$AK$3/(AE144/10^6))/1000/($Q144*IF(Лист1!$J$19="да",1/1.05,1))</f>
        <v>0.61293913771015862</v>
      </c>
      <c r="AL144" s="24"/>
      <c r="AM144" s="186"/>
      <c r="AN144" s="174">
        <f>(($AK$2+Y144*Лист1!$B$7^2*Лист1!$G$8/100)/(AA144/10^6)+$AK$3/(AE144/10^6))/1000/($Q144*IF(Лист1!$J$19="да",1/1.05,1))</f>
        <v>0.61293913771015862</v>
      </c>
      <c r="AO144" s="24"/>
      <c r="AP144" s="186"/>
      <c r="AQ144" s="174">
        <f>MAX((5/384*($AQ$2+$Y144/100)*$D$17^4/(2.06*10^8*$Z144/10^8))/($D$17/300)*INDEX(Лист1!$L$34:$L$38,MATCH(Лист1!$B$8,Лист1!$I$34:$I$38,0),1),(5/384*($AQ$3)*$D$17^4/(2.06*10^8*$AD144/10^8))/($D$17/200))</f>
        <v>1.9069122367648803</v>
      </c>
      <c r="AR144" s="174"/>
      <c r="AS144" s="175"/>
      <c r="AT144" s="174">
        <f>MAX((5/384*($AT$2+$Y144/100)*$D$17^4/(2.06*10^8*$Z144/10^8))/($D$17/300)*INDEX(Лист1!$L$34:$L$38,MATCH(Лист1!$B$8,Лист1!$I$34:$I$38,0),1),(5/384*($AT$3)*$D$17^4/(2.06*10^8*$AD144/10^8))/($D$17/200))</f>
        <v>1.1350668075981432</v>
      </c>
      <c r="AU144" s="174"/>
      <c r="AV144" s="174">
        <f>IF(OR(MAX(AH144,AQ144)&gt;1,AK144&gt;Лист1!$B$20,N144="-"),999999999,Y144*Лист1!$B$7+0.0001*O144)</f>
        <v>999999999</v>
      </c>
      <c r="AW144" s="174"/>
      <c r="AX144" s="174">
        <f>IF(OR(MAX(AH144,AT144)&gt;1,AN144&gt;Лист1!$B$20,N144="-"),999999999,Y144*Лист1!$B$7+0.0001*O144)</f>
        <v>999999999</v>
      </c>
    </row>
    <row r="145" spans="15:50" ht="16.5" thickBot="1" x14ac:dyDescent="0.3">
      <c r="O145">
        <f t="shared" si="10"/>
        <v>142</v>
      </c>
      <c r="P145" s="179" t="s">
        <v>296</v>
      </c>
      <c r="Q145" s="179">
        <v>340</v>
      </c>
      <c r="R145" s="129" t="s">
        <v>159</v>
      </c>
      <c r="S145" s="184">
        <v>80</v>
      </c>
      <c r="T145" s="184">
        <v>80</v>
      </c>
      <c r="X145" s="134">
        <v>17.8</v>
      </c>
      <c r="Y145" s="135">
        <v>14</v>
      </c>
      <c r="Z145" s="134">
        <v>158.1</v>
      </c>
      <c r="AA145" s="134">
        <v>39.5</v>
      </c>
      <c r="AC145" s="134">
        <v>2.98</v>
      </c>
      <c r="AD145" s="134">
        <v>158.1</v>
      </c>
      <c r="AE145" s="134">
        <v>39.5</v>
      </c>
      <c r="AF145" s="134">
        <v>2.98</v>
      </c>
      <c r="AG145" s="174"/>
      <c r="AH145" s="174">
        <f t="shared" si="11"/>
        <v>1.0067114093959733</v>
      </c>
      <c r="AI145" s="174"/>
      <c r="AJ145" s="186"/>
      <c r="AK145" s="174">
        <f>(($AK$2+Y145*Лист1!$B$7^2*Лист1!$G$8/100)/(AA145/10^6)+$AK$3/(AE145/10^6))/1000/($Q145*IF(Лист1!$J$19="да",1/1.05,1))</f>
        <v>0.54272346130604321</v>
      </c>
      <c r="AL145" s="24"/>
      <c r="AM145" s="186"/>
      <c r="AN145" s="174">
        <f>(($AK$2+Y145*Лист1!$B$7^2*Лист1!$G$8/100)/(AA145/10^6)+$AK$3/(AE145/10^6))/1000/($Q145*IF(Лист1!$J$19="да",1/1.05,1))</f>
        <v>0.54272346130604321</v>
      </c>
      <c r="AO145" s="24"/>
      <c r="AP145" s="186"/>
      <c r="AQ145" s="174">
        <f>MAX((5/384*($AQ$2+$Y145/100)*$D$17^4/(2.06*10^8*$Z145/10^8))/($D$17/300)*INDEX(Лист1!$L$34:$L$38,MATCH(Лист1!$B$8,Лист1!$I$34:$I$38,0),1),(5/384*($AQ$3)*$D$17^4/(2.06*10^8*$AD145/10^8))/($D$17/200))</f>
        <v>1.6839455794845346</v>
      </c>
      <c r="AR145" s="174"/>
      <c r="AS145" s="175"/>
      <c r="AT145" s="174">
        <f>MAX((5/384*($AT$2+$Y145/100)*$D$17^4/(2.06*10^8*$Z145/10^8))/($D$17/300)*INDEX(Лист1!$L$34:$L$38,MATCH(Лист1!$B$8,Лист1!$I$34:$I$38,0),1),(5/384*($AT$3)*$D$17^4/(2.06*10^8*$AD145/10^8))/($D$17/200))</f>
        <v>0.99076040131906229</v>
      </c>
      <c r="AU145" s="174"/>
      <c r="AV145" s="174">
        <f>IF(OR(MAX(AH145,AQ145)&gt;1,AK145&gt;Лист1!$B$20,N145="-"),999999999,Y145*Лист1!$B$7+0.0001*O145)</f>
        <v>999999999</v>
      </c>
      <c r="AW145" s="174"/>
      <c r="AX145" s="174">
        <f>IF(OR(MAX(AH145,AT145)&gt;1,AN145&gt;Лист1!$B$20,N145="-"),999999999,Y145*Лист1!$B$7+0.0001*O145)</f>
        <v>999999999</v>
      </c>
    </row>
    <row r="146" spans="15:50" ht="16.5" thickBot="1" x14ac:dyDescent="0.3">
      <c r="O146">
        <f t="shared" si="10"/>
        <v>143</v>
      </c>
      <c r="P146" s="179" t="s">
        <v>296</v>
      </c>
      <c r="Q146" s="179">
        <v>340</v>
      </c>
      <c r="R146" s="129" t="s">
        <v>160</v>
      </c>
      <c r="S146" s="184">
        <v>100</v>
      </c>
      <c r="T146" s="184">
        <v>100</v>
      </c>
      <c r="X146" s="130">
        <v>11.6</v>
      </c>
      <c r="Y146" s="131">
        <v>9.1</v>
      </c>
      <c r="Z146" s="130">
        <v>180.2</v>
      </c>
      <c r="AA146" s="130">
        <v>36</v>
      </c>
      <c r="AC146" s="130">
        <v>3.94</v>
      </c>
      <c r="AD146" s="130">
        <v>180.2</v>
      </c>
      <c r="AE146" s="130">
        <v>36</v>
      </c>
      <c r="AF146" s="130">
        <v>3.94</v>
      </c>
      <c r="AG146" s="174"/>
      <c r="AH146" s="174">
        <f t="shared" si="11"/>
        <v>0.76142131979695438</v>
      </c>
      <c r="AI146" s="174"/>
      <c r="AJ146" s="186"/>
      <c r="AK146" s="174">
        <f>(($AK$2+Y146*Лист1!$B$7^2*Лист1!$G$8/100)/(AA146/10^6)+$AK$3/(AE146/10^6))/1000/($Q146*IF(Лист1!$J$19="да",1/1.05,1))</f>
        <v>0.57747353638400001</v>
      </c>
      <c r="AL146" s="24"/>
      <c r="AM146" s="186"/>
      <c r="AN146" s="174">
        <f>(($AK$2+Y146*Лист1!$B$7^2*Лист1!$G$8/100)/(AA146/10^6)+$AK$3/(AE146/10^6))/1000/($Q146*IF(Лист1!$J$19="да",1/1.05,1))</f>
        <v>0.57747353638400001</v>
      </c>
      <c r="AO146" s="24"/>
      <c r="AP146" s="186"/>
      <c r="AQ146" s="174">
        <f>MAX((5/384*($AQ$2+$Y146/100)*$D$17^4/(2.06*10^8*$Z146/10^8))/($D$17/300)*INDEX(Лист1!$L$34:$L$38,MATCH(Лист1!$B$8,Лист1!$I$34:$I$38,0),1),(5/384*($AQ$3)*$D$17^4/(2.06*10^8*$AD146/10^8))/($D$17/200))</f>
        <v>1.4603434443593422</v>
      </c>
      <c r="AR146" s="174"/>
      <c r="AS146" s="175"/>
      <c r="AT146" s="174">
        <f>MAX((5/384*($AT$2+$Y146/100)*$D$17^4/(2.06*10^8*$Z146/10^8))/($D$17/300)*INDEX(Лист1!$L$34:$L$38,MATCH(Лист1!$B$8,Лист1!$I$34:$I$38,0),1),(5/384*($AT$3)*$D$17^4/(2.06*10^8*$AD146/10^8))/($D$17/200))</f>
        <v>0.86925205021389429</v>
      </c>
      <c r="AU146" s="174"/>
      <c r="AV146" s="174">
        <f>IF(OR(MAX(AH146,AQ146)&gt;1,AK146&gt;Лист1!$B$20,N146="-"),999999999,Y146*Лист1!$B$7+0.0001*O146)</f>
        <v>999999999</v>
      </c>
      <c r="AW146" s="174"/>
      <c r="AX146" s="174">
        <f>IF(OR(MAX(AH146,AT146)&gt;1,AN146&gt;Лист1!$B$20,N146="-"),999999999,Y146*Лист1!$B$7+0.0001*O146)</f>
        <v>54.614299999999993</v>
      </c>
    </row>
    <row r="147" spans="15:50" ht="16.5" thickBot="1" x14ac:dyDescent="0.3">
      <c r="O147">
        <f t="shared" si="10"/>
        <v>144</v>
      </c>
      <c r="P147" s="179" t="s">
        <v>296</v>
      </c>
      <c r="Q147" s="179">
        <v>340</v>
      </c>
      <c r="R147" s="129" t="s">
        <v>161</v>
      </c>
      <c r="S147" s="184">
        <v>100</v>
      </c>
      <c r="T147" s="184">
        <v>100</v>
      </c>
      <c r="X147" s="136">
        <v>15.3</v>
      </c>
      <c r="Y147" s="137">
        <v>12</v>
      </c>
      <c r="Z147" s="136">
        <v>231.3</v>
      </c>
      <c r="AA147" s="136">
        <v>46.3</v>
      </c>
      <c r="AC147" s="136">
        <v>3.89</v>
      </c>
      <c r="AD147" s="136">
        <v>231.3</v>
      </c>
      <c r="AE147" s="136">
        <v>46.3</v>
      </c>
      <c r="AF147" s="136">
        <v>3.89</v>
      </c>
      <c r="AG147" s="174"/>
      <c r="AH147" s="174">
        <f t="shared" si="11"/>
        <v>0.77120822622107965</v>
      </c>
      <c r="AI147" s="174"/>
      <c r="AJ147" s="186"/>
      <c r="AK147" s="174">
        <f>(($AK$2+Y147*Лист1!$B$7^2*Лист1!$G$8/100)/(AA147/10^6)+$AK$3/(AE147/10^6))/1000/($Q147*IF(Лист1!$J$19="да",1/1.05,1))</f>
        <v>0.45729742633338594</v>
      </c>
      <c r="AL147" s="24"/>
      <c r="AM147" s="186"/>
      <c r="AN147" s="174">
        <f>(($AK$2+Y147*Лист1!$B$7^2*Лист1!$G$8/100)/(AA147/10^6)+$AK$3/(AE147/10^6))/1000/($Q147*IF(Лист1!$J$19="да",1/1.05,1))</f>
        <v>0.45729742633338594</v>
      </c>
      <c r="AO147" s="24"/>
      <c r="AP147" s="186"/>
      <c r="AQ147" s="174">
        <f>MAX((5/384*($AQ$2+$Y147/100)*$D$17^4/(2.06*10^8*$Z147/10^8))/($D$17/300)*INDEX(Лист1!$L$34:$L$38,MATCH(Лист1!$B$8,Лист1!$I$34:$I$38,0),1),(5/384*($AQ$3)*$D$17^4/(2.06*10^8*$AD147/10^8))/($D$17/200))</f>
        <v>1.1377167690166601</v>
      </c>
      <c r="AR147" s="174"/>
      <c r="AS147" s="175"/>
      <c r="AT147" s="174">
        <f>MAX((5/384*($AT$2+$Y147/100)*$D$17^4/(2.06*10^8*$Z147/10^8))/($D$17/300)*INDEX(Лист1!$L$34:$L$38,MATCH(Лист1!$B$8,Лист1!$I$34:$I$38,0),1),(5/384*($AT$3)*$D$17^4/(2.06*10^8*$AD147/10^8))/($D$17/200))</f>
        <v>0.67721236250991679</v>
      </c>
      <c r="AU147" s="174"/>
      <c r="AV147" s="174">
        <f>IF(OR(MAX(AH147,AQ147)&gt;1,AK147&gt;Лист1!$B$20,N147="-"),999999999,Y147*Лист1!$B$7+0.0001*O147)</f>
        <v>999999999</v>
      </c>
      <c r="AW147" s="174"/>
      <c r="AX147" s="174">
        <f>IF(OR(MAX(AH147,AT147)&gt;1,AN147&gt;Лист1!$B$20,N147="-"),999999999,Y147*Лист1!$B$7+0.0001*O147)</f>
        <v>72.014399999999995</v>
      </c>
    </row>
    <row r="148" spans="15:50" ht="16.5" thickBot="1" x14ac:dyDescent="0.3">
      <c r="O148">
        <f t="shared" si="10"/>
        <v>145</v>
      </c>
      <c r="P148" s="179" t="s">
        <v>296</v>
      </c>
      <c r="Q148" s="179">
        <v>340</v>
      </c>
      <c r="R148" s="129" t="s">
        <v>162</v>
      </c>
      <c r="S148" s="184">
        <v>100</v>
      </c>
      <c r="T148" s="184">
        <v>100</v>
      </c>
      <c r="X148" s="132">
        <v>18.899999999999999</v>
      </c>
      <c r="Y148" s="133">
        <v>14.8</v>
      </c>
      <c r="Z148" s="132">
        <v>278.7</v>
      </c>
      <c r="AA148" s="132">
        <v>55.7</v>
      </c>
      <c r="AC148" s="132">
        <v>3.84</v>
      </c>
      <c r="AD148" s="132">
        <v>278.7</v>
      </c>
      <c r="AE148" s="132">
        <v>55.7</v>
      </c>
      <c r="AF148" s="132">
        <v>3.84</v>
      </c>
      <c r="AG148" s="174"/>
      <c r="AH148" s="174">
        <f t="shared" si="11"/>
        <v>0.78125</v>
      </c>
      <c r="AI148" s="174"/>
      <c r="AJ148" s="186"/>
      <c r="AK148" s="174">
        <f>(($AK$2+Y148*Лист1!$B$7^2*Лист1!$G$8/100)/(AA148/10^6)+$AK$3/(AE148/10^6))/1000/($Q148*IF(Лист1!$J$19="да",1/1.05,1))</f>
        <v>0.38677664406696383</v>
      </c>
      <c r="AL148" s="24"/>
      <c r="AM148" s="186"/>
      <c r="AN148" s="174">
        <f>(($AK$2+Y148*Лист1!$B$7^2*Лист1!$G$8/100)/(AA148/10^6)+$AK$3/(AE148/10^6))/1000/($Q148*IF(Лист1!$J$19="да",1/1.05,1))</f>
        <v>0.38677664406696383</v>
      </c>
      <c r="AO148" s="24"/>
      <c r="AP148" s="186"/>
      <c r="AQ148" s="174">
        <f>MAX((5/384*($AQ$2+$Y148/100)*$D$17^4/(2.06*10^8*$Z148/10^8))/($D$17/300)*INDEX(Лист1!$L$34:$L$38,MATCH(Лист1!$B$8,Лист1!$I$34:$I$38,0),1),(5/384*($AQ$3)*$D$17^4/(2.06*10^8*$AD148/10^8))/($D$17/200))</f>
        <v>0.9670200758723756</v>
      </c>
      <c r="AR148" s="174"/>
      <c r="AS148" s="175"/>
      <c r="AT148" s="174">
        <f>MAX((5/384*($AT$2+$Y148/100)*$D$17^4/(2.06*10^8*$Z148/10^8))/($D$17/300)*INDEX(Лист1!$L$34:$L$38,MATCH(Лист1!$B$8,Лист1!$I$34:$I$38,0),1),(5/384*($AT$3)*$D$17^4/(2.06*10^8*$AD148/10^8))/($D$17/200))</f>
        <v>0.56203523304106118</v>
      </c>
      <c r="AU148" s="174"/>
      <c r="AV148" s="174">
        <f>IF(OR(MAX(AH148,AQ148)&gt;1,AK148&gt;Лист1!$B$20,N148="-"),999999999,Y148*Лист1!$B$7+0.0001*O148)</f>
        <v>88.81450000000001</v>
      </c>
      <c r="AW148" s="174"/>
      <c r="AX148" s="174">
        <f>IF(OR(MAX(AH148,AT148)&gt;1,AN148&gt;Лист1!$B$20,N148="-"),999999999,Y148*Лист1!$B$7+0.0001*O148)</f>
        <v>88.81450000000001</v>
      </c>
    </row>
    <row r="149" spans="15:50" ht="16.5" thickBot="1" x14ac:dyDescent="0.3">
      <c r="O149">
        <f t="shared" si="10"/>
        <v>146</v>
      </c>
      <c r="P149" s="179" t="s">
        <v>296</v>
      </c>
      <c r="Q149" s="179">
        <v>340</v>
      </c>
      <c r="R149" s="129" t="s">
        <v>163</v>
      </c>
      <c r="S149" s="184">
        <v>100</v>
      </c>
      <c r="T149" s="184">
        <v>100</v>
      </c>
      <c r="X149" s="132">
        <v>22.6</v>
      </c>
      <c r="Y149" s="133">
        <v>17.7</v>
      </c>
      <c r="Z149" s="132">
        <v>326.3</v>
      </c>
      <c r="AA149" s="132">
        <v>65.3</v>
      </c>
      <c r="AC149" s="132">
        <v>3.8</v>
      </c>
      <c r="AD149" s="132">
        <v>326.3</v>
      </c>
      <c r="AE149" s="132">
        <v>65.3</v>
      </c>
      <c r="AF149" s="132">
        <v>3.8</v>
      </c>
      <c r="AG149" s="174"/>
      <c r="AH149" s="174">
        <f t="shared" si="11"/>
        <v>0.78947368421052633</v>
      </c>
      <c r="AI149" s="174"/>
      <c r="AJ149" s="186"/>
      <c r="AK149" s="174">
        <f>(($AK$2+Y149*Лист1!$B$7^2*Лист1!$G$8/100)/(AA149/10^6)+$AK$3/(AE149/10^6))/1000/($Q149*IF(Лист1!$J$19="да",1/1.05,1))</f>
        <v>0.33579299546618141</v>
      </c>
      <c r="AL149" s="24"/>
      <c r="AM149" s="186"/>
      <c r="AN149" s="174">
        <f>(($AK$2+Y149*Лист1!$B$7^2*Лист1!$G$8/100)/(AA149/10^6)+$AK$3/(AE149/10^6))/1000/($Q149*IF(Лист1!$J$19="да",1/1.05,1))</f>
        <v>0.33579299546618141</v>
      </c>
      <c r="AO149" s="24"/>
      <c r="AP149" s="186"/>
      <c r="AQ149" s="174">
        <f>MAX((5/384*($AQ$2+$Y149/100)*$D$17^4/(2.06*10^8*$Z149/10^8))/($D$17/300)*INDEX(Лист1!$L$34:$L$38,MATCH(Лист1!$B$8,Лист1!$I$34:$I$38,0),1),(5/384*($AQ$3)*$D$17^4/(2.06*10^8*$AD149/10^8))/($D$17/200))</f>
        <v>0.86235528386826121</v>
      </c>
      <c r="AR149" s="174"/>
      <c r="AS149" s="175"/>
      <c r="AT149" s="174">
        <f>MAX((5/384*($AT$2+$Y149/100)*$D$17^4/(2.06*10^8*$Z149/10^8))/($D$17/300)*INDEX(Лист1!$L$34:$L$38,MATCH(Лист1!$B$8,Лист1!$I$34:$I$38,0),1),(5/384*($AT$3)*$D$17^4/(2.06*10^8*$AD149/10^8))/($D$17/200))</f>
        <v>0.48004664250243256</v>
      </c>
      <c r="AU149" s="174"/>
      <c r="AV149" s="174">
        <f>IF(OR(MAX(AH149,AQ149)&gt;1,AK149&gt;Лист1!$B$20,N149="-"),999999999,Y149*Лист1!$B$7+0.0001*O149)</f>
        <v>106.21459999999999</v>
      </c>
      <c r="AW149" s="174"/>
      <c r="AX149" s="174">
        <f>IF(OR(MAX(AH149,AT149)&gt;1,AN149&gt;Лист1!$B$20,N149="-"),999999999,Y149*Лист1!$B$7+0.0001*O149)</f>
        <v>106.21459999999999</v>
      </c>
    </row>
    <row r="150" spans="15:50" ht="16.5" thickBot="1" x14ac:dyDescent="0.3">
      <c r="O150">
        <f t="shared" si="10"/>
        <v>147</v>
      </c>
      <c r="P150" s="179" t="s">
        <v>296</v>
      </c>
      <c r="Q150" s="179">
        <v>340</v>
      </c>
      <c r="R150" s="129" t="s">
        <v>164</v>
      </c>
      <c r="S150" s="184">
        <v>100</v>
      </c>
      <c r="T150" s="184">
        <v>100</v>
      </c>
      <c r="X150" s="134">
        <v>26.2</v>
      </c>
      <c r="Y150" s="135">
        <v>20.5</v>
      </c>
      <c r="Z150" s="134">
        <v>373.9</v>
      </c>
      <c r="AA150" s="134">
        <v>74.8</v>
      </c>
      <c r="AC150" s="134">
        <v>3.75</v>
      </c>
      <c r="AD150" s="134">
        <v>373.9</v>
      </c>
      <c r="AE150" s="134">
        <v>74.8</v>
      </c>
      <c r="AF150" s="134">
        <v>3.75</v>
      </c>
      <c r="AG150" s="174"/>
      <c r="AH150" s="174">
        <f t="shared" si="11"/>
        <v>0.8</v>
      </c>
      <c r="AI150" s="174"/>
      <c r="AJ150" s="186"/>
      <c r="AK150" s="174">
        <f>(($AK$2+Y150*Лист1!$B$7^2*Лист1!$G$8/100)/(AA150/10^6)+$AK$3/(AE150/10^6))/1000/($Q150*IF(Лист1!$J$19="да",1/1.05,1))</f>
        <v>0.29809987752988992</v>
      </c>
      <c r="AL150" s="24"/>
      <c r="AM150" s="186"/>
      <c r="AN150" s="174">
        <f>(($AK$2+Y150*Лист1!$B$7^2*Лист1!$G$8/100)/(AA150/10^6)+$AK$3/(AE150/10^6))/1000/($Q150*IF(Лист1!$J$19="да",1/1.05,1))</f>
        <v>0.29809987752988992</v>
      </c>
      <c r="AO150" s="24"/>
      <c r="AP150" s="186"/>
      <c r="AQ150" s="174">
        <f>MAX((5/384*($AQ$2+$Y150/100)*$D$17^4/(2.06*10^8*$Z150/10^8))/($D$17/300)*INDEX(Лист1!$L$34:$L$38,MATCH(Лист1!$B$8,Лист1!$I$34:$I$38,0),1),(5/384*($AQ$3)*$D$17^4/(2.06*10^8*$AD150/10^8))/($D$17/200))</f>
        <v>0.78324411802127669</v>
      </c>
      <c r="AR150" s="174"/>
      <c r="AS150" s="175"/>
      <c r="AT150" s="174">
        <f>MAX((5/384*($AT$2+$Y150/100)*$D$17^4/(2.06*10^8*$Z150/10^8))/($D$17/300)*INDEX(Лист1!$L$34:$L$38,MATCH(Лист1!$B$8,Лист1!$I$34:$I$38,0),1),(5/384*($AT$3)*$D$17^4/(2.06*10^8*$AD150/10^8))/($D$17/200))</f>
        <v>0.41893345666901238</v>
      </c>
      <c r="AU150" s="174"/>
      <c r="AV150" s="174">
        <f>IF(OR(MAX(AH150,AQ150)&gt;1,AK150&gt;Лист1!$B$20,N150="-"),999999999,Y150*Лист1!$B$7+0.0001*O150)</f>
        <v>123.0147</v>
      </c>
      <c r="AW150" s="174"/>
      <c r="AX150" s="174">
        <f>IF(OR(MAX(AH150,AT150)&gt;1,AN150&gt;Лист1!$B$20,N150="-"),999999999,Y150*Лист1!$B$7+0.0001*O150)</f>
        <v>123.0147</v>
      </c>
    </row>
    <row r="151" spans="15:50" ht="16.5" thickBot="1" x14ac:dyDescent="0.3">
      <c r="O151">
        <f t="shared" si="10"/>
        <v>148</v>
      </c>
      <c r="P151" s="179" t="s">
        <v>296</v>
      </c>
      <c r="Q151" s="179">
        <v>340</v>
      </c>
      <c r="R151" s="129" t="s">
        <v>165</v>
      </c>
      <c r="S151" s="184">
        <v>120</v>
      </c>
      <c r="T151" s="184">
        <v>120</v>
      </c>
      <c r="X151" s="130">
        <v>14</v>
      </c>
      <c r="Y151" s="131">
        <v>11</v>
      </c>
      <c r="Z151" s="130">
        <v>315.10000000000002</v>
      </c>
      <c r="AA151" s="130">
        <v>52.5</v>
      </c>
      <c r="AC151" s="130">
        <v>4.76</v>
      </c>
      <c r="AD151" s="130">
        <v>315.10000000000002</v>
      </c>
      <c r="AE151" s="130">
        <v>52.5</v>
      </c>
      <c r="AF151" s="130">
        <v>4.76</v>
      </c>
      <c r="AG151" s="174"/>
      <c r="AH151" s="174">
        <f t="shared" si="11"/>
        <v>0.63025210084033612</v>
      </c>
      <c r="AI151" s="174"/>
      <c r="AJ151" s="186"/>
      <c r="AK151" s="174">
        <f>(($AK$2+Y151*Лист1!$B$7^2*Лист1!$G$8/100)/(AA151/10^6)+$AK$3/(AE151/10^6))/1000/($Q151*IF(Лист1!$J$19="да",1/1.05,1))</f>
        <v>0.40077176948684368</v>
      </c>
      <c r="AL151" s="24"/>
      <c r="AM151" s="186"/>
      <c r="AN151" s="174">
        <f>(($AK$2+Y151*Лист1!$B$7^2*Лист1!$G$8/100)/(AA151/10^6)+$AK$3/(AE151/10^6))/1000/($Q151*IF(Лист1!$J$19="да",1/1.05,1))</f>
        <v>0.40077176948684368</v>
      </c>
      <c r="AO151" s="24"/>
      <c r="AP151" s="186"/>
      <c r="AQ151" s="174">
        <f>MAX((5/384*($AQ$2+$Y151/100)*$D$17^4/(2.06*10^8*$Z151/10^8))/($D$17/300)*INDEX(Лист1!$L$34:$L$38,MATCH(Лист1!$B$8,Лист1!$I$34:$I$38,0),1),(5/384*($AQ$3)*$D$17^4/(2.06*10^8*$AD151/10^8))/($D$17/200))</f>
        <v>0.83514404529848763</v>
      </c>
      <c r="AR151" s="174"/>
      <c r="AS151" s="175"/>
      <c r="AT151" s="174">
        <f>MAX((5/384*($AT$2+$Y151/100)*$D$17^4/(2.06*10^8*$Z151/10^8))/($D$17/300)*INDEX(Лист1!$L$34:$L$38,MATCH(Лист1!$B$8,Лист1!$I$34:$I$38,0),1),(5/384*($AT$3)*$D$17^4/(2.06*10^8*$AD151/10^8))/($D$17/200))</f>
        <v>0.4971095507729093</v>
      </c>
      <c r="AU151" s="174"/>
      <c r="AV151" s="174">
        <f>IF(OR(MAX(AH151,AQ151)&gt;1,AK151&gt;Лист1!$B$20,N151="-"),999999999,Y151*Лист1!$B$7+0.0001*O151)</f>
        <v>66.014799999999994</v>
      </c>
      <c r="AW151" s="174"/>
      <c r="AX151" s="174">
        <f>IF(OR(MAX(AH151,AT151)&gt;1,AN151&gt;Лист1!$B$20,N151="-"),999999999,Y151*Лист1!$B$7+0.0001*O151)</f>
        <v>66.014799999999994</v>
      </c>
    </row>
    <row r="152" spans="15:50" ht="16.5" thickBot="1" x14ac:dyDescent="0.3">
      <c r="O152">
        <f t="shared" si="10"/>
        <v>149</v>
      </c>
      <c r="P152" s="179" t="s">
        <v>296</v>
      </c>
      <c r="Q152" s="179">
        <v>340</v>
      </c>
      <c r="R152" s="129" t="s">
        <v>166</v>
      </c>
      <c r="S152" s="184">
        <v>120</v>
      </c>
      <c r="T152" s="184">
        <v>120</v>
      </c>
      <c r="X152" s="136">
        <v>18.5</v>
      </c>
      <c r="Y152" s="137">
        <v>14.5</v>
      </c>
      <c r="Z152" s="136">
        <v>408.5</v>
      </c>
      <c r="AA152" s="136">
        <v>68.099999999999994</v>
      </c>
      <c r="AC152" s="136">
        <v>4.71</v>
      </c>
      <c r="AD152" s="136">
        <v>408.5</v>
      </c>
      <c r="AE152" s="136">
        <v>68.099999999999994</v>
      </c>
      <c r="AF152" s="136">
        <v>4.71</v>
      </c>
      <c r="AG152" s="174"/>
      <c r="AH152" s="174">
        <f t="shared" si="11"/>
        <v>0.63694267515923575</v>
      </c>
      <c r="AI152" s="174"/>
      <c r="AJ152" s="186"/>
      <c r="AK152" s="174">
        <f>(($AK$2+Y152*Лист1!$B$7^2*Лист1!$G$8/100)/(AA152/10^6)+$AK$3/(AE152/10^6))/1000/($Q152*IF(Лист1!$J$19="да",1/1.05,1))</f>
        <v>0.31576730091302418</v>
      </c>
      <c r="AL152" s="24"/>
      <c r="AM152" s="186"/>
      <c r="AN152" s="174">
        <f>(($AK$2+Y152*Лист1!$B$7^2*Лист1!$G$8/100)/(AA152/10^6)+$AK$3/(AE152/10^6))/1000/($Q152*IF(Лист1!$J$19="да",1/1.05,1))</f>
        <v>0.31576730091302418</v>
      </c>
      <c r="AO152" s="24"/>
      <c r="AP152" s="186"/>
      <c r="AQ152" s="174">
        <f>MAX((5/384*($AQ$2+$Y152/100)*$D$17^4/(2.06*10^8*$Z152/10^8))/($D$17/300)*INDEX(Лист1!$L$34:$L$38,MATCH(Лист1!$B$8,Лист1!$I$34:$I$38,0),1),(5/384*($AQ$3)*$D$17^4/(2.06*10^8*$AD152/10^8))/($D$17/200))</f>
        <v>0.65674353245950734</v>
      </c>
      <c r="AR152" s="174"/>
      <c r="AS152" s="175"/>
      <c r="AT152" s="174">
        <f>MAX((5/384*($AT$2+$Y152/100)*$D$17^4/(2.06*10^8*$Z152/10^8))/($D$17/300)*INDEX(Лист1!$L$34:$L$38,MATCH(Лист1!$B$8,Лист1!$I$34:$I$38,0),1),(5/384*($AT$3)*$D$17^4/(2.06*10^8*$AD152/10^8))/($D$17/200))</f>
        <v>0.38344974161210216</v>
      </c>
      <c r="AU152" s="174"/>
      <c r="AV152" s="174">
        <f>IF(OR(MAX(AH152,AQ152)&gt;1,AK152&gt;Лист1!$B$20,N152="-"),999999999,Y152*Лист1!$B$7+0.0001*O152)</f>
        <v>87.014899999999997</v>
      </c>
      <c r="AW152" s="174"/>
      <c r="AX152" s="174">
        <f>IF(OR(MAX(AH152,AT152)&gt;1,AN152&gt;Лист1!$B$20,N152="-"),999999999,Y152*Лист1!$B$7+0.0001*O152)</f>
        <v>87.014899999999997</v>
      </c>
    </row>
    <row r="153" spans="15:50" ht="16.5" thickBot="1" x14ac:dyDescent="0.3">
      <c r="O153">
        <f t="shared" si="10"/>
        <v>150</v>
      </c>
      <c r="P153" s="179" t="s">
        <v>296</v>
      </c>
      <c r="Q153" s="179">
        <v>340</v>
      </c>
      <c r="R153" s="129" t="s">
        <v>167</v>
      </c>
      <c r="S153" s="184">
        <v>120</v>
      </c>
      <c r="T153" s="184">
        <v>120</v>
      </c>
      <c r="X153" s="132">
        <v>22.9</v>
      </c>
      <c r="Y153" s="133">
        <v>18</v>
      </c>
      <c r="Z153" s="132">
        <v>497.9</v>
      </c>
      <c r="AA153" s="132">
        <v>83</v>
      </c>
      <c r="AC153" s="132">
        <v>4.66</v>
      </c>
      <c r="AD153" s="132">
        <v>497.9</v>
      </c>
      <c r="AE153" s="132">
        <v>83</v>
      </c>
      <c r="AF153" s="132">
        <v>4.66</v>
      </c>
      <c r="AG153" s="174"/>
      <c r="AH153" s="174">
        <f t="shared" si="11"/>
        <v>0.64377682403433467</v>
      </c>
      <c r="AI153" s="174"/>
      <c r="AJ153" s="186"/>
      <c r="AK153" s="174">
        <f>(($AK$2+Y153*Лист1!$B$7^2*Лист1!$G$8/100)/(AA153/10^6)+$AK$3/(AE153/10^6))/1000/($Q153*IF(Лист1!$J$19="да",1/1.05,1))</f>
        <v>0.26466251188306739</v>
      </c>
      <c r="AL153" s="24"/>
      <c r="AM153" s="186"/>
      <c r="AN153" s="174">
        <f>(($AK$2+Y153*Лист1!$B$7^2*Лист1!$G$8/100)/(AA153/10^6)+$AK$3/(AE153/10^6))/1000/($Q153*IF(Лист1!$J$19="да",1/1.05,1))</f>
        <v>0.26466251188306739</v>
      </c>
      <c r="AO153" s="24"/>
      <c r="AP153" s="186"/>
      <c r="AQ153" s="174">
        <f>MAX((5/384*($AQ$2+$Y153/100)*$D$17^4/(2.06*10^8*$Z153/10^8))/($D$17/300)*INDEX(Лист1!$L$34:$L$38,MATCH(Лист1!$B$8,Лист1!$I$34:$I$38,0),1),(5/384*($AQ$3)*$D$17^4/(2.06*10^8*$AD153/10^8))/($D$17/200))</f>
        <v>0.56761456369177721</v>
      </c>
      <c r="AR153" s="174"/>
      <c r="AS153" s="175"/>
      <c r="AT153" s="174">
        <f>MAX((5/384*($AT$2+$Y153/100)*$D$17^4/(2.06*10^8*$Z153/10^8))/($D$17/300)*INDEX(Лист1!$L$34:$L$38,MATCH(Лист1!$B$8,Лист1!$I$34:$I$38,0),1),(5/384*($AT$3)*$D$17^4/(2.06*10^8*$AD153/10^8))/($D$17/200))</f>
        <v>0.31459975788018429</v>
      </c>
      <c r="AU153" s="174"/>
      <c r="AV153" s="174">
        <f>IF(OR(MAX(AH153,AQ153)&gt;1,AK153&gt;Лист1!$B$20,N153="-"),999999999,Y153*Лист1!$B$7+0.0001*O153)</f>
        <v>108.015</v>
      </c>
      <c r="AW153" s="174"/>
      <c r="AX153" s="174">
        <f>IF(OR(MAX(AH153,AT153)&gt;1,AN153&gt;Лист1!$B$20,N153="-"),999999999,Y153*Лист1!$B$7+0.0001*O153)</f>
        <v>108.015</v>
      </c>
    </row>
    <row r="154" spans="15:50" ht="16.5" thickBot="1" x14ac:dyDescent="0.3">
      <c r="O154">
        <f t="shared" si="10"/>
        <v>151</v>
      </c>
      <c r="P154" s="179" t="s">
        <v>296</v>
      </c>
      <c r="Q154" s="179">
        <v>340</v>
      </c>
      <c r="R154" s="129" t="s">
        <v>168</v>
      </c>
      <c r="S154" s="184">
        <v>120</v>
      </c>
      <c r="T154" s="184">
        <v>120</v>
      </c>
      <c r="X154" s="134">
        <v>27.4</v>
      </c>
      <c r="Y154" s="135">
        <v>21.5</v>
      </c>
      <c r="Z154" s="134">
        <v>583.4</v>
      </c>
      <c r="AA154" s="134">
        <v>97.2</v>
      </c>
      <c r="AC154" s="134">
        <v>4.6100000000000003</v>
      </c>
      <c r="AD154" s="134">
        <v>583.4</v>
      </c>
      <c r="AE154" s="134">
        <v>97.2</v>
      </c>
      <c r="AF154" s="134">
        <v>4.6100000000000003</v>
      </c>
      <c r="AG154" s="174"/>
      <c r="AH154" s="174">
        <f t="shared" si="11"/>
        <v>0.65075921908893708</v>
      </c>
      <c r="AI154" s="174"/>
      <c r="AJ154" s="186"/>
      <c r="AK154" s="174">
        <f>(($AK$2+Y154*Лист1!$B$7^2*Лист1!$G$8/100)/(AA154/10^6)+$AK$3/(AE154/10^6))/1000/($Q154*IF(Лист1!$J$19="да",1/1.05,1))</f>
        <v>0.23076361914004359</v>
      </c>
      <c r="AL154" s="24"/>
      <c r="AM154" s="186"/>
      <c r="AN154" s="174">
        <f>(($AK$2+Y154*Лист1!$B$7^2*Лист1!$G$8/100)/(AA154/10^6)+$AK$3/(AE154/10^6))/1000/($Q154*IF(Лист1!$J$19="да",1/1.05,1))</f>
        <v>0.23076361914004359</v>
      </c>
      <c r="AO154" s="24"/>
      <c r="AP154" s="186"/>
      <c r="AQ154" s="174">
        <f>MAX((5/384*($AQ$2+$Y154/100)*$D$17^4/(2.06*10^8*$Z154/10^8))/($D$17/300)*INDEX(Лист1!$L$34:$L$38,MATCH(Лист1!$B$8,Лист1!$I$34:$I$38,0),1),(5/384*($AQ$3)*$D$17^4/(2.06*10^8*$AD154/10^8))/($D$17/200))</f>
        <v>0.50900042769037213</v>
      </c>
      <c r="AR154" s="174"/>
      <c r="AS154" s="175"/>
      <c r="AT154" s="174">
        <f>MAX((5/384*($AT$2+$Y154/100)*$D$17^4/(2.06*10^8*$Z154/10^8))/($D$17/300)*INDEX(Лист1!$L$34:$L$38,MATCH(Лист1!$B$8,Лист1!$I$34:$I$38,0),1),(5/384*($AT$3)*$D$17^4/(2.06*10^8*$AD154/10^8))/($D$17/200))</f>
        <v>0.26849369120422306</v>
      </c>
      <c r="AU154" s="174"/>
      <c r="AV154" s="174">
        <f>IF(OR(MAX(AH154,AQ154)&gt;1,AK154&gt;Лист1!$B$20,N154="-"),999999999,Y154*Лист1!$B$7+0.0001*O154)</f>
        <v>129.01509999999999</v>
      </c>
      <c r="AW154" s="174"/>
      <c r="AX154" s="174">
        <f>IF(OR(MAX(AH154,AT154)&gt;1,AN154&gt;Лист1!$B$20,N154="-"),999999999,Y154*Лист1!$B$7+0.0001*O154)</f>
        <v>129.01509999999999</v>
      </c>
    </row>
    <row r="155" spans="15:50" ht="16.5" thickBot="1" x14ac:dyDescent="0.3">
      <c r="O155">
        <f t="shared" si="10"/>
        <v>152</v>
      </c>
      <c r="P155" s="179" t="s">
        <v>296</v>
      </c>
      <c r="Q155" s="179">
        <v>340</v>
      </c>
      <c r="R155" s="129" t="s">
        <v>169</v>
      </c>
      <c r="S155" s="184">
        <v>140</v>
      </c>
      <c r="T155" s="184">
        <v>140</v>
      </c>
      <c r="X155" s="130">
        <v>21.6</v>
      </c>
      <c r="Y155" s="131">
        <v>17</v>
      </c>
      <c r="Z155" s="130">
        <v>657.9</v>
      </c>
      <c r="AA155" s="130">
        <v>94</v>
      </c>
      <c r="AC155" s="130">
        <v>5.52</v>
      </c>
      <c r="AD155" s="130">
        <v>657.9</v>
      </c>
      <c r="AE155" s="130">
        <v>94</v>
      </c>
      <c r="AF155" s="130">
        <v>5.52</v>
      </c>
      <c r="AG155" s="174"/>
      <c r="AH155" s="174">
        <f t="shared" si="11"/>
        <v>0.54347826086956519</v>
      </c>
      <c r="AI155" s="174"/>
      <c r="AJ155" s="186"/>
      <c r="AK155" s="174">
        <f>(($AK$2+Y155*Лист1!$B$7^2*Лист1!$G$8/100)/(AA155/10^6)+$AK$3/(AE155/10^6))/1000/($Q155*IF(Лист1!$J$19="да",1/1.05,1))</f>
        <v>0.2322833568629587</v>
      </c>
      <c r="AL155" s="24"/>
      <c r="AM155" s="186"/>
      <c r="AN155" s="174">
        <f>(($AK$2+Y155*Лист1!$B$7^2*Лист1!$G$8/100)/(AA155/10^6)+$AK$3/(AE155/10^6))/1000/($Q155*IF(Лист1!$J$19="да",1/1.05,1))</f>
        <v>0.2322833568629587</v>
      </c>
      <c r="AO155" s="24"/>
      <c r="AP155" s="186"/>
      <c r="AQ155" s="174">
        <f>MAX((5/384*($AQ$2+$Y155/100)*$D$17^4/(2.06*10^8*$Z155/10^8))/($D$17/300)*INDEX(Лист1!$L$34:$L$38,MATCH(Лист1!$B$8,Лист1!$I$34:$I$38,0),1),(5/384*($AQ$3)*$D$17^4/(2.06*10^8*$AD155/10^8))/($D$17/200))</f>
        <v>0.42334612779408454</v>
      </c>
      <c r="AR155" s="174"/>
      <c r="AS155" s="175"/>
      <c r="AT155" s="174">
        <f>MAX((5/384*($AT$2+$Y155/100)*$D$17^4/(2.06*10^8*$Z155/10^8))/($D$17/300)*INDEX(Лист1!$L$34:$L$38,MATCH(Лист1!$B$8,Лист1!$I$34:$I$38,0),1),(5/384*($AT$3)*$D$17^4/(2.06*10^8*$AD155/10^8))/($D$17/200))</f>
        <v>0.23808970884411573</v>
      </c>
      <c r="AU155" s="174"/>
      <c r="AV155" s="174">
        <f>IF(OR(MAX(AH155,AQ155)&gt;1,AK155&gt;Лист1!$B$20,N155="-"),999999999,Y155*Лист1!$B$7+0.0001*O155)</f>
        <v>102.01519999999999</v>
      </c>
      <c r="AW155" s="174"/>
      <c r="AX155" s="174">
        <f>IF(OR(MAX(AH155,AT155)&gt;1,AN155&gt;Лист1!$B$20,N155="-"),999999999,Y155*Лист1!$B$7+0.0001*O155)</f>
        <v>102.01519999999999</v>
      </c>
    </row>
    <row r="156" spans="15:50" ht="16.5" thickBot="1" x14ac:dyDescent="0.3">
      <c r="O156">
        <f t="shared" si="10"/>
        <v>153</v>
      </c>
      <c r="P156" s="179" t="s">
        <v>296</v>
      </c>
      <c r="Q156" s="179">
        <v>340</v>
      </c>
      <c r="R156" s="129" t="s">
        <v>170</v>
      </c>
      <c r="S156" s="184">
        <v>140</v>
      </c>
      <c r="T156" s="184">
        <v>140</v>
      </c>
      <c r="X156" s="132">
        <v>26.9</v>
      </c>
      <c r="Y156" s="133">
        <v>21.1</v>
      </c>
      <c r="Z156" s="132">
        <v>808.4</v>
      </c>
      <c r="AA156" s="132">
        <v>115.5</v>
      </c>
      <c r="AC156" s="132">
        <v>5.48</v>
      </c>
      <c r="AD156" s="132">
        <v>808.4</v>
      </c>
      <c r="AE156" s="132">
        <v>115.5</v>
      </c>
      <c r="AF156" s="132">
        <v>5.48</v>
      </c>
      <c r="AG156" s="174"/>
      <c r="AH156" s="174">
        <f t="shared" si="11"/>
        <v>0.54744525547445244</v>
      </c>
      <c r="AI156" s="174"/>
      <c r="AJ156" s="186"/>
      <c r="AK156" s="174">
        <f>(($AK$2+Y156*Лист1!$B$7^2*Лист1!$G$8/100)/(AA156/10^6)+$AK$3/(AE156/10^6))/1000/($Q156*IF(Лист1!$J$19="да",1/1.05,1))</f>
        <v>0.19374270652763331</v>
      </c>
      <c r="AL156" s="24"/>
      <c r="AM156" s="186"/>
      <c r="AN156" s="174">
        <f>(($AK$2+Y156*Лист1!$B$7^2*Лист1!$G$8/100)/(AA156/10^6)+$AK$3/(AE156/10^6))/1000/($Q156*IF(Лист1!$J$19="да",1/1.05,1))</f>
        <v>0.19374270652763331</v>
      </c>
      <c r="AO156" s="24"/>
      <c r="AP156" s="186"/>
      <c r="AQ156" s="174">
        <f>MAX((5/384*($AQ$2+$Y156/100)*$D$17^4/(2.06*10^8*$Z156/10^8))/($D$17/300)*INDEX(Лист1!$L$34:$L$38,MATCH(Лист1!$B$8,Лист1!$I$34:$I$38,0),1),(5/384*($AQ$3)*$D$17^4/(2.06*10^8*$AD156/10^8))/($D$17/200))</f>
        <v>0.36530492330529446</v>
      </c>
      <c r="AR156" s="174"/>
      <c r="AS156" s="175"/>
      <c r="AT156" s="174">
        <f>MAX((5/384*($AT$2+$Y156/100)*$D$17^4/(2.06*10^8*$Z156/10^8))/($D$17/300)*INDEX(Лист1!$L$34:$L$38,MATCH(Лист1!$B$8,Лист1!$I$34:$I$38,0),1),(5/384*($AT$3)*$D$17^4/(2.06*10^8*$AD156/10^8))/($D$17/200))</f>
        <v>0.19376449709122184</v>
      </c>
      <c r="AU156" s="174"/>
      <c r="AV156" s="174">
        <f>IF(OR(MAX(AH156,AQ156)&gt;1,AK156&gt;Лист1!$B$20,N156="-"),999999999,Y156*Лист1!$B$7+0.0001*O156)</f>
        <v>126.6153</v>
      </c>
      <c r="AW156" s="174"/>
      <c r="AX156" s="174">
        <f>IF(OR(MAX(AH156,AT156)&gt;1,AN156&gt;Лист1!$B$20,N156="-"),999999999,Y156*Лист1!$B$7+0.0001*O156)</f>
        <v>126.6153</v>
      </c>
    </row>
    <row r="157" spans="15:50" ht="16.5" thickBot="1" x14ac:dyDescent="0.3">
      <c r="O157">
        <f t="shared" si="10"/>
        <v>154</v>
      </c>
      <c r="P157" s="179" t="s">
        <v>296</v>
      </c>
      <c r="Q157" s="179">
        <v>340</v>
      </c>
      <c r="R157" s="129" t="s">
        <v>171</v>
      </c>
      <c r="S157" s="184">
        <v>140</v>
      </c>
      <c r="T157" s="184">
        <v>140</v>
      </c>
      <c r="X157" s="132">
        <v>32.1</v>
      </c>
      <c r="Y157" s="133">
        <v>25.2</v>
      </c>
      <c r="Z157" s="132">
        <v>947.1</v>
      </c>
      <c r="AA157" s="132">
        <v>135.30000000000001</v>
      </c>
      <c r="AC157" s="132">
        <v>5.43</v>
      </c>
      <c r="AD157" s="132">
        <v>947.1</v>
      </c>
      <c r="AE157" s="132">
        <v>135.30000000000001</v>
      </c>
      <c r="AF157" s="132">
        <v>5.43</v>
      </c>
      <c r="AG157" s="174"/>
      <c r="AH157" s="174">
        <f t="shared" si="11"/>
        <v>0.5524861878453039</v>
      </c>
      <c r="AI157" s="174"/>
      <c r="AJ157" s="186"/>
      <c r="AK157" s="174">
        <f>(($AK$2+Y157*Лист1!$B$7^2*Лист1!$G$8/100)/(AA157/10^6)+$AK$3/(AE157/10^6))/1000/($Q157*IF(Лист1!$J$19="да",1/1.05,1))</f>
        <v>0.16940081051563322</v>
      </c>
      <c r="AL157" s="24"/>
      <c r="AM157" s="186"/>
      <c r="AN157" s="174">
        <f>(($AK$2+Y157*Лист1!$B$7^2*Лист1!$G$8/100)/(AA157/10^6)+$AK$3/(AE157/10^6))/1000/($Q157*IF(Лист1!$J$19="да",1/1.05,1))</f>
        <v>0.16940081051563322</v>
      </c>
      <c r="AO157" s="24"/>
      <c r="AP157" s="186"/>
      <c r="AQ157" s="174">
        <f>MAX((5/384*($AQ$2+$Y157/100)*$D$17^4/(2.06*10^8*$Z157/10^8))/($D$17/300)*INDEX(Лист1!$L$34:$L$38,MATCH(Лист1!$B$8,Лист1!$I$34:$I$38,0),1),(5/384*($AQ$3)*$D$17^4/(2.06*10^8*$AD157/10^8))/($D$17/200))</f>
        <v>0.32953815069609527</v>
      </c>
      <c r="AR157" s="174"/>
      <c r="AS157" s="175"/>
      <c r="AT157" s="174">
        <f>MAX((5/384*($AT$2+$Y157/100)*$D$17^4/(2.06*10^8*$Z157/10^8))/($D$17/300)*INDEX(Лист1!$L$34:$L$38,MATCH(Лист1!$B$8,Лист1!$I$34:$I$38,0),1),(5/384*($AT$3)*$D$17^4/(2.06*10^8*$AD157/10^8))/($D$17/200))</f>
        <v>0.16538825831331827</v>
      </c>
      <c r="AU157" s="174"/>
      <c r="AV157" s="174">
        <f>IF(OR(MAX(AH157,AQ157)&gt;1,AK157&gt;Лист1!$B$20,N157="-"),999999999,Y157*Лист1!$B$7+0.0001*O157)</f>
        <v>151.21539999999999</v>
      </c>
      <c r="AW157" s="174"/>
      <c r="AX157" s="174">
        <f>IF(OR(MAX(AH157,AT157)&gt;1,AN157&gt;Лист1!$B$20,N157="-"),999999999,Y157*Лист1!$B$7+0.0001*O157)</f>
        <v>151.21539999999999</v>
      </c>
    </row>
    <row r="158" spans="15:50" ht="16.5" thickBot="1" x14ac:dyDescent="0.3">
      <c r="O158">
        <f t="shared" si="10"/>
        <v>155</v>
      </c>
      <c r="P158" s="179" t="s">
        <v>296</v>
      </c>
      <c r="Q158" s="179">
        <v>340</v>
      </c>
      <c r="R158" s="129" t="s">
        <v>172</v>
      </c>
      <c r="S158" s="184">
        <v>140</v>
      </c>
      <c r="T158" s="184">
        <v>140</v>
      </c>
      <c r="X158" s="132">
        <v>37.200000000000003</v>
      </c>
      <c r="Y158" s="133">
        <v>29.2</v>
      </c>
      <c r="Z158" s="132">
        <v>1077.0999999999999</v>
      </c>
      <c r="AA158" s="132">
        <v>153.9</v>
      </c>
      <c r="AC158" s="132">
        <v>5.38</v>
      </c>
      <c r="AD158" s="132">
        <v>1077.0999999999999</v>
      </c>
      <c r="AE158" s="132">
        <v>153.9</v>
      </c>
      <c r="AF158" s="132">
        <v>5.38</v>
      </c>
      <c r="AG158" s="174"/>
      <c r="AH158" s="174">
        <f t="shared" si="11"/>
        <v>0.55762081784386619</v>
      </c>
      <c r="AI158" s="174"/>
      <c r="AJ158" s="186"/>
      <c r="AK158" s="174">
        <f>(($AK$2+Y158*Лист1!$B$7^2*Лист1!$G$8/100)/(AA158/10^6)+$AK$3/(AE158/10^6))/1000/($Q158*IF(Лист1!$J$19="да",1/1.05,1))</f>
        <v>0.15236739069181973</v>
      </c>
      <c r="AL158" s="24"/>
      <c r="AM158" s="186"/>
      <c r="AN158" s="174">
        <f>(($AK$2+Y158*Лист1!$B$7^2*Лист1!$G$8/100)/(AA158/10^6)+$AK$3/(AE158/10^6))/1000/($Q158*IF(Лист1!$J$19="да",1/1.05,1))</f>
        <v>0.15236739069181973</v>
      </c>
      <c r="AO158" s="24"/>
      <c r="AP158" s="186"/>
      <c r="AQ158" s="174">
        <f>MAX((5/384*($AQ$2+$Y158/100)*$D$17^4/(2.06*10^8*$Z158/10^8))/($D$17/300)*INDEX(Лист1!$L$34:$L$38,MATCH(Лист1!$B$8,Лист1!$I$34:$I$38,0),1),(5/384*($AQ$3)*$D$17^4/(2.06*10^8*$AD158/10^8))/($D$17/200))</f>
        <v>0.30497546900928701</v>
      </c>
      <c r="AR158" s="174"/>
      <c r="AS158" s="175"/>
      <c r="AT158" s="174">
        <f>MAX((5/384*($AT$2+$Y158/100)*$D$17^4/(2.06*10^8*$Z158/10^8))/($D$17/300)*INDEX(Лист1!$L$34:$L$38,MATCH(Лист1!$B$8,Лист1!$I$34:$I$38,0),1),(5/384*($AT$3)*$D$17^4/(2.06*10^8*$AD158/10^8))/($D$17/200))</f>
        <v>0.14542681222592496</v>
      </c>
      <c r="AU158" s="174"/>
      <c r="AV158" s="174">
        <f>IF(OR(MAX(AH158,AQ158)&gt;1,AK158&gt;Лист1!$B$20,N158="-"),999999999,Y158*Лист1!$B$7+0.0001*O158)</f>
        <v>175.21549999999999</v>
      </c>
      <c r="AW158" s="174"/>
      <c r="AX158" s="174">
        <f>IF(OR(MAX(AH158,AT158)&gt;1,AN158&gt;Лист1!$B$20,N158="-"),999999999,Y158*Лист1!$B$7+0.0001*O158)</f>
        <v>175.21549999999999</v>
      </c>
    </row>
    <row r="159" spans="15:50" ht="16.5" thickBot="1" x14ac:dyDescent="0.3">
      <c r="O159">
        <f t="shared" si="10"/>
        <v>156</v>
      </c>
      <c r="P159" s="179" t="s">
        <v>296</v>
      </c>
      <c r="Q159" s="179">
        <v>340</v>
      </c>
      <c r="R159" s="129" t="s">
        <v>173</v>
      </c>
      <c r="S159" s="184">
        <v>140</v>
      </c>
      <c r="T159" s="184">
        <v>140</v>
      </c>
      <c r="X159" s="134">
        <v>42.3</v>
      </c>
      <c r="Y159" s="135">
        <v>33.200000000000003</v>
      </c>
      <c r="Z159" s="134">
        <v>1201.7</v>
      </c>
      <c r="AA159" s="134">
        <v>171.7</v>
      </c>
      <c r="AC159" s="134">
        <v>5.33</v>
      </c>
      <c r="AD159" s="134">
        <v>1201.7</v>
      </c>
      <c r="AE159" s="134">
        <v>171.7</v>
      </c>
      <c r="AF159" s="134">
        <v>5.33</v>
      </c>
      <c r="AG159" s="174"/>
      <c r="AH159" s="174">
        <f t="shared" si="11"/>
        <v>0.56285178236397748</v>
      </c>
      <c r="AI159" s="174"/>
      <c r="AJ159" s="186"/>
      <c r="AK159" s="174">
        <f>(($AK$2+Y159*Лист1!$B$7^2*Лист1!$G$8/100)/(AA159/10^6)+$AK$3/(AE159/10^6))/1000/($Q159*IF(Лист1!$J$19="да",1/1.05,1))</f>
        <v>0.13965493996608588</v>
      </c>
      <c r="AL159" s="24"/>
      <c r="AM159" s="186"/>
      <c r="AN159" s="174">
        <f>(($AK$2+Y159*Лист1!$B$7^2*Лист1!$G$8/100)/(AA159/10^6)+$AK$3/(AE159/10^6))/1000/($Q159*IF(Лист1!$J$19="да",1/1.05,1))</f>
        <v>0.13965493996608588</v>
      </c>
      <c r="AO159" s="24"/>
      <c r="AP159" s="186"/>
      <c r="AQ159" s="174">
        <f>MAX((5/384*($AQ$2+$Y159/100)*$D$17^4/(2.06*10^8*$Z159/10^8))/($D$17/300)*INDEX(Лист1!$L$34:$L$38,MATCH(Лист1!$B$8,Лист1!$I$34:$I$38,0),1),(5/384*($AQ$3)*$D$17^4/(2.06*10^8*$AD159/10^8))/($D$17/200))</f>
        <v>0.28698724541527337</v>
      </c>
      <c r="AR159" s="174"/>
      <c r="AS159" s="175"/>
      <c r="AT159" s="174">
        <f>MAX((5/384*($AT$2+$Y159/100)*$D$17^4/(2.06*10^8*$Z159/10^8))/($D$17/300)*INDEX(Лист1!$L$34:$L$38,MATCH(Лист1!$B$8,Лист1!$I$34:$I$38,0),1),(5/384*($AT$3)*$D$17^4/(2.06*10^8*$AD159/10^8))/($D$17/200))</f>
        <v>0.14383446266656222</v>
      </c>
      <c r="AU159" s="174"/>
      <c r="AV159" s="174">
        <f>IF(OR(MAX(AH159,AQ159)&gt;1,AK159&gt;Лист1!$B$20,N159="-"),999999999,Y159*Лист1!$B$7+0.0001*O159)</f>
        <v>199.21560000000002</v>
      </c>
      <c r="AW159" s="174"/>
      <c r="AX159" s="174">
        <f>IF(OR(MAX(AH159,AT159)&gt;1,AN159&gt;Лист1!$B$20,N159="-"),999999999,Y159*Лист1!$B$7+0.0001*O159)</f>
        <v>199.21560000000002</v>
      </c>
    </row>
    <row r="160" spans="15:50" ht="16.5" thickBot="1" x14ac:dyDescent="0.3">
      <c r="O160">
        <f t="shared" si="10"/>
        <v>157</v>
      </c>
      <c r="P160" s="179" t="s">
        <v>296</v>
      </c>
      <c r="Q160" s="179">
        <v>340</v>
      </c>
      <c r="R160" s="129" t="s">
        <v>174</v>
      </c>
      <c r="S160" s="184">
        <v>160</v>
      </c>
      <c r="T160" s="184">
        <v>160</v>
      </c>
      <c r="X160" s="130">
        <v>24.7</v>
      </c>
      <c r="Y160" s="131">
        <v>19.399999999999999</v>
      </c>
      <c r="Z160" s="130">
        <v>989.7</v>
      </c>
      <c r="AA160" s="130">
        <v>123.7</v>
      </c>
      <c r="AC160" s="130">
        <v>6.33</v>
      </c>
      <c r="AD160" s="130">
        <v>989.7</v>
      </c>
      <c r="AE160" s="130">
        <v>123.7</v>
      </c>
      <c r="AF160" s="130">
        <v>6.33</v>
      </c>
      <c r="AG160" s="174"/>
      <c r="AH160" s="174">
        <f t="shared" si="11"/>
        <v>0.47393364928909953</v>
      </c>
      <c r="AI160" s="174"/>
      <c r="AJ160" s="186"/>
      <c r="AK160" s="174">
        <f>(($AK$2+Y160*Лист1!$B$7^2*Лист1!$G$8/100)/(AA160/10^6)+$AK$3/(AE160/10^6))/1000/($Q160*IF(Лист1!$J$19="да",1/1.05,1))</f>
        <v>0.17908070011270533</v>
      </c>
      <c r="AL160" s="24"/>
      <c r="AM160" s="186"/>
      <c r="AN160" s="174">
        <f>(($AK$2+Y160*Лист1!$B$7^2*Лист1!$G$8/100)/(AA160/10^6)+$AK$3/(AE160/10^6))/1000/($Q160*IF(Лист1!$J$19="да",1/1.05,1))</f>
        <v>0.17908070011270533</v>
      </c>
      <c r="AO160" s="24"/>
      <c r="AP160" s="186"/>
      <c r="AQ160" s="174">
        <f>MAX((5/384*($AQ$2+$Y160/100)*$D$17^4/(2.06*10^8*$Z160/10^8))/($D$17/300)*INDEX(Лист1!$L$34:$L$38,MATCH(Лист1!$B$8,Лист1!$I$34:$I$38,0),1),(5/384*($AQ$3)*$D$17^4/(2.06*10^8*$AD160/10^8))/($D$17/200))</f>
        <v>0.29135042392958155</v>
      </c>
      <c r="AR160" s="174"/>
      <c r="AS160" s="175"/>
      <c r="AT160" s="174">
        <f>MAX((5/384*($AT$2+$Y160/100)*$D$17^4/(2.06*10^8*$Z160/10^8))/($D$17/300)*INDEX(Лист1!$L$34:$L$38,MATCH(Лист1!$B$8,Лист1!$I$34:$I$38,0),1),(5/384*($AT$3)*$D$17^4/(2.06*10^8*$AD160/10^8))/($D$17/200))</f>
        <v>0.15826939420889538</v>
      </c>
      <c r="AU160" s="174"/>
      <c r="AV160" s="174">
        <f>IF(OR(MAX(AH160,AQ160)&gt;1,AK160&gt;Лист1!$B$20,N160="-"),999999999,Y160*Лист1!$B$7+0.0001*O160)</f>
        <v>116.41569999999999</v>
      </c>
      <c r="AW160" s="174"/>
      <c r="AX160" s="174">
        <f>IF(OR(MAX(AH160,AT160)&gt;1,AN160&gt;Лист1!$B$20,N160="-"),999999999,Y160*Лист1!$B$7+0.0001*O160)</f>
        <v>116.41569999999999</v>
      </c>
    </row>
    <row r="161" spans="14:50" ht="16.5" thickBot="1" x14ac:dyDescent="0.3">
      <c r="O161">
        <f t="shared" si="10"/>
        <v>158</v>
      </c>
      <c r="P161" s="179" t="s">
        <v>296</v>
      </c>
      <c r="Q161" s="179">
        <v>340</v>
      </c>
      <c r="R161" s="129" t="s">
        <v>175</v>
      </c>
      <c r="S161" s="184">
        <v>160</v>
      </c>
      <c r="T161" s="184">
        <v>160</v>
      </c>
      <c r="X161" s="136">
        <v>30.7</v>
      </c>
      <c r="Y161" s="137">
        <v>24.1</v>
      </c>
      <c r="Z161" s="136">
        <v>1214.5999999999999</v>
      </c>
      <c r="AA161" s="136">
        <v>151.80000000000001</v>
      </c>
      <c r="AC161" s="136">
        <v>6.29</v>
      </c>
      <c r="AD161" s="136">
        <v>1214.5999999999999</v>
      </c>
      <c r="AE161" s="136">
        <v>151.80000000000001</v>
      </c>
      <c r="AF161" s="136">
        <v>6.29</v>
      </c>
      <c r="AG161" s="174"/>
      <c r="AH161" s="174">
        <f t="shared" si="11"/>
        <v>0.47694753577106519</v>
      </c>
      <c r="AI161" s="174"/>
      <c r="AJ161" s="186"/>
      <c r="AK161" s="174">
        <f>(($AK$2+Y161*Лист1!$B$7^2*Лист1!$G$8/100)/(AA161/10^6)+$AK$3/(AE161/10^6))/1000/($Q161*IF(Лист1!$J$19="да",1/1.05,1))</f>
        <v>0.15002859965395957</v>
      </c>
      <c r="AL161" s="24"/>
      <c r="AM161" s="186"/>
      <c r="AN161" s="174">
        <f>(($AK$2+Y161*Лист1!$B$7^2*Лист1!$G$8/100)/(AA161/10^6)+$AK$3/(AE161/10^6))/1000/($Q161*IF(Лист1!$J$19="да",1/1.05,1))</f>
        <v>0.15002859965395957</v>
      </c>
      <c r="AO161" s="24"/>
      <c r="AP161" s="186"/>
      <c r="AQ161" s="174">
        <f>MAX((5/384*($AQ$2+$Y161/100)*$D$17^4/(2.06*10^8*$Z161/10^8))/($D$17/300)*INDEX(Лист1!$L$34:$L$38,MATCH(Лист1!$B$8,Лист1!$I$34:$I$38,0),1),(5/384*($AQ$3)*$D$17^4/(2.06*10^8*$AD161/10^8))/($D$17/200))</f>
        <v>0.25325219937364019</v>
      </c>
      <c r="AR161" s="174"/>
      <c r="AS161" s="175"/>
      <c r="AT161" s="174">
        <f>MAX((5/384*($AT$2+$Y161/100)*$D$17^4/(2.06*10^8*$Z161/10^8))/($D$17/300)*INDEX(Лист1!$L$34:$L$38,MATCH(Лист1!$B$8,Лист1!$I$34:$I$38,0),1),(5/384*($AT$3)*$D$17^4/(2.06*10^8*$AD161/10^8))/($D$17/200))</f>
        <v>0.12896362543104212</v>
      </c>
      <c r="AU161" s="174"/>
      <c r="AV161" s="174">
        <f>IF(OR(MAX(AH161,AQ161)&gt;1,AK161&gt;Лист1!$B$20,N161="-"),999999999,Y161*Лист1!$B$7+0.0001*O161)</f>
        <v>144.61580000000004</v>
      </c>
      <c r="AW161" s="174"/>
      <c r="AX161" s="174">
        <f>IF(OR(MAX(AH161,AT161)&gt;1,AN161&gt;Лист1!$B$20,N161="-"),999999999,Y161*Лист1!$B$7+0.0001*O161)</f>
        <v>144.61580000000004</v>
      </c>
    </row>
    <row r="162" spans="14:50" ht="16.5" thickBot="1" x14ac:dyDescent="0.3">
      <c r="O162">
        <f t="shared" si="10"/>
        <v>159</v>
      </c>
      <c r="P162" s="179" t="s">
        <v>296</v>
      </c>
      <c r="Q162" s="179">
        <v>340</v>
      </c>
      <c r="R162" s="129" t="s">
        <v>176</v>
      </c>
      <c r="S162" s="184">
        <v>160</v>
      </c>
      <c r="T162" s="184">
        <v>160</v>
      </c>
      <c r="X162" s="132">
        <v>36.799999999999997</v>
      </c>
      <c r="Y162" s="133">
        <v>28.9</v>
      </c>
      <c r="Z162" s="132">
        <v>1435.1</v>
      </c>
      <c r="AA162" s="132">
        <v>179.4</v>
      </c>
      <c r="AC162" s="132">
        <v>6.24</v>
      </c>
      <c r="AD162" s="132">
        <v>1435.1</v>
      </c>
      <c r="AE162" s="132">
        <v>179.4</v>
      </c>
      <c r="AF162" s="132">
        <v>6.24</v>
      </c>
      <c r="AG162" s="174"/>
      <c r="AH162" s="174">
        <f t="shared" si="11"/>
        <v>0.48076923076923073</v>
      </c>
      <c r="AI162" s="174"/>
      <c r="AJ162" s="186"/>
      <c r="AK162" s="174">
        <f>(($AK$2+Y162*Лист1!$B$7^2*Лист1!$G$8/100)/(AA162/10^6)+$AK$3/(AE162/10^6))/1000/($Q162*IF(Лист1!$J$19="да",1/1.05,1))</f>
        <v>0.13048849244770414</v>
      </c>
      <c r="AL162" s="24"/>
      <c r="AM162" s="186"/>
      <c r="AN162" s="174">
        <f>(($AK$2+Y162*Лист1!$B$7^2*Лист1!$G$8/100)/(AA162/10^6)+$AK$3/(AE162/10^6))/1000/($Q162*IF(Лист1!$J$19="да",1/1.05,1))</f>
        <v>0.13048849244770414</v>
      </c>
      <c r="AO162" s="24"/>
      <c r="AP162" s="186"/>
      <c r="AQ162" s="174">
        <f>MAX((5/384*($AQ$2+$Y162/100)*$D$17^4/(2.06*10^8*$Z162/10^8))/($D$17/300)*INDEX(Лист1!$L$34:$L$38,MATCH(Лист1!$B$8,Лист1!$I$34:$I$38,0),1),(5/384*($AQ$3)*$D$17^4/(2.06*10^8*$AD162/10^8))/($D$17/200))</f>
        <v>0.22804007771861232</v>
      </c>
      <c r="AR162" s="174"/>
      <c r="AS162" s="175"/>
      <c r="AT162" s="174">
        <f>MAX((5/384*($AT$2+$Y162/100)*$D$17^4/(2.06*10^8*$Z162/10^8))/($D$17/300)*INDEX(Лист1!$L$34:$L$38,MATCH(Лист1!$B$8,Лист1!$I$34:$I$38,0),1),(5/384*($AT$3)*$D$17^4/(2.06*10^8*$AD162/10^8))/($D$17/200))</f>
        <v>0.10914864430948626</v>
      </c>
      <c r="AU162" s="174"/>
      <c r="AV162" s="174">
        <f>IF(OR(MAX(AH162,AQ162)&gt;1,AK162&gt;Лист1!$B$20,N162="-"),999999999,Y162*Лист1!$B$7+0.0001*O162)</f>
        <v>173.41589999999997</v>
      </c>
      <c r="AW162" s="174"/>
      <c r="AX162" s="174">
        <f>IF(OR(MAX(AH162,AT162)&gt;1,AN162&gt;Лист1!$B$20,N162="-"),999999999,Y162*Лист1!$B$7+0.0001*O162)</f>
        <v>173.41589999999997</v>
      </c>
    </row>
    <row r="163" spans="14:50" ht="16.5" thickBot="1" x14ac:dyDescent="0.3">
      <c r="N163" t="s">
        <v>344</v>
      </c>
      <c r="O163">
        <f t="shared" si="10"/>
        <v>160</v>
      </c>
      <c r="P163" s="179" t="s">
        <v>296</v>
      </c>
      <c r="Q163" s="179">
        <v>340</v>
      </c>
      <c r="R163" s="129" t="s">
        <v>177</v>
      </c>
      <c r="S163" s="184">
        <v>160</v>
      </c>
      <c r="T163" s="184">
        <v>160</v>
      </c>
      <c r="X163" s="132">
        <v>42.8</v>
      </c>
      <c r="Y163" s="133">
        <v>33.6</v>
      </c>
      <c r="Z163" s="132">
        <v>1640.8</v>
      </c>
      <c r="AA163" s="132">
        <v>205.1</v>
      </c>
      <c r="AC163" s="132">
        <v>6.2</v>
      </c>
      <c r="AD163" s="132">
        <v>1640.8</v>
      </c>
      <c r="AE163" s="132">
        <v>205.1</v>
      </c>
      <c r="AF163" s="132">
        <v>6.2</v>
      </c>
      <c r="AG163" s="174"/>
      <c r="AH163" s="174">
        <f t="shared" si="11"/>
        <v>0.48387096774193544</v>
      </c>
      <c r="AI163" s="174"/>
      <c r="AJ163" s="186"/>
      <c r="AK163" s="174">
        <f>(($AK$2+Y163*Лист1!$B$7^2*Лист1!$G$8/100)/(AA163/10^6)+$AK$3/(AE163/10^6))/1000/($Q163*IF(Лист1!$J$19="да",1/1.05,1))</f>
        <v>0.11717062100754524</v>
      </c>
      <c r="AL163" s="24"/>
      <c r="AM163" s="186"/>
      <c r="AN163" s="174">
        <f>(($AK$2+Y163*Лист1!$B$7^2*Лист1!$G$8/100)/(AA163/10^6)+$AK$3/(AE163/10^6))/1000/($Q163*IF(Лист1!$J$19="да",1/1.05,1))</f>
        <v>0.11717062100754524</v>
      </c>
      <c r="AO163" s="24"/>
      <c r="AP163" s="186"/>
      <c r="AQ163" s="174">
        <f>MAX((5/384*($AQ$2+$Y163/100)*$D$17^4/(2.06*10^8*$Z163/10^8))/($D$17/300)*INDEX(Лист1!$L$34:$L$38,MATCH(Лист1!$B$8,Лист1!$I$34:$I$38,0),1),(5/384*($AQ$3)*$D$17^4/(2.06*10^8*$AD163/10^8))/($D$17/200))</f>
        <v>0.21118413111293094</v>
      </c>
      <c r="AR163" s="174"/>
      <c r="AS163" s="175"/>
      <c r="AT163" s="174">
        <f>MAX((5/384*($AT$2+$Y163/100)*$D$17^4/(2.06*10^8*$Z163/10^8))/($D$17/300)*INDEX(Лист1!$L$34:$L$38,MATCH(Лист1!$B$8,Лист1!$I$34:$I$38,0),1),(5/384*($AT$3)*$D$17^4/(2.06*10^8*$AD163/10^8))/($D$17/200))</f>
        <v>0.10634094545402907</v>
      </c>
      <c r="AU163" s="174"/>
      <c r="AV163" s="174">
        <f>IF(OR(MAX(AH163,AQ163)&gt;1,AK163&gt;Лист1!$B$20,N163="-"),999999999,Y163*Лист1!$B$7+0.0001*O163)</f>
        <v>999999999</v>
      </c>
      <c r="AW163" s="174"/>
      <c r="AX163" s="174">
        <f>IF(OR(MAX(AH163,AT163)&gt;1,AN163&gt;Лист1!$B$20,N163="-"),999999999,Y163*Лист1!$B$7+0.0001*O163)</f>
        <v>999999999</v>
      </c>
    </row>
    <row r="164" spans="14:50" ht="16.5" thickBot="1" x14ac:dyDescent="0.3">
      <c r="O164">
        <f t="shared" si="10"/>
        <v>161</v>
      </c>
      <c r="P164" s="179" t="s">
        <v>296</v>
      </c>
      <c r="Q164" s="179">
        <v>340</v>
      </c>
      <c r="R164" s="129" t="s">
        <v>178</v>
      </c>
      <c r="S164" s="184">
        <v>160</v>
      </c>
      <c r="T164" s="184">
        <v>160</v>
      </c>
      <c r="X164" s="134">
        <v>48.7</v>
      </c>
      <c r="Y164" s="135">
        <v>38.200000000000003</v>
      </c>
      <c r="Z164" s="134">
        <v>1836.9</v>
      </c>
      <c r="AA164" s="134">
        <v>229.6</v>
      </c>
      <c r="AC164" s="134">
        <v>6.15</v>
      </c>
      <c r="AD164" s="134">
        <v>1836.9</v>
      </c>
      <c r="AE164" s="134">
        <v>229.6</v>
      </c>
      <c r="AF164" s="134">
        <v>6.15</v>
      </c>
      <c r="AG164" s="174"/>
      <c r="AH164" s="174">
        <f t="shared" si="11"/>
        <v>0.48780487804878048</v>
      </c>
      <c r="AI164" s="174"/>
      <c r="AJ164" s="186"/>
      <c r="AK164" s="174">
        <f>(($AK$2+Y164*Лист1!$B$7^2*Лист1!$G$8/100)/(AA164/10^6)+$AK$3/(AE164/10^6))/1000/($Q164*IF(Лист1!$J$19="да",1/1.05,1))</f>
        <v>0.10731932882430009</v>
      </c>
      <c r="AL164" s="24"/>
      <c r="AM164" s="186"/>
      <c r="AN164" s="174">
        <f>(($AK$2+Y164*Лист1!$B$7^2*Лист1!$G$8/100)/(AA164/10^6)+$AK$3/(AE164/10^6))/1000/($Q164*IF(Лист1!$J$19="да",1/1.05,1))</f>
        <v>0.10731932882430009</v>
      </c>
      <c r="AO164" s="24"/>
      <c r="AP164" s="186"/>
      <c r="AQ164" s="174">
        <f>MAX((5/384*($AQ$2+$Y164/100)*$D$17^4/(2.06*10^8*$Z164/10^8))/($D$17/300)*INDEX(Лист1!$L$34:$L$38,MATCH(Лист1!$B$8,Лист1!$I$34:$I$38,0),1),(5/384*($AQ$3)*$D$17^4/(2.06*10^8*$AD164/10^8))/($D$17/200))</f>
        <v>0.19889593431736777</v>
      </c>
      <c r="AR164" s="174"/>
      <c r="AS164" s="175"/>
      <c r="AT164" s="174">
        <f>MAX((5/384*($AT$2+$Y164/100)*$D$17^4/(2.06*10^8*$Z164/10^8))/($D$17/300)*INDEX(Лист1!$L$34:$L$38,MATCH(Лист1!$B$8,Лист1!$I$34:$I$38,0),1),(5/384*($AT$3)*$D$17^4/(2.06*10^8*$AD164/10^8))/($D$17/200))</f>
        <v>0.10524538228452641</v>
      </c>
      <c r="AU164" s="174"/>
      <c r="AV164" s="174">
        <f>IF(OR(MAX(AH164,AQ164)&gt;1,AK164&gt;Лист1!$B$20,N164="-"),999999999,Y164*Лист1!$B$7+0.0001*O164)</f>
        <v>229.21610000000001</v>
      </c>
      <c r="AW164" s="174"/>
      <c r="AX164" s="174">
        <f>IF(OR(MAX(AH164,AT164)&gt;1,AN164&gt;Лист1!$B$20,N164="-"),999999999,Y164*Лист1!$B$7+0.0001*O164)</f>
        <v>229.21610000000001</v>
      </c>
    </row>
    <row r="165" spans="14:50" ht="16.5" thickBot="1" x14ac:dyDescent="0.3">
      <c r="O165">
        <f t="shared" si="10"/>
        <v>162</v>
      </c>
      <c r="P165" s="179" t="s">
        <v>296</v>
      </c>
      <c r="Q165" s="179">
        <v>340</v>
      </c>
      <c r="R165" s="129" t="s">
        <v>179</v>
      </c>
      <c r="S165" s="184">
        <v>180</v>
      </c>
      <c r="T165" s="184">
        <v>180</v>
      </c>
      <c r="X165" s="130">
        <v>34.6</v>
      </c>
      <c r="Y165" s="131">
        <v>27.2</v>
      </c>
      <c r="Z165" s="130">
        <v>1749.1</v>
      </c>
      <c r="AA165" s="130">
        <v>194.3</v>
      </c>
      <c r="AC165" s="130">
        <v>7.11</v>
      </c>
      <c r="AD165" s="130">
        <v>1749.1</v>
      </c>
      <c r="AE165" s="130">
        <v>194.3</v>
      </c>
      <c r="AF165" s="130">
        <v>7.11</v>
      </c>
      <c r="AG165" s="174"/>
      <c r="AH165" s="174">
        <f t="shared" si="11"/>
        <v>0.4219409282700422</v>
      </c>
      <c r="AI165" s="174"/>
      <c r="AJ165" s="186"/>
      <c r="AK165" s="174">
        <f>(($AK$2+Y165*Лист1!$B$7^2*Лист1!$G$8/100)/(AA165/10^6)+$AK$3/(AE165/10^6))/1000/($Q165*IF(Лист1!$J$19="да",1/1.05,1))</f>
        <v>0.11932390913596563</v>
      </c>
      <c r="AL165" s="24"/>
      <c r="AM165" s="186"/>
      <c r="AN165" s="174">
        <f>(($AK$2+Y165*Лист1!$B$7^2*Лист1!$G$8/100)/(AA165/10^6)+$AK$3/(AE165/10^6))/1000/($Q165*IF(Лист1!$J$19="да",1/1.05,1))</f>
        <v>0.11932390913596563</v>
      </c>
      <c r="AO165" s="24"/>
      <c r="AP165" s="186"/>
      <c r="AQ165" s="174">
        <f>MAX((5/384*($AQ$2+$Y165/100)*$D$17^4/(2.06*10^8*$Z165/10^8))/($D$17/300)*INDEX(Лист1!$L$34:$L$38,MATCH(Лист1!$B$8,Лист1!$I$34:$I$38,0),1),(5/384*($AQ$3)*$D$17^4/(2.06*10^8*$AD165/10^8))/($D$17/200))</f>
        <v>0.18312122239842626</v>
      </c>
      <c r="AR165" s="174"/>
      <c r="AS165" s="175"/>
      <c r="AT165" s="174">
        <f>MAX((5/384*($AT$2+$Y165/100)*$D$17^4/(2.06*10^8*$Z165/10^8))/($D$17/300)*INDEX(Лист1!$L$34:$L$38,MATCH(Лист1!$B$8,Лист1!$I$34:$I$38,0),1),(5/384*($AT$3)*$D$17^4/(2.06*10^8*$AD165/10^8))/($D$17/200))</f>
        <v>8.9554181835540411E-2</v>
      </c>
      <c r="AU165" s="174"/>
      <c r="AV165" s="174">
        <f>IF(OR(MAX(AH165,AQ165)&gt;1,AK165&gt;Лист1!$B$20,N165="-"),999999999,Y165*Лист1!$B$7+0.0001*O165)</f>
        <v>163.21619999999999</v>
      </c>
      <c r="AW165" s="174"/>
      <c r="AX165" s="174">
        <f>IF(OR(MAX(AH165,AT165)&gt;1,AN165&gt;Лист1!$B$20,N165="-"),999999999,Y165*Лист1!$B$7+0.0001*O165)</f>
        <v>163.21619999999999</v>
      </c>
    </row>
    <row r="166" spans="14:50" ht="16.5" thickBot="1" x14ac:dyDescent="0.3">
      <c r="O166">
        <f t="shared" si="10"/>
        <v>163</v>
      </c>
      <c r="P166" s="179" t="s">
        <v>296</v>
      </c>
      <c r="Q166" s="179">
        <v>340</v>
      </c>
      <c r="R166" s="129" t="s">
        <v>180</v>
      </c>
      <c r="S166" s="184">
        <v>180</v>
      </c>
      <c r="T166" s="184">
        <v>180</v>
      </c>
      <c r="X166" s="132">
        <v>41.4</v>
      </c>
      <c r="Y166" s="133">
        <v>32.5</v>
      </c>
      <c r="Z166" s="132">
        <v>2063.5</v>
      </c>
      <c r="AA166" s="132">
        <v>229.3</v>
      </c>
      <c r="AC166" s="132">
        <v>7.06</v>
      </c>
      <c r="AD166" s="132">
        <v>2063.5</v>
      </c>
      <c r="AE166" s="132">
        <v>229.3</v>
      </c>
      <c r="AF166" s="132">
        <v>7.06</v>
      </c>
      <c r="AG166" s="174"/>
      <c r="AH166" s="174">
        <f t="shared" si="11"/>
        <v>0.42492917847025496</v>
      </c>
      <c r="AI166" s="174"/>
      <c r="AJ166" s="186"/>
      <c r="AK166" s="174">
        <f>(($AK$2+Y166*Лист1!$B$7^2*Лист1!$G$8/100)/(AA166/10^6)+$AK$3/(AE166/10^6))/1000/($Q166*IF(Лист1!$J$19="да",1/1.05,1))</f>
        <v>0.10416967349914268</v>
      </c>
      <c r="AL166" s="24"/>
      <c r="AM166" s="186"/>
      <c r="AN166" s="174">
        <f>(($AK$2+Y166*Лист1!$B$7^2*Лист1!$G$8/100)/(AA166/10^6)+$AK$3/(AE166/10^6))/1000/($Q166*IF(Лист1!$J$19="да",1/1.05,1))</f>
        <v>0.10416967349914268</v>
      </c>
      <c r="AO166" s="24"/>
      <c r="AP166" s="186"/>
      <c r="AQ166" s="174">
        <f>MAX((5/384*($AQ$2+$Y166/100)*$D$17^4/(2.06*10^8*$Z166/10^8))/($D$17/300)*INDEX(Лист1!$L$34:$L$38,MATCH(Лист1!$B$8,Лист1!$I$34:$I$38,0),1),(5/384*($AQ$3)*$D$17^4/(2.06*10^8*$AD166/10^8))/($D$17/200))</f>
        <v>0.16574047063971334</v>
      </c>
      <c r="AR166" s="174"/>
      <c r="AS166" s="175"/>
      <c r="AT166" s="174">
        <f>MAX((5/384*($AT$2+$Y166/100)*$D$17^4/(2.06*10^8*$Z166/10^8))/($D$17/300)*INDEX(Лист1!$L$34:$L$38,MATCH(Лист1!$B$8,Лист1!$I$34:$I$38,0),1),(5/384*($AT$3)*$D$17^4/(2.06*10^8*$AD166/10^8))/($D$17/200))</f>
        <v>8.2374006365845562E-2</v>
      </c>
      <c r="AU166" s="174"/>
      <c r="AV166" s="174">
        <f>IF(OR(MAX(AH166,AQ166)&gt;1,AK166&gt;Лист1!$B$20,N166="-"),999999999,Y166*Лист1!$B$7+0.0001*O166)</f>
        <v>195.0163</v>
      </c>
      <c r="AW166" s="174"/>
      <c r="AX166" s="174">
        <f>IF(OR(MAX(AH166,AT166)&gt;1,AN166&gt;Лист1!$B$20,N166="-"),999999999,Y166*Лист1!$B$7+0.0001*O166)</f>
        <v>195.0163</v>
      </c>
    </row>
    <row r="167" spans="14:50" ht="16.5" thickBot="1" x14ac:dyDescent="0.3">
      <c r="O167">
        <f t="shared" si="10"/>
        <v>164</v>
      </c>
      <c r="P167" s="179" t="s">
        <v>296</v>
      </c>
      <c r="Q167" s="179">
        <v>340</v>
      </c>
      <c r="R167" s="129" t="s">
        <v>181</v>
      </c>
      <c r="S167" s="184">
        <v>180</v>
      </c>
      <c r="T167" s="184">
        <v>180</v>
      </c>
      <c r="X167" s="132">
        <v>48.2</v>
      </c>
      <c r="Y167" s="133">
        <v>37.799999999999997</v>
      </c>
      <c r="Z167" s="132">
        <v>2372.1</v>
      </c>
      <c r="AA167" s="132">
        <v>263.60000000000002</v>
      </c>
      <c r="AC167" s="132">
        <v>7.01</v>
      </c>
      <c r="AD167" s="132">
        <v>2372.1</v>
      </c>
      <c r="AE167" s="132">
        <v>263.60000000000002</v>
      </c>
      <c r="AF167" s="132">
        <v>7.01</v>
      </c>
      <c r="AG167" s="174"/>
      <c r="AH167" s="174">
        <f t="shared" si="11"/>
        <v>0.42796005706134094</v>
      </c>
      <c r="AI167" s="174"/>
      <c r="AJ167" s="186"/>
      <c r="AK167" s="174">
        <f>(($AK$2+Y167*Лист1!$B$7^2*Лист1!$G$8/100)/(AA167/10^6)+$AK$3/(AE167/10^6))/1000/($Q167*IF(Лист1!$J$19="да",1/1.05,1))</f>
        <v>9.3276087714676423E-2</v>
      </c>
      <c r="AL167" s="24"/>
      <c r="AM167" s="186"/>
      <c r="AN167" s="174">
        <f>(($AK$2+Y167*Лист1!$B$7^2*Лист1!$G$8/100)/(AA167/10^6)+$AK$3/(AE167/10^6))/1000/($Q167*IF(Лист1!$J$19="да",1/1.05,1))</f>
        <v>9.3276087714676423E-2</v>
      </c>
      <c r="AO167" s="24"/>
      <c r="AP167" s="186"/>
      <c r="AQ167" s="174">
        <f>MAX((5/384*($AQ$2+$Y167/100)*$D$17^4/(2.06*10^8*$Z167/10^8))/($D$17/300)*INDEX(Лист1!$L$34:$L$38,MATCH(Лист1!$B$8,Лист1!$I$34:$I$38,0),1),(5/384*($AQ$3)*$D$17^4/(2.06*10^8*$AD167/10^8))/($D$17/200))</f>
        <v>0.15332978889296811</v>
      </c>
      <c r="AR167" s="174"/>
      <c r="AS167" s="175"/>
      <c r="AT167" s="174">
        <f>MAX((5/384*($AT$2+$Y167/100)*$D$17^4/(2.06*10^8*$Z167/10^8))/($D$17/300)*INDEX(Лист1!$L$34:$L$38,MATCH(Лист1!$B$8,Лист1!$I$34:$I$38,0),1),(5/384*($AT$3)*$D$17^4/(2.06*10^8*$AD167/10^8))/($D$17/200))</f>
        <v>8.0808942794942662E-2</v>
      </c>
      <c r="AU167" s="174"/>
      <c r="AV167" s="174">
        <f>IF(OR(MAX(AH167,AQ167)&gt;1,AK167&gt;Лист1!$B$20,N167="-"),999999999,Y167*Лист1!$B$7+0.0001*O167)</f>
        <v>226.81639999999999</v>
      </c>
      <c r="AW167" s="174"/>
      <c r="AX167" s="174">
        <f>IF(OR(MAX(AH167,AT167)&gt;1,AN167&gt;Лист1!$B$20,N167="-"),999999999,Y167*Лист1!$B$7+0.0001*O167)</f>
        <v>226.81639999999999</v>
      </c>
    </row>
    <row r="168" spans="14:50" ht="16.5" thickBot="1" x14ac:dyDescent="0.3">
      <c r="O168">
        <f t="shared" si="10"/>
        <v>165</v>
      </c>
      <c r="P168" s="179" t="s">
        <v>296</v>
      </c>
      <c r="Q168" s="179">
        <v>340</v>
      </c>
      <c r="R168" s="129" t="s">
        <v>182</v>
      </c>
      <c r="S168" s="184">
        <v>180</v>
      </c>
      <c r="T168" s="184">
        <v>180</v>
      </c>
      <c r="X168" s="132">
        <v>54.8</v>
      </c>
      <c r="Y168" s="133">
        <v>43</v>
      </c>
      <c r="Z168" s="132">
        <v>2663.3</v>
      </c>
      <c r="AA168" s="132">
        <v>295.89999999999998</v>
      </c>
      <c r="AC168" s="132">
        <v>6.97</v>
      </c>
      <c r="AD168" s="132">
        <v>2663.3</v>
      </c>
      <c r="AE168" s="132">
        <v>295.89999999999998</v>
      </c>
      <c r="AF168" s="132">
        <v>6.97</v>
      </c>
      <c r="AG168" s="174"/>
      <c r="AH168" s="174">
        <f t="shared" si="11"/>
        <v>0.43041606886657108</v>
      </c>
      <c r="AI168" s="174"/>
      <c r="AJ168" s="186"/>
      <c r="AK168" s="174">
        <f>(($AK$2+Y168*Лист1!$B$7^2*Лист1!$G$8/100)/(AA168/10^6)+$AK$3/(AE168/10^6))/1000/($Q168*IF(Лист1!$J$19="да",1/1.05,1))</f>
        <v>8.5420114956763618E-2</v>
      </c>
      <c r="AL168" s="24"/>
      <c r="AM168" s="186"/>
      <c r="AN168" s="174">
        <f>(($AK$2+Y168*Лист1!$B$7^2*Лист1!$G$8/100)/(AA168/10^6)+$AK$3/(AE168/10^6))/1000/($Q168*IF(Лист1!$J$19="да",1/1.05,1))</f>
        <v>8.5420114956763618E-2</v>
      </c>
      <c r="AO168" s="24"/>
      <c r="AP168" s="186"/>
      <c r="AQ168" s="174">
        <f>MAX((5/384*($AQ$2+$Y168/100)*$D$17^4/(2.06*10^8*$Z168/10^8))/($D$17/300)*INDEX(Лист1!$L$34:$L$38,MATCH(Лист1!$B$8,Лист1!$I$34:$I$38,0),1),(5/384*($AQ$3)*$D$17^4/(2.06*10^8*$AD168/10^8))/($D$17/200))</f>
        <v>0.14456206057234636</v>
      </c>
      <c r="AR168" s="174"/>
      <c r="AS168" s="175"/>
      <c r="AT168" s="174">
        <f>MAX((5/384*($AT$2+$Y168/100)*$D$17^4/(2.06*10^8*$Z168/10^8))/($D$17/300)*INDEX(Лист1!$L$34:$L$38,MATCH(Лист1!$B$8,Лист1!$I$34:$I$38,0),1),(5/384*($AT$3)*$D$17^4/(2.06*10^8*$AD168/10^8))/($D$17/200))</f>
        <v>7.9970501593212867E-2</v>
      </c>
      <c r="AU168" s="174"/>
      <c r="AV168" s="174">
        <f>IF(OR(MAX(AH168,AQ168)&gt;1,AK168&gt;Лист1!$B$20,N168="-"),999999999,Y168*Лист1!$B$7+0.0001*O168)</f>
        <v>258.01650000000001</v>
      </c>
      <c r="AW168" s="174"/>
      <c r="AX168" s="174">
        <f>IF(OR(MAX(AH168,AT168)&gt;1,AN168&gt;Лист1!$B$20,N168="-"),999999999,Y168*Лист1!$B$7+0.0001*O168)</f>
        <v>258.01650000000001</v>
      </c>
    </row>
    <row r="169" spans="14:50" ht="16.5" thickBot="1" x14ac:dyDescent="0.3">
      <c r="O169">
        <f t="shared" si="10"/>
        <v>166</v>
      </c>
      <c r="P169" s="179" t="s">
        <v>296</v>
      </c>
      <c r="Q169" s="179">
        <v>340</v>
      </c>
      <c r="R169" s="129" t="s">
        <v>183</v>
      </c>
      <c r="S169" s="184">
        <v>180</v>
      </c>
      <c r="T169" s="184">
        <v>180</v>
      </c>
      <c r="X169" s="132">
        <v>61.5</v>
      </c>
      <c r="Y169" s="133">
        <v>48.3</v>
      </c>
      <c r="Z169" s="132">
        <v>2976.5</v>
      </c>
      <c r="AA169" s="132">
        <v>326.2</v>
      </c>
      <c r="AC169" s="132">
        <v>6.91</v>
      </c>
      <c r="AD169" s="132">
        <v>2976.5</v>
      </c>
      <c r="AE169" s="132">
        <v>326.2</v>
      </c>
      <c r="AF169" s="132">
        <v>6.91</v>
      </c>
      <c r="AG169" s="174"/>
      <c r="AH169" s="174">
        <f t="shared" si="11"/>
        <v>0.43415340086830684</v>
      </c>
      <c r="AI169" s="174"/>
      <c r="AJ169" s="186"/>
      <c r="AK169" s="174">
        <f>(($AK$2+Y169*Лист1!$B$7^2*Лист1!$G$8/100)/(AA169/10^6)+$AK$3/(AE169/10^6))/1000/($Q169*IF(Лист1!$J$19="да",1/1.05,1))</f>
        <v>7.9636059484799654E-2</v>
      </c>
      <c r="AL169" s="24"/>
      <c r="AM169" s="186"/>
      <c r="AN169" s="174">
        <f>(($AK$2+Y169*Лист1!$B$7^2*Лист1!$G$8/100)/(AA169/10^6)+$AK$3/(AE169/10^6))/1000/($Q169*IF(Лист1!$J$19="да",1/1.05,1))</f>
        <v>7.9636059484799654E-2</v>
      </c>
      <c r="AO169" s="24"/>
      <c r="AP169" s="186"/>
      <c r="AQ169" s="174">
        <f>MAX((5/384*($AQ$2+$Y169/100)*$D$17^4/(2.06*10^8*$Z169/10^8))/($D$17/300)*INDEX(Лист1!$L$34:$L$38,MATCH(Лист1!$B$8,Лист1!$I$34:$I$38,0),1),(5/384*($AQ$3)*$D$17^4/(2.06*10^8*$AD169/10^8))/($D$17/200))</f>
        <v>0.1366437987536675</v>
      </c>
      <c r="AR169" s="174"/>
      <c r="AS169" s="175"/>
      <c r="AT169" s="174">
        <f>MAX((5/384*($AT$2+$Y169/100)*$D$17^4/(2.06*10^8*$Z169/10^8))/($D$17/300)*INDEX(Лист1!$L$34:$L$38,MATCH(Лист1!$B$8,Лист1!$I$34:$I$38,0),1),(5/384*($AT$3)*$D$17^4/(2.06*10^8*$AD169/10^8))/($D$17/200))</f>
        <v>7.8848838555741638E-2</v>
      </c>
      <c r="AU169" s="174"/>
      <c r="AV169" s="174">
        <f>IF(OR(MAX(AH169,AQ169)&gt;1,AK169&gt;Лист1!$B$20,N169="-"),999999999,Y169*Лист1!$B$7+0.0001*O169)</f>
        <v>289.81659999999994</v>
      </c>
      <c r="AW169" s="174"/>
      <c r="AX169" s="174">
        <f>IF(OR(MAX(AH169,AT169)&gt;1,AN169&gt;Лист1!$B$20,N169="-"),999999999,Y169*Лист1!$B$7+0.0001*O169)</f>
        <v>289.81659999999994</v>
      </c>
    </row>
    <row r="170" spans="14:50" ht="16.5" thickBot="1" x14ac:dyDescent="0.3">
      <c r="O170">
        <f t="shared" si="10"/>
        <v>167</v>
      </c>
      <c r="P170" s="179" t="s">
        <v>296</v>
      </c>
      <c r="Q170" s="179">
        <v>340</v>
      </c>
      <c r="R170" s="129" t="s">
        <v>184</v>
      </c>
      <c r="S170" s="184">
        <v>180</v>
      </c>
      <c r="T170" s="184">
        <v>180</v>
      </c>
      <c r="X170" s="134">
        <v>68.2</v>
      </c>
      <c r="Y170" s="135">
        <v>53.5</v>
      </c>
      <c r="Z170" s="134">
        <v>3300.7</v>
      </c>
      <c r="AA170" s="134">
        <v>353.5</v>
      </c>
      <c r="AC170" s="134">
        <v>6.86</v>
      </c>
      <c r="AD170" s="134">
        <v>3300.7</v>
      </c>
      <c r="AE170" s="134">
        <v>353.5</v>
      </c>
      <c r="AF170" s="134">
        <v>6.86</v>
      </c>
      <c r="AG170" s="174"/>
      <c r="AH170" s="174">
        <f t="shared" si="11"/>
        <v>0.43731778425655976</v>
      </c>
      <c r="AI170" s="174"/>
      <c r="AJ170" s="186"/>
      <c r="AK170" s="174">
        <f>(($AK$2+Y170*Лист1!$B$7^2*Лист1!$G$8/100)/(AA170/10^6)+$AK$3/(AE170/10^6))/1000/($Q170*IF(Лист1!$J$19="да",1/1.05,1))</f>
        <v>7.543286534104468E-2</v>
      </c>
      <c r="AL170" s="24"/>
      <c r="AM170" s="186"/>
      <c r="AN170" s="174">
        <f>(($AK$2+Y170*Лист1!$B$7^2*Лист1!$G$8/100)/(AA170/10^6)+$AK$3/(AE170/10^6))/1000/($Q170*IF(Лист1!$J$19="да",1/1.05,1))</f>
        <v>7.543286534104468E-2</v>
      </c>
      <c r="AO170" s="24"/>
      <c r="AP170" s="186"/>
      <c r="AQ170" s="174">
        <f>MAX((5/384*($AQ$2+$Y170/100)*$D$17^4/(2.06*10^8*$Z170/10^8))/($D$17/300)*INDEX(Лист1!$L$34:$L$38,MATCH(Лист1!$B$8,Лист1!$I$34:$I$38,0),1),(5/384*($AQ$3)*$D$17^4/(2.06*10^8*$AD170/10^8))/($D$17/200))</f>
        <v>0.1296751630501444</v>
      </c>
      <c r="AR170" s="174"/>
      <c r="AS170" s="175"/>
      <c r="AT170" s="174">
        <f>MAX((5/384*($AT$2+$Y170/100)*$D$17^4/(2.06*10^8*$Z170/10^8))/($D$17/300)*INDEX(Лист1!$L$34:$L$38,MATCH(Лист1!$B$8,Лист1!$I$34:$I$38,0),1),(5/384*($AT$3)*$D$17^4/(2.06*10^8*$AD170/10^8))/($D$17/200))</f>
        <v>7.7556915699847129E-2</v>
      </c>
      <c r="AU170" s="174"/>
      <c r="AV170" s="174">
        <f>IF(OR(MAX(AH170,AQ170)&gt;1,AK170&gt;Лист1!$B$20,N170="-"),999999999,Y170*Лист1!$B$7+0.0001*O170)</f>
        <v>321.01670000000001</v>
      </c>
      <c r="AW170" s="174"/>
      <c r="AX170" s="174">
        <f>IF(OR(MAX(AH170,AT170)&gt;1,AN170&gt;Лист1!$B$20,N170="-"),999999999,Y170*Лист1!$B$7+0.0001*O170)</f>
        <v>321.01670000000001</v>
      </c>
    </row>
    <row r="171" spans="14:50" ht="16.5" thickBot="1" x14ac:dyDescent="0.3">
      <c r="N171" t="s">
        <v>344</v>
      </c>
      <c r="O171">
        <f t="shared" si="10"/>
        <v>168</v>
      </c>
      <c r="P171" s="179" t="s">
        <v>296</v>
      </c>
      <c r="Q171" s="179">
        <v>340</v>
      </c>
      <c r="R171" s="129" t="s">
        <v>185</v>
      </c>
      <c r="S171" s="184">
        <v>200</v>
      </c>
      <c r="T171" s="184">
        <v>200</v>
      </c>
      <c r="X171" s="130">
        <v>38.4</v>
      </c>
      <c r="Y171" s="131">
        <v>30.1</v>
      </c>
      <c r="Z171" s="130">
        <v>2410</v>
      </c>
      <c r="AA171" s="130">
        <v>241</v>
      </c>
      <c r="AC171" s="130">
        <v>7.93</v>
      </c>
      <c r="AD171" s="130">
        <v>2410</v>
      </c>
      <c r="AE171" s="130">
        <v>241</v>
      </c>
      <c r="AF171" s="130">
        <v>7.93</v>
      </c>
      <c r="AG171" s="174"/>
      <c r="AH171" s="174">
        <f t="shared" si="11"/>
        <v>0.37831021437578821</v>
      </c>
      <c r="AI171" s="174"/>
      <c r="AJ171" s="186"/>
      <c r="AK171" s="174">
        <f>(($AK$2+Y171*Лист1!$B$7^2*Лист1!$G$8/100)/(AA171/10^6)+$AK$3/(AE171/10^6))/1000/($Q171*IF(Лист1!$J$19="да",1/1.05,1))</f>
        <v>9.7794435993899934E-2</v>
      </c>
      <c r="AL171" s="24"/>
      <c r="AM171" s="186"/>
      <c r="AN171" s="174">
        <f>(($AK$2+Y171*Лист1!$B$7^2*Лист1!$G$8/100)/(AA171/10^6)+$AK$3/(AE171/10^6))/1000/($Q171*IF(Лист1!$J$19="да",1/1.05,1))</f>
        <v>9.7794435993899934E-2</v>
      </c>
      <c r="AO171" s="24"/>
      <c r="AP171" s="186"/>
      <c r="AQ171" s="174">
        <f>MAX((5/384*($AQ$2+$Y171/100)*$D$17^4/(2.06*10^8*$Z171/10^8))/($D$17/300)*INDEX(Лист1!$L$34:$L$38,MATCH(Лист1!$B$8,Лист1!$I$34:$I$38,0),1),(5/384*($AQ$3)*$D$17^4/(2.06*10^8*$AD171/10^8))/($D$17/200))</f>
        <v>0.13783210127704143</v>
      </c>
      <c r="AR171" s="174"/>
      <c r="AS171" s="175"/>
      <c r="AT171" s="174">
        <f>MAX((5/384*($AT$2+$Y171/100)*$D$17^4/(2.06*10^8*$Z171/10^8))/($D$17/300)*INDEX(Лист1!$L$34:$L$38,MATCH(Лист1!$B$8,Лист1!$I$34:$I$38,0),1),(5/384*($AT$3)*$D$17^4/(2.06*10^8*$AD171/10^8))/($D$17/200))</f>
        <v>6.6451728235910237E-2</v>
      </c>
      <c r="AU171" s="174"/>
      <c r="AV171" s="174">
        <f>IF(OR(MAX(AH171,AQ171)&gt;1,AK171&gt;Лист1!$B$20,N171="-"),999999999,Y171*Лист1!$B$7+0.0001*O171)</f>
        <v>999999999</v>
      </c>
      <c r="AW171" s="174"/>
      <c r="AX171" s="174">
        <f>IF(OR(MAX(AH171,AT171)&gt;1,AN171&gt;Лист1!$B$20,N171="-"),999999999,Y171*Лист1!$B$7+0.0001*O171)</f>
        <v>999999999</v>
      </c>
    </row>
    <row r="172" spans="14:50" ht="16.5" thickBot="1" x14ac:dyDescent="0.3">
      <c r="O172">
        <f t="shared" si="10"/>
        <v>169</v>
      </c>
      <c r="P172" s="179" t="s">
        <v>296</v>
      </c>
      <c r="Q172" s="179">
        <v>340</v>
      </c>
      <c r="R172" s="129" t="s">
        <v>186</v>
      </c>
      <c r="S172" s="184">
        <v>200</v>
      </c>
      <c r="T172" s="184">
        <v>200</v>
      </c>
      <c r="X172" s="132">
        <v>45.6</v>
      </c>
      <c r="Y172" s="133">
        <v>35.799999999999997</v>
      </c>
      <c r="Z172" s="132">
        <v>2832</v>
      </c>
      <c r="AA172" s="132">
        <v>283</v>
      </c>
      <c r="AC172" s="132">
        <v>7.88</v>
      </c>
      <c r="AD172" s="132">
        <v>2832</v>
      </c>
      <c r="AE172" s="132">
        <v>283</v>
      </c>
      <c r="AF172" s="132">
        <v>7.88</v>
      </c>
      <c r="AG172" s="174"/>
      <c r="AH172" s="174">
        <f t="shared" si="11"/>
        <v>0.38071065989847719</v>
      </c>
      <c r="AI172" s="174"/>
      <c r="AJ172" s="186"/>
      <c r="AK172" s="174">
        <f>(($AK$2+Y172*Лист1!$B$7^2*Лист1!$G$8/100)/(AA172/10^6)+$AK$3/(AE172/10^6))/1000/($Q172*IF(Лист1!$J$19="да",1/1.05,1))</f>
        <v>8.5946540067970909E-2</v>
      </c>
      <c r="AL172" s="24"/>
      <c r="AM172" s="186"/>
      <c r="AN172" s="174">
        <f>(($AK$2+Y172*Лист1!$B$7^2*Лист1!$G$8/100)/(AA172/10^6)+$AK$3/(AE172/10^6))/1000/($Q172*IF(Лист1!$J$19="да",1/1.05,1))</f>
        <v>8.5946540067970909E-2</v>
      </c>
      <c r="AO172" s="24"/>
      <c r="AP172" s="186"/>
      <c r="AQ172" s="174">
        <f>MAX((5/384*($AQ$2+$Y172/100)*$D$17^4/(2.06*10^8*$Z172/10^8))/($D$17/300)*INDEX(Лист1!$L$34:$L$38,MATCH(Лист1!$B$8,Лист1!$I$34:$I$38,0),1),(5/384*($AQ$3)*$D$17^4/(2.06*10^8*$AD172/10^8))/($D$17/200))</f>
        <v>0.12553737452690472</v>
      </c>
      <c r="AR172" s="174"/>
      <c r="AS172" s="175"/>
      <c r="AT172" s="174">
        <f>MAX((5/384*($AT$2+$Y172/100)*$D$17^4/(2.06*10^8*$Z172/10^8))/($D$17/300)*INDEX(Лист1!$L$34:$L$38,MATCH(Лист1!$B$8,Лист1!$I$34:$I$38,0),1),(5/384*($AT$3)*$D$17^4/(2.06*10^8*$AD172/10^8))/($D$17/200))</f>
        <v>6.4793483626789522E-2</v>
      </c>
      <c r="AU172" s="174"/>
      <c r="AV172" s="174">
        <f>IF(OR(MAX(AH172,AQ172)&gt;1,AK172&gt;Лист1!$B$20,N172="-"),999999999,Y172*Лист1!$B$7+0.0001*O172)</f>
        <v>214.81689999999998</v>
      </c>
      <c r="AW172" s="174"/>
      <c r="AX172" s="174">
        <f>IF(OR(MAX(AH172,AT172)&gt;1,AN172&gt;Лист1!$B$20,N172="-"),999999999,Y172*Лист1!$B$7+0.0001*O172)</f>
        <v>214.81689999999998</v>
      </c>
    </row>
    <row r="173" spans="14:50" ht="16.5" thickBot="1" x14ac:dyDescent="0.3">
      <c r="O173">
        <f t="shared" si="10"/>
        <v>170</v>
      </c>
      <c r="P173" s="179" t="s">
        <v>296</v>
      </c>
      <c r="Q173" s="179">
        <v>340</v>
      </c>
      <c r="R173" s="129" t="s">
        <v>187</v>
      </c>
      <c r="S173" s="184">
        <v>200</v>
      </c>
      <c r="T173" s="184">
        <v>200</v>
      </c>
      <c r="X173" s="132">
        <v>52.8</v>
      </c>
      <c r="Y173" s="133">
        <v>41.4</v>
      </c>
      <c r="Z173" s="132">
        <v>3236</v>
      </c>
      <c r="AA173" s="132">
        <v>324</v>
      </c>
      <c r="AC173" s="132">
        <v>7.83</v>
      </c>
      <c r="AD173" s="132">
        <v>3236</v>
      </c>
      <c r="AE173" s="132">
        <v>324</v>
      </c>
      <c r="AF173" s="132">
        <v>7.83</v>
      </c>
      <c r="AG173" s="174"/>
      <c r="AH173" s="174">
        <f t="shared" si="11"/>
        <v>0.38314176245210724</v>
      </c>
      <c r="AI173" s="174"/>
      <c r="AJ173" s="186"/>
      <c r="AK173" s="174">
        <f>(($AK$2+Y173*Лист1!$B$7^2*Лист1!$G$8/100)/(AA173/10^6)+$AK$3/(AE173/10^6))/1000/($Q173*IF(Лист1!$J$19="да",1/1.05,1))</f>
        <v>7.7358170709333332E-2</v>
      </c>
      <c r="AL173" s="24"/>
      <c r="AM173" s="186"/>
      <c r="AN173" s="174">
        <f>(($AK$2+Y173*Лист1!$B$7^2*Лист1!$G$8/100)/(AA173/10^6)+$AK$3/(AE173/10^6))/1000/($Q173*IF(Лист1!$J$19="да",1/1.05,1))</f>
        <v>7.7358170709333332E-2</v>
      </c>
      <c r="AO173" s="24"/>
      <c r="AP173" s="186"/>
      <c r="AQ173" s="174">
        <f>MAX((5/384*($AQ$2+$Y173/100)*$D$17^4/(2.06*10^8*$Z173/10^8))/($D$17/300)*INDEX(Лист1!$L$34:$L$38,MATCH(Лист1!$B$8,Лист1!$I$34:$I$38,0),1),(5/384*($AQ$3)*$D$17^4/(2.06*10^8*$AD173/10^8))/($D$17/200))</f>
        <v>0.11695263840051845</v>
      </c>
      <c r="AR173" s="174"/>
      <c r="AS173" s="175"/>
      <c r="AT173" s="174">
        <f>MAX((5/384*($AT$2+$Y173/100)*$D$17^4/(2.06*10^8*$Z173/10^8))/($D$17/300)*INDEX(Лист1!$L$34:$L$38,MATCH(Лист1!$B$8,Лист1!$I$34:$I$38,0),1),(5/384*($AT$3)*$D$17^4/(2.06*10^8*$AD173/10^8))/($D$17/200))</f>
        <v>6.3792348218464606E-2</v>
      </c>
      <c r="AU173" s="174"/>
      <c r="AV173" s="174">
        <f>IF(OR(MAX(AH173,AQ173)&gt;1,AK173&gt;Лист1!$B$20,N173="-"),999999999,Y173*Лист1!$B$7+0.0001*O173)</f>
        <v>248.41699999999997</v>
      </c>
      <c r="AW173" s="174"/>
      <c r="AX173" s="174">
        <f>IF(OR(MAX(AH173,AT173)&gt;1,AN173&gt;Лист1!$B$20,N173="-"),999999999,Y173*Лист1!$B$7+0.0001*O173)</f>
        <v>248.41699999999997</v>
      </c>
    </row>
    <row r="174" spans="14:50" ht="16.5" thickBot="1" x14ac:dyDescent="0.3">
      <c r="O174">
        <f t="shared" si="10"/>
        <v>171</v>
      </c>
      <c r="P174" s="179" t="s">
        <v>296</v>
      </c>
      <c r="Q174" s="179">
        <v>340</v>
      </c>
      <c r="R174" s="129" t="s">
        <v>188</v>
      </c>
      <c r="S174" s="184">
        <v>200</v>
      </c>
      <c r="T174" s="184">
        <v>200</v>
      </c>
      <c r="X174" s="132">
        <v>59.8</v>
      </c>
      <c r="Y174" s="133">
        <v>46.9</v>
      </c>
      <c r="Z174" s="132">
        <v>3621</v>
      </c>
      <c r="AA174" s="132">
        <v>362</v>
      </c>
      <c r="AC174" s="132">
        <v>7.78</v>
      </c>
      <c r="AD174" s="132">
        <v>3621</v>
      </c>
      <c r="AE174" s="132">
        <v>362</v>
      </c>
      <c r="AF174" s="132">
        <v>7.78</v>
      </c>
      <c r="AG174" s="174"/>
      <c r="AH174" s="174">
        <f t="shared" si="11"/>
        <v>0.38560411311053983</v>
      </c>
      <c r="AI174" s="174"/>
      <c r="AJ174" s="186"/>
      <c r="AK174" s="174">
        <f>(($AK$2+Y174*Лист1!$B$7^2*Лист1!$G$8/100)/(AA174/10^6)+$AK$3/(AE174/10^6))/1000/($Q174*IF(Лист1!$J$19="да",1/1.05,1))</f>
        <v>7.1248586978714334E-2</v>
      </c>
      <c r="AL174" s="24"/>
      <c r="AM174" s="186"/>
      <c r="AN174" s="174">
        <f>(($AK$2+Y174*Лист1!$B$7^2*Лист1!$G$8/100)/(AA174/10^6)+$AK$3/(AE174/10^6))/1000/($Q174*IF(Лист1!$J$19="да",1/1.05,1))</f>
        <v>7.1248586978714334E-2</v>
      </c>
      <c r="AO174" s="24"/>
      <c r="AP174" s="186"/>
      <c r="AQ174" s="174">
        <f>MAX((5/384*($AQ$2+$Y174/100)*$D$17^4/(2.06*10^8*$Z174/10^8))/($D$17/300)*INDEX(Лист1!$L$34:$L$38,MATCH(Лист1!$B$8,Лист1!$I$34:$I$38,0),1),(5/384*($AQ$3)*$D$17^4/(2.06*10^8*$AD174/10^8))/($D$17/200))</f>
        <v>0.11073903443505118</v>
      </c>
      <c r="AR174" s="174"/>
      <c r="AS174" s="175"/>
      <c r="AT174" s="174">
        <f>MAX((5/384*($AT$2+$Y174/100)*$D$17^4/(2.06*10^8*$Z174/10^8))/($D$17/300)*INDEX(Лист1!$L$34:$L$38,MATCH(Лист1!$B$8,Лист1!$I$34:$I$38,0),1),(5/384*($AT$3)*$D$17^4/(2.06*10^8*$AD174/10^8))/($D$17/200))</f>
        <v>6.3230970632475611E-2</v>
      </c>
      <c r="AU174" s="174"/>
      <c r="AV174" s="174">
        <f>IF(OR(MAX(AH174,AQ174)&gt;1,AK174&gt;Лист1!$B$20,N174="-"),999999999,Y174*Лист1!$B$7+0.0001*O174)</f>
        <v>281.4171</v>
      </c>
      <c r="AW174" s="174"/>
      <c r="AX174" s="174">
        <f>IF(OR(MAX(AH174,AT174)&gt;1,AN174&gt;Лист1!$B$20,N174="-"),999999999,Y174*Лист1!$B$7+0.0001*O174)</f>
        <v>281.4171</v>
      </c>
    </row>
    <row r="175" spans="14:50" ht="16.5" thickBot="1" x14ac:dyDescent="0.3">
      <c r="O175">
        <f t="shared" si="10"/>
        <v>172</v>
      </c>
      <c r="P175" s="179" t="s">
        <v>296</v>
      </c>
      <c r="Q175" s="179">
        <v>340</v>
      </c>
      <c r="R175" s="129" t="s">
        <v>189</v>
      </c>
      <c r="S175" s="184">
        <v>200</v>
      </c>
      <c r="T175" s="184">
        <v>200</v>
      </c>
      <c r="X175" s="132">
        <v>66.7</v>
      </c>
      <c r="Y175" s="133">
        <v>52.3</v>
      </c>
      <c r="Z175" s="132">
        <v>3987</v>
      </c>
      <c r="AA175" s="132">
        <v>399</v>
      </c>
      <c r="AC175" s="132">
        <v>7.73</v>
      </c>
      <c r="AD175" s="132">
        <v>3987</v>
      </c>
      <c r="AE175" s="132">
        <v>399</v>
      </c>
      <c r="AF175" s="132">
        <v>7.73</v>
      </c>
      <c r="AG175" s="174"/>
      <c r="AH175" s="174">
        <f t="shared" si="11"/>
        <v>0.38809831824062097</v>
      </c>
      <c r="AI175" s="174"/>
      <c r="AJ175" s="186"/>
      <c r="AK175" s="174">
        <f>(($AK$2+Y175*Лист1!$B$7^2*Лист1!$G$8/100)/(AA175/10^6)+$AK$3/(AE175/10^6))/1000/($Q175*IF(Лист1!$J$19="да",1/1.05,1))</f>
        <v>6.6432817966535163E-2</v>
      </c>
      <c r="AL175" s="24"/>
      <c r="AM175" s="186"/>
      <c r="AN175" s="174">
        <f>(($AK$2+Y175*Лист1!$B$7^2*Лист1!$G$8/100)/(AA175/10^6)+$AK$3/(AE175/10^6))/1000/($Q175*IF(Лист1!$J$19="да",1/1.05,1))</f>
        <v>6.6432817966535163E-2</v>
      </c>
      <c r="AO175" s="24"/>
      <c r="AP175" s="186"/>
      <c r="AQ175" s="174">
        <f>MAX((5/384*($AQ$2+$Y175/100)*$D$17^4/(2.06*10^8*$Z175/10^8))/($D$17/300)*INDEX(Лист1!$L$34:$L$38,MATCH(Лист1!$B$8,Лист1!$I$34:$I$38,0),1),(5/384*($AQ$3)*$D$17^4/(2.06*10^8*$AD175/10^8))/($D$17/200))</f>
        <v>0.10612083324201715</v>
      </c>
      <c r="AR175" s="174"/>
      <c r="AS175" s="175"/>
      <c r="AT175" s="174">
        <f>MAX((5/384*($AT$2+$Y175/100)*$D$17^4/(2.06*10^8*$Z175/10^8))/($D$17/300)*INDEX(Лист1!$L$34:$L$38,MATCH(Лист1!$B$8,Лист1!$I$34:$I$38,0),1),(5/384*($AT$3)*$D$17^4/(2.06*10^8*$AD175/10^8))/($D$17/200))</f>
        <v>6.2973931052620058E-2</v>
      </c>
      <c r="AU175" s="174"/>
      <c r="AV175" s="174">
        <f>IF(OR(MAX(AH175,AQ175)&gt;1,AK175&gt;Лист1!$B$20,N175="-"),999999999,Y175*Лист1!$B$7+0.0001*O175)</f>
        <v>313.81719999999996</v>
      </c>
      <c r="AW175" s="174"/>
      <c r="AX175" s="174">
        <f>IF(OR(MAX(AH175,AT175)&gt;1,AN175&gt;Лист1!$B$20,N175="-"),999999999,Y175*Лист1!$B$7+0.0001*O175)</f>
        <v>313.81719999999996</v>
      </c>
    </row>
    <row r="176" spans="14:50" ht="16.5" thickBot="1" x14ac:dyDescent="0.3">
      <c r="O176">
        <f t="shared" si="10"/>
        <v>173</v>
      </c>
      <c r="P176" s="179" t="s">
        <v>296</v>
      </c>
      <c r="Q176" s="179">
        <v>340</v>
      </c>
      <c r="R176" s="129" t="s">
        <v>190</v>
      </c>
      <c r="S176" s="184">
        <v>200</v>
      </c>
      <c r="T176" s="184">
        <v>200</v>
      </c>
      <c r="X176" s="132">
        <v>73.400000000000006</v>
      </c>
      <c r="Y176" s="133">
        <v>57.6</v>
      </c>
      <c r="Z176" s="132">
        <v>4336</v>
      </c>
      <c r="AA176" s="132">
        <v>434</v>
      </c>
      <c r="AC176" s="132">
        <v>7.68</v>
      </c>
      <c r="AD176" s="132">
        <v>4336</v>
      </c>
      <c r="AE176" s="132">
        <v>434</v>
      </c>
      <c r="AF176" s="132">
        <v>7.68</v>
      </c>
      <c r="AG176" s="174"/>
      <c r="AH176" s="174">
        <f t="shared" si="11"/>
        <v>0.390625</v>
      </c>
      <c r="AI176" s="174"/>
      <c r="AJ176" s="186"/>
      <c r="AK176" s="174">
        <f>(($AK$2+Y176*Лист1!$B$7^2*Лист1!$G$8/100)/(AA176/10^6)+$AK$3/(AE176/10^6))/1000/($Q176*IF(Лист1!$J$19="да",1/1.05,1))</f>
        <v>6.2691624324614809E-2</v>
      </c>
      <c r="AL176" s="24"/>
      <c r="AM176" s="186"/>
      <c r="AN176" s="174">
        <f>(($AK$2+Y176*Лист1!$B$7^2*Лист1!$G$8/100)/(AA176/10^6)+$AK$3/(AE176/10^6))/1000/($Q176*IF(Лист1!$J$19="да",1/1.05,1))</f>
        <v>6.2691624324614809E-2</v>
      </c>
      <c r="AO176" s="24"/>
      <c r="AP176" s="186"/>
      <c r="AQ176" s="174">
        <f>MAX((5/384*($AQ$2+$Y176/100)*$D$17^4/(2.06*10^8*$Z176/10^8))/($D$17/300)*INDEX(Лист1!$L$34:$L$38,MATCH(Лист1!$B$8,Лист1!$I$34:$I$38,0),1),(5/384*($AQ$3)*$D$17^4/(2.06*10^8*$AD176/10^8))/($D$17/200))</f>
        <v>0.10258576872783291</v>
      </c>
      <c r="AR176" s="174"/>
      <c r="AS176" s="175"/>
      <c r="AT176" s="174">
        <f>MAX((5/384*($AT$2+$Y176/100)*$D$17^4/(2.06*10^8*$Z176/10^8))/($D$17/300)*INDEX(Лист1!$L$34:$L$38,MATCH(Лист1!$B$8,Лист1!$I$34:$I$38,0),1),(5/384*($AT$3)*$D$17^4/(2.06*10^8*$AD176/10^8))/($D$17/200))</f>
        <v>6.2911714523698634E-2</v>
      </c>
      <c r="AU176" s="174"/>
      <c r="AV176" s="174">
        <f>IF(OR(MAX(AH176,AQ176)&gt;1,AK176&gt;Лист1!$B$20,N176="-"),999999999,Y176*Лист1!$B$7+0.0001*O176)</f>
        <v>345.6173</v>
      </c>
      <c r="AW176" s="174"/>
      <c r="AX176" s="174">
        <f>IF(OR(MAX(AH176,AT176)&gt;1,AN176&gt;Лист1!$B$20,N176="-"),999999999,Y176*Лист1!$B$7+0.0001*O176)</f>
        <v>345.6173</v>
      </c>
    </row>
    <row r="177" spans="14:50" ht="16.5" thickBot="1" x14ac:dyDescent="0.3">
      <c r="O177">
        <f t="shared" si="10"/>
        <v>174</v>
      </c>
      <c r="P177" s="179" t="s">
        <v>296</v>
      </c>
      <c r="Q177" s="179">
        <v>340</v>
      </c>
      <c r="R177" s="129" t="s">
        <v>191</v>
      </c>
      <c r="S177" s="184">
        <v>200</v>
      </c>
      <c r="T177" s="184">
        <v>200</v>
      </c>
      <c r="X177" s="132">
        <v>80</v>
      </c>
      <c r="Y177" s="133">
        <v>62.8</v>
      </c>
      <c r="Z177" s="132">
        <v>4667</v>
      </c>
      <c r="AA177" s="132">
        <v>467</v>
      </c>
      <c r="AC177" s="132">
        <v>7.64</v>
      </c>
      <c r="AD177" s="132">
        <v>4667</v>
      </c>
      <c r="AE177" s="132">
        <v>467</v>
      </c>
      <c r="AF177" s="132">
        <v>7.64</v>
      </c>
      <c r="AG177" s="174"/>
      <c r="AH177" s="174">
        <f t="shared" si="11"/>
        <v>0.39267015706806285</v>
      </c>
      <c r="AI177" s="174"/>
      <c r="AJ177" s="186"/>
      <c r="AK177" s="174">
        <f>(($AK$2+Y177*Лист1!$B$7^2*Лист1!$G$8/100)/(AA177/10^6)+$AK$3/(AE177/10^6))/1000/($Q177*IF(Лист1!$J$19="да",1/1.05,1))</f>
        <v>5.9735332443255809E-2</v>
      </c>
      <c r="AL177" s="24"/>
      <c r="AM177" s="186"/>
      <c r="AN177" s="174">
        <f>(($AK$2+Y177*Лист1!$B$7^2*Лист1!$G$8/100)/(AA177/10^6)+$AK$3/(AE177/10^6))/1000/($Q177*IF(Лист1!$J$19="да",1/1.05,1))</f>
        <v>5.9735332443255809E-2</v>
      </c>
      <c r="AO177" s="24"/>
      <c r="AP177" s="186"/>
      <c r="AQ177" s="174">
        <f>MAX((5/384*($AQ$2+$Y177/100)*$D$17^4/(2.06*10^8*$Z177/10^8))/($D$17/300)*INDEX(Лист1!$L$34:$L$38,MATCH(Лист1!$B$8,Лист1!$I$34:$I$38,0),1),(5/384*($AQ$3)*$D$17^4/(2.06*10^8*$AD177/10^8))/($D$17/200))</f>
        <v>9.9873674071824264E-2</v>
      </c>
      <c r="AR177" s="174"/>
      <c r="AS177" s="175"/>
      <c r="AT177" s="174">
        <f>MAX((5/384*($AT$2+$Y177/100)*$D$17^4/(2.06*10^8*$Z177/10^8))/($D$17/300)*INDEX(Лист1!$L$34:$L$38,MATCH(Лист1!$B$8,Лист1!$I$34:$I$38,0),1),(5/384*($AT$3)*$D$17^4/(2.06*10^8*$AD177/10^8))/($D$17/200))</f>
        <v>6.3013442867811797E-2</v>
      </c>
      <c r="AU177" s="174"/>
      <c r="AV177" s="174">
        <f>IF(OR(MAX(AH177,AQ177)&gt;1,AK177&gt;Лист1!$B$20,N177="-"),999999999,Y177*Лист1!$B$7+0.0001*O177)</f>
        <v>376.81739999999996</v>
      </c>
      <c r="AW177" s="174"/>
      <c r="AX177" s="174">
        <f>IF(OR(MAX(AH177,AT177)&gt;1,AN177&gt;Лист1!$B$20,N177="-"),999999999,Y177*Лист1!$B$7+0.0001*O177)</f>
        <v>376.81739999999996</v>
      </c>
    </row>
    <row r="178" spans="14:50" ht="16.5" thickBot="1" x14ac:dyDescent="0.3">
      <c r="O178">
        <f t="shared" si="10"/>
        <v>175</v>
      </c>
      <c r="P178" s="179" t="s">
        <v>296</v>
      </c>
      <c r="Q178" s="179">
        <v>340</v>
      </c>
      <c r="R178" s="129" t="s">
        <v>192</v>
      </c>
      <c r="S178" s="184">
        <v>200</v>
      </c>
      <c r="T178" s="184">
        <v>200</v>
      </c>
      <c r="X178" s="132">
        <v>86.5</v>
      </c>
      <c r="Y178" s="133">
        <v>67</v>
      </c>
      <c r="Z178" s="132">
        <v>4980</v>
      </c>
      <c r="AA178" s="132">
        <v>498</v>
      </c>
      <c r="AC178" s="132">
        <v>7.59</v>
      </c>
      <c r="AD178" s="132">
        <v>4980</v>
      </c>
      <c r="AE178" s="132">
        <v>498</v>
      </c>
      <c r="AF178" s="132">
        <v>7.59</v>
      </c>
      <c r="AG178" s="174"/>
      <c r="AH178" s="174">
        <f t="shared" si="11"/>
        <v>0.39525691699604742</v>
      </c>
      <c r="AI178" s="174"/>
      <c r="AJ178" s="186"/>
      <c r="AK178" s="174">
        <f>(($AK$2+Y178*Лист1!$B$7^2*Лист1!$G$8/100)/(AA178/10^6)+$AK$3/(AE178/10^6))/1000/($Q178*IF(Лист1!$J$19="да",1/1.05,1))</f>
        <v>5.7133097598276408E-2</v>
      </c>
      <c r="AL178" s="24"/>
      <c r="AM178" s="186"/>
      <c r="AN178" s="174">
        <f>(($AK$2+Y178*Лист1!$B$7^2*Лист1!$G$8/100)/(AA178/10^6)+$AK$3/(AE178/10^6))/1000/($Q178*IF(Лист1!$J$19="да",1/1.05,1))</f>
        <v>5.7133097598276408E-2</v>
      </c>
      <c r="AO178" s="24"/>
      <c r="AP178" s="186"/>
      <c r="AQ178" s="174">
        <f>MAX((5/384*($AQ$2+$Y178/100)*$D$17^4/(2.06*10^8*$Z178/10^8))/($D$17/300)*INDEX(Лист1!$L$34:$L$38,MATCH(Лист1!$B$8,Лист1!$I$34:$I$38,0),1),(5/384*($AQ$3)*$D$17^4/(2.06*10^8*$AD178/10^8))/($D$17/200))</f>
        <v>9.7050824657854751E-2</v>
      </c>
      <c r="AR178" s="174"/>
      <c r="AS178" s="175"/>
      <c r="AT178" s="174">
        <f>MAX((5/384*($AT$2+$Y178/100)*$D$17^4/(2.06*10^8*$Z178/10^8))/($D$17/300)*INDEX(Лист1!$L$34:$L$38,MATCH(Лист1!$B$8,Лист1!$I$34:$I$38,0),1),(5/384*($AT$3)*$D$17^4/(2.06*10^8*$AD178/10^8))/($D$17/200))</f>
        <v>6.2507310796584406E-2</v>
      </c>
      <c r="AU178" s="174"/>
      <c r="AV178" s="174">
        <f>IF(OR(MAX(AH178,AQ178)&gt;1,AK178&gt;Лист1!$B$20,N178="-"),999999999,Y178*Лист1!$B$7+0.0001*O178)</f>
        <v>402.01749999999998</v>
      </c>
      <c r="AW178" s="174"/>
      <c r="AX178" s="174">
        <f>IF(OR(MAX(AH178,AT178)&gt;1,AN178&gt;Лист1!$B$20,N178="-"),999999999,Y178*Лист1!$B$7+0.0001*O178)</f>
        <v>402.01749999999998</v>
      </c>
    </row>
    <row r="179" spans="14:50" ht="16.5" thickBot="1" x14ac:dyDescent="0.3">
      <c r="O179">
        <f t="shared" si="10"/>
        <v>176</v>
      </c>
      <c r="P179" s="179" t="s">
        <v>296</v>
      </c>
      <c r="Q179" s="179">
        <v>340</v>
      </c>
      <c r="R179" s="129" t="s">
        <v>193</v>
      </c>
      <c r="S179" s="184">
        <v>200</v>
      </c>
      <c r="T179" s="184">
        <v>200</v>
      </c>
      <c r="X179" s="132">
        <v>92.9</v>
      </c>
      <c r="Y179" s="133">
        <v>72.900000000000006</v>
      </c>
      <c r="Z179" s="132">
        <v>4685</v>
      </c>
      <c r="AA179" s="132">
        <v>527</v>
      </c>
      <c r="AC179" s="132">
        <v>7.54</v>
      </c>
      <c r="AD179" s="132">
        <v>4685</v>
      </c>
      <c r="AE179" s="132">
        <v>527</v>
      </c>
      <c r="AF179" s="132">
        <v>7.54</v>
      </c>
      <c r="AG179" s="174"/>
      <c r="AH179" s="174">
        <f t="shared" si="11"/>
        <v>0.39787798408488068</v>
      </c>
      <c r="AI179" s="174"/>
      <c r="AJ179" s="186"/>
      <c r="AK179" s="174">
        <f>(($AK$2+Y179*Лист1!$B$7^2*Лист1!$G$8/100)/(AA179/10^6)+$AK$3/(AE179/10^6))/1000/($Q179*IF(Лист1!$J$19="да",1/1.05,1))</f>
        <v>5.5470901246456969E-2</v>
      </c>
      <c r="AL179" s="24"/>
      <c r="AM179" s="186"/>
      <c r="AN179" s="174">
        <f>(($AK$2+Y179*Лист1!$B$7^2*Лист1!$G$8/100)/(AA179/10^6)+$AK$3/(AE179/10^6))/1000/($Q179*IF(Лист1!$J$19="да",1/1.05,1))</f>
        <v>5.5470901246456969E-2</v>
      </c>
      <c r="AO179" s="24"/>
      <c r="AP179" s="186"/>
      <c r="AQ179" s="174">
        <f>MAX((5/384*($AQ$2+$Y179/100)*$D$17^4/(2.06*10^8*$Z179/10^8))/($D$17/300)*INDEX(Лист1!$L$34:$L$38,MATCH(Лист1!$B$8,Лист1!$I$34:$I$38,0),1),(5/384*($AQ$3)*$D$17^4/(2.06*10^8*$AD179/10^8))/($D$17/200))</f>
        <v>0.10831990653915101</v>
      </c>
      <c r="AR179" s="174"/>
      <c r="AS179" s="175"/>
      <c r="AT179" s="174">
        <f>MAX((5/384*($AT$2+$Y179/100)*$D$17^4/(2.06*10^8*$Z179/10^8))/($D$17/300)*INDEX(Лист1!$L$34:$L$38,MATCH(Лист1!$B$8,Лист1!$I$34:$I$38,0),1),(5/384*($AT$3)*$D$17^4/(2.06*10^8*$AD179/10^8))/($D$17/200))</f>
        <v>7.160129415299811E-2</v>
      </c>
      <c r="AU179" s="174"/>
      <c r="AV179" s="174">
        <f>IF(OR(MAX(AH179,AQ179)&gt;1,AK179&gt;Лист1!$B$20,N179="-"),999999999,Y179*Лист1!$B$7+0.0001*O179)</f>
        <v>437.41760000000005</v>
      </c>
      <c r="AW179" s="174"/>
      <c r="AX179" s="174">
        <f>IF(OR(MAX(AH179,AT179)&gt;1,AN179&gt;Лист1!$B$20,N179="-"),999999999,Y179*Лист1!$B$7+0.0001*O179)</f>
        <v>437.41760000000005</v>
      </c>
    </row>
    <row r="180" spans="14:50" ht="16.5" thickBot="1" x14ac:dyDescent="0.3">
      <c r="O180">
        <f t="shared" si="10"/>
        <v>177</v>
      </c>
      <c r="P180" s="179" t="s">
        <v>296</v>
      </c>
      <c r="Q180" s="179">
        <v>340</v>
      </c>
      <c r="R180" s="129" t="s">
        <v>194</v>
      </c>
      <c r="S180" s="184">
        <v>200</v>
      </c>
      <c r="T180" s="184">
        <v>200</v>
      </c>
      <c r="X180" s="134">
        <v>99.2</v>
      </c>
      <c r="Y180" s="135">
        <v>77.900000000000006</v>
      </c>
      <c r="Z180" s="134">
        <v>4408</v>
      </c>
      <c r="AA180" s="134">
        <v>554</v>
      </c>
      <c r="AC180" s="134">
        <v>7.49</v>
      </c>
      <c r="AD180" s="134">
        <v>4408</v>
      </c>
      <c r="AE180" s="134">
        <v>554</v>
      </c>
      <c r="AF180" s="134">
        <v>7.49</v>
      </c>
      <c r="AG180" s="174"/>
      <c r="AH180" s="174">
        <f t="shared" si="11"/>
        <v>0.40053404539385845</v>
      </c>
      <c r="AI180" s="174"/>
      <c r="AJ180" s="186"/>
      <c r="AK180" s="174">
        <f>(($AK$2+Y180*Лист1!$B$7^2*Лист1!$G$8/100)/(AA180/10^6)+$AK$3/(AE180/10^6))/1000/($Q180*IF(Лист1!$J$19="да",1/1.05,1))</f>
        <v>5.3961966900298163E-2</v>
      </c>
      <c r="AL180" s="24"/>
      <c r="AM180" s="186"/>
      <c r="AN180" s="174">
        <f>(($AK$2+Y180*Лист1!$B$7^2*Лист1!$G$8/100)/(AA180/10^6)+$AK$3/(AE180/10^6))/1000/($Q180*IF(Лист1!$J$19="да",1/1.05,1))</f>
        <v>5.3961966900298163E-2</v>
      </c>
      <c r="AO180" s="24"/>
      <c r="AP180" s="186"/>
      <c r="AQ180" s="174">
        <f>MAX((5/384*($AQ$2+$Y180/100)*$D$17^4/(2.06*10^8*$Z180/10^8))/($D$17/300)*INDEX(Лист1!$L$34:$L$38,MATCH(Лист1!$B$8,Лист1!$I$34:$I$38,0),1),(5/384*($AQ$3)*$D$17^4/(2.06*10^8*$AD180/10^8))/($D$17/200))</f>
        <v>0.11977271575951937</v>
      </c>
      <c r="AR180" s="174"/>
      <c r="AS180" s="175"/>
      <c r="AT180" s="174">
        <f>MAX((5/384*($AT$2+$Y180/100)*$D$17^4/(2.06*10^8*$Z180/10^8))/($D$17/300)*INDEX(Лист1!$L$34:$L$38,MATCH(Лист1!$B$8,Лист1!$I$34:$I$38,0),1),(5/384*($AT$3)*$D$17^4/(2.06*10^8*$AD180/10^8))/($D$17/200))</f>
        <v>8.0746695108628627E-2</v>
      </c>
      <c r="AU180" s="174"/>
      <c r="AV180" s="174">
        <f>IF(OR(MAX(AH180,AQ180)&gt;1,AK180&gt;Лист1!$B$20,N180="-"),999999999,Y180*Лист1!$B$7+0.0001*O180)</f>
        <v>467.41770000000002</v>
      </c>
      <c r="AW180" s="174"/>
      <c r="AX180" s="174">
        <f>IF(OR(MAX(AH180,AT180)&gt;1,AN180&gt;Лист1!$B$20,N180="-"),999999999,Y180*Лист1!$B$7+0.0001*O180)</f>
        <v>467.41770000000002</v>
      </c>
    </row>
    <row r="181" spans="14:50" ht="16.5" thickBot="1" x14ac:dyDescent="0.3">
      <c r="O181">
        <f t="shared" si="10"/>
        <v>178</v>
      </c>
      <c r="P181" s="179" t="s">
        <v>296</v>
      </c>
      <c r="Q181" s="179">
        <v>340</v>
      </c>
      <c r="R181" s="129" t="s">
        <v>195</v>
      </c>
      <c r="S181" s="184">
        <v>250</v>
      </c>
      <c r="T181" s="184">
        <v>250</v>
      </c>
      <c r="X181" s="130">
        <v>75.8</v>
      </c>
      <c r="Y181" s="131">
        <v>59.5</v>
      </c>
      <c r="Z181" s="130">
        <v>7315</v>
      </c>
      <c r="AA181" s="130">
        <v>585</v>
      </c>
      <c r="AC181" s="130">
        <v>9.82</v>
      </c>
      <c r="AD181" s="130">
        <v>7315</v>
      </c>
      <c r="AE181" s="130">
        <v>585</v>
      </c>
      <c r="AF181" s="130">
        <v>9.82</v>
      </c>
      <c r="AG181" s="174"/>
      <c r="AH181" s="174">
        <f t="shared" si="11"/>
        <v>0.30549898167006106</v>
      </c>
      <c r="AI181" s="174"/>
      <c r="AJ181" s="186"/>
      <c r="AK181" s="174">
        <f>(($AK$2+Y181*Лист1!$B$7^2*Лист1!$G$8/100)/(AA181/10^6)+$AK$3/(AE181/10^6))/1000/($Q181*IF(Лист1!$J$19="да",1/1.05,1))</f>
        <v>4.6939547940372854E-2</v>
      </c>
      <c r="AL181" s="24"/>
      <c r="AM181" s="186"/>
      <c r="AN181" s="174">
        <f>(($AK$2+Y181*Лист1!$B$7^2*Лист1!$G$8/100)/(AA181/10^6)+$AK$3/(AE181/10^6))/1000/($Q181*IF(Лист1!$J$19="да",1/1.05,1))</f>
        <v>4.6939547940372854E-2</v>
      </c>
      <c r="AO181" s="24"/>
      <c r="AP181" s="186"/>
      <c r="AQ181" s="174">
        <f>MAX((5/384*($AQ$2+$Y181/100)*$D$17^4/(2.06*10^8*$Z181/10^8))/($D$17/300)*INDEX(Лист1!$L$34:$L$38,MATCH(Лист1!$B$8,Лист1!$I$34:$I$38,0),1),(5/384*($AQ$3)*$D$17^4/(2.06*10^8*$AD181/10^8))/($D$17/200))</f>
        <v>6.1872051045530868E-2</v>
      </c>
      <c r="AR181" s="174"/>
      <c r="AS181" s="175"/>
      <c r="AT181" s="174">
        <f>MAX((5/384*($AT$2+$Y181/100)*$D$17^4/(2.06*10^8*$Z181/10^8))/($D$17/300)*INDEX(Лист1!$L$34:$L$38,MATCH(Лист1!$B$8,Лист1!$I$34:$I$38,0),1),(5/384*($AT$3)*$D$17^4/(2.06*10^8*$AD181/10^8))/($D$17/200))</f>
        <v>3.8355072367591531E-2</v>
      </c>
      <c r="AU181" s="174"/>
      <c r="AV181" s="174">
        <f>IF(OR(MAX(AH181,AQ181)&gt;1,AK181&gt;Лист1!$B$20,N181="-"),999999999,Y181*Лист1!$B$7+0.0001*O181)</f>
        <v>357.01780000000002</v>
      </c>
      <c r="AW181" s="174"/>
      <c r="AX181" s="174">
        <f>IF(OR(MAX(AH181,AT181)&gt;1,AN181&gt;Лист1!$B$20,N181="-"),999999999,Y181*Лист1!$B$7+0.0001*O181)</f>
        <v>357.01780000000002</v>
      </c>
    </row>
    <row r="182" spans="14:50" ht="16.5" thickBot="1" x14ac:dyDescent="0.3">
      <c r="N182" t="s">
        <v>344</v>
      </c>
      <c r="O182">
        <f t="shared" si="10"/>
        <v>179</v>
      </c>
      <c r="P182" s="179" t="s">
        <v>296</v>
      </c>
      <c r="Q182" s="179">
        <v>340</v>
      </c>
      <c r="R182" s="129" t="s">
        <v>196</v>
      </c>
      <c r="S182" s="184">
        <v>250</v>
      </c>
      <c r="T182" s="184">
        <v>250</v>
      </c>
      <c r="X182" s="132">
        <v>84.7</v>
      </c>
      <c r="Y182" s="133">
        <v>66.5</v>
      </c>
      <c r="Z182" s="132">
        <v>8092</v>
      </c>
      <c r="AA182" s="132">
        <v>647</v>
      </c>
      <c r="AC182" s="132">
        <v>9.7799999999999994</v>
      </c>
      <c r="AD182" s="132">
        <v>8092</v>
      </c>
      <c r="AE182" s="132">
        <v>647</v>
      </c>
      <c r="AF182" s="132">
        <v>9.7799999999999994</v>
      </c>
      <c r="AG182" s="174"/>
      <c r="AH182" s="174">
        <f t="shared" si="11"/>
        <v>0.30674846625766872</v>
      </c>
      <c r="AI182" s="174"/>
      <c r="AJ182" s="186"/>
      <c r="AK182" s="174">
        <f>(($AK$2+Y182*Лист1!$B$7^2*Лист1!$G$8/100)/(AA182/10^6)+$AK$3/(AE182/10^6))/1000/($Q182*IF(Лист1!$J$19="да",1/1.05,1))</f>
        <v>4.3873425244750255E-2</v>
      </c>
      <c r="AL182" s="24"/>
      <c r="AM182" s="186"/>
      <c r="AN182" s="174">
        <f>(($AK$2+Y182*Лист1!$B$7^2*Лист1!$G$8/100)/(AA182/10^6)+$AK$3/(AE182/10^6))/1000/($Q182*IF(Лист1!$J$19="да",1/1.05,1))</f>
        <v>4.3873425244750255E-2</v>
      </c>
      <c r="AO182" s="24"/>
      <c r="AP182" s="186"/>
      <c r="AQ182" s="174">
        <f>MAX((5/384*($AQ$2+$Y182/100)*$D$17^4/(2.06*10^8*$Z182/10^8))/($D$17/300)*INDEX(Лист1!$L$34:$L$38,MATCH(Лист1!$B$8,Лист1!$I$34:$I$38,0),1),(5/384*($AQ$3)*$D$17^4/(2.06*10^8*$AD182/10^8))/($D$17/200))</f>
        <v>5.9474193018155284E-2</v>
      </c>
      <c r="AR182" s="174"/>
      <c r="AS182" s="175"/>
      <c r="AT182" s="174">
        <f>MAX((5/384*($AT$2+$Y182/100)*$D$17^4/(2.06*10^8*$Z182/10^8))/($D$17/300)*INDEX(Лист1!$L$34:$L$38,MATCH(Лист1!$B$8,Лист1!$I$34:$I$38,0),1),(5/384*($AT$3)*$D$17^4/(2.06*10^8*$AD182/10^8))/($D$17/200))</f>
        <v>3.8215332535069993E-2</v>
      </c>
      <c r="AU182" s="174"/>
      <c r="AV182" s="174">
        <f>IF(OR(MAX(AH182,AQ182)&gt;1,AK182&gt;Лист1!$B$20,N182="-"),999999999,Y182*Лист1!$B$7+0.0001*O182)</f>
        <v>999999999</v>
      </c>
      <c r="AW182" s="174"/>
      <c r="AX182" s="174">
        <f>IF(OR(MAX(AH182,AT182)&gt;1,AN182&gt;Лист1!$B$20,N182="-"),999999999,Y182*Лист1!$B$7+0.0001*O182)</f>
        <v>999999999</v>
      </c>
    </row>
    <row r="183" spans="14:50" ht="16.5" thickBot="1" x14ac:dyDescent="0.3">
      <c r="O183">
        <f t="shared" si="10"/>
        <v>180</v>
      </c>
      <c r="P183" s="179" t="s">
        <v>296</v>
      </c>
      <c r="Q183" s="179">
        <v>340</v>
      </c>
      <c r="R183" s="129" t="s">
        <v>197</v>
      </c>
      <c r="S183" s="184">
        <v>250</v>
      </c>
      <c r="T183" s="184">
        <v>250</v>
      </c>
      <c r="X183" s="132">
        <v>93.4</v>
      </c>
      <c r="Y183" s="133">
        <v>73.3</v>
      </c>
      <c r="Z183" s="132">
        <v>8840</v>
      </c>
      <c r="AA183" s="132">
        <v>707</v>
      </c>
      <c r="AC183" s="132">
        <v>9.73</v>
      </c>
      <c r="AD183" s="132">
        <v>8840</v>
      </c>
      <c r="AE183" s="132">
        <v>707</v>
      </c>
      <c r="AF183" s="132">
        <v>9.73</v>
      </c>
      <c r="AG183" s="174"/>
      <c r="AH183" s="174">
        <f t="shared" si="11"/>
        <v>0.30832476875642345</v>
      </c>
      <c r="AI183" s="174"/>
      <c r="AJ183" s="186"/>
      <c r="AK183" s="174">
        <f>(($AK$2+Y183*Лист1!$B$7^2*Лист1!$G$8/100)/(AA183/10^6)+$AK$3/(AE183/10^6))/1000/($Q183*IF(Лист1!$J$19="да",1/1.05,1))</f>
        <v>4.1423063837840758E-2</v>
      </c>
      <c r="AL183" s="24"/>
      <c r="AM183" s="186"/>
      <c r="AN183" s="174">
        <f>(($AK$2+Y183*Лист1!$B$7^2*Лист1!$G$8/100)/(AA183/10^6)+$AK$3/(AE183/10^6))/1000/($Q183*IF(Лист1!$J$19="да",1/1.05,1))</f>
        <v>4.1423063837840758E-2</v>
      </c>
      <c r="AO183" s="24"/>
      <c r="AP183" s="186"/>
      <c r="AQ183" s="174">
        <f>MAX((5/384*($AQ$2+$Y183/100)*$D$17^4/(2.06*10^8*$Z183/10^8))/($D$17/300)*INDEX(Лист1!$L$34:$L$38,MATCH(Лист1!$B$8,Лист1!$I$34:$I$38,0),1),(5/384*($AQ$3)*$D$17^4/(2.06*10^8*$AD183/10^8))/($D$17/200))</f>
        <v>5.7592433444625044E-2</v>
      </c>
      <c r="AR183" s="174"/>
      <c r="AS183" s="175"/>
      <c r="AT183" s="174">
        <f>MAX((5/384*($AT$2+$Y183/100)*$D$17^4/(2.06*10^8*$Z183/10^8))/($D$17/300)*INDEX(Лист1!$L$34:$L$38,MATCH(Лист1!$B$8,Лист1!$I$34:$I$38,0),1),(5/384*($AT$3)*$D$17^4/(2.06*10^8*$AD183/10^8))/($D$17/200))</f>
        <v>3.8132399617800808E-2</v>
      </c>
      <c r="AU183" s="174"/>
      <c r="AV183" s="174">
        <f>IF(OR(MAX(AH183,AQ183)&gt;1,AK183&gt;Лист1!$B$20,N183="-"),999999999,Y183*Лист1!$B$7+0.0001*O183)</f>
        <v>439.81799999999993</v>
      </c>
      <c r="AW183" s="174"/>
      <c r="AX183" s="174">
        <f>IF(OR(MAX(AH183,AT183)&gt;1,AN183&gt;Лист1!$B$20,N183="-"),999999999,Y183*Лист1!$B$7+0.0001*O183)</f>
        <v>439.81799999999993</v>
      </c>
    </row>
    <row r="184" spans="14:50" ht="16.5" thickBot="1" x14ac:dyDescent="0.3">
      <c r="N184" t="s">
        <v>344</v>
      </c>
      <c r="O184">
        <f t="shared" si="10"/>
        <v>181</v>
      </c>
      <c r="P184" s="179" t="s">
        <v>296</v>
      </c>
      <c r="Q184" s="179">
        <v>340</v>
      </c>
      <c r="R184" s="129" t="s">
        <v>198</v>
      </c>
      <c r="S184" s="184">
        <v>250</v>
      </c>
      <c r="T184" s="184">
        <v>250</v>
      </c>
      <c r="X184" s="132">
        <v>102</v>
      </c>
      <c r="Y184" s="133">
        <v>80.099999999999994</v>
      </c>
      <c r="Z184" s="132">
        <v>9559</v>
      </c>
      <c r="AA184" s="132">
        <v>765</v>
      </c>
      <c r="AC184" s="132">
        <v>9.68</v>
      </c>
      <c r="AD184" s="132">
        <v>9559</v>
      </c>
      <c r="AE184" s="132">
        <v>765</v>
      </c>
      <c r="AF184" s="132">
        <v>9.68</v>
      </c>
      <c r="AG184" s="174"/>
      <c r="AH184" s="174">
        <f t="shared" si="11"/>
        <v>0.30991735537190085</v>
      </c>
      <c r="AI184" s="174"/>
      <c r="AJ184" s="186"/>
      <c r="AK184" s="174">
        <f>(($AK$2+Y184*Лист1!$B$7^2*Лист1!$G$8/100)/(AA184/10^6)+$AK$3/(AE184/10^6))/1000/($Q184*IF(Лист1!$J$19="да",1/1.05,1))</f>
        <v>3.9458962265821448E-2</v>
      </c>
      <c r="AL184" s="24"/>
      <c r="AM184" s="186"/>
      <c r="AN184" s="174">
        <f>(($AK$2+Y184*Лист1!$B$7^2*Лист1!$G$8/100)/(AA184/10^6)+$AK$3/(AE184/10^6))/1000/($Q184*IF(Лист1!$J$19="да",1/1.05,1))</f>
        <v>3.9458962265821448E-2</v>
      </c>
      <c r="AO184" s="24"/>
      <c r="AP184" s="186"/>
      <c r="AQ184" s="174">
        <f>MAX((5/384*($AQ$2+$Y184/100)*$D$17^4/(2.06*10^8*$Z184/10^8))/($D$17/300)*INDEX(Лист1!$L$34:$L$38,MATCH(Лист1!$B$8,Лист1!$I$34:$I$38,0),1),(5/384*($AQ$3)*$D$17^4/(2.06*10^8*$AD184/10^8))/($D$17/200))</f>
        <v>5.6174186985883279E-2</v>
      </c>
      <c r="AR184" s="174"/>
      <c r="AS184" s="175"/>
      <c r="AT184" s="174">
        <f>MAX((5/384*($AT$2+$Y184/100)*$D$17^4/(2.06*10^8*$Z184/10^8))/($D$17/300)*INDEX(Лист1!$L$34:$L$38,MATCH(Лист1!$B$8,Лист1!$I$34:$I$38,0),1),(5/384*($AT$3)*$D$17^4/(2.06*10^8*$AD184/10^8))/($D$17/200))</f>
        <v>3.8177879942350876E-2</v>
      </c>
      <c r="AU184" s="174"/>
      <c r="AV184" s="174">
        <f>IF(OR(MAX(AH184,AQ184)&gt;1,AK184&gt;Лист1!$B$20,N184="-"),999999999,Y184*Лист1!$B$7+0.0001*O184)</f>
        <v>999999999</v>
      </c>
      <c r="AW184" s="174"/>
      <c r="AX184" s="174">
        <f>IF(OR(MAX(AH184,AT184)&gt;1,AN184&gt;Лист1!$B$20,N184="-"),999999999,Y184*Лист1!$B$7+0.0001*O184)</f>
        <v>999999999</v>
      </c>
    </row>
    <row r="185" spans="14:50" ht="16.5" thickBot="1" x14ac:dyDescent="0.3">
      <c r="O185">
        <f t="shared" si="10"/>
        <v>182</v>
      </c>
      <c r="P185" s="179" t="s">
        <v>296</v>
      </c>
      <c r="Q185" s="179">
        <v>340</v>
      </c>
      <c r="R185" s="129" t="s">
        <v>199</v>
      </c>
      <c r="S185" s="184">
        <v>250</v>
      </c>
      <c r="T185" s="184">
        <v>250</v>
      </c>
      <c r="X185" s="132">
        <v>111</v>
      </c>
      <c r="Y185" s="133">
        <v>86.8</v>
      </c>
      <c r="Z185" s="132">
        <v>10251</v>
      </c>
      <c r="AA185" s="132">
        <v>820</v>
      </c>
      <c r="AC185" s="132">
        <v>9.6300000000000008</v>
      </c>
      <c r="AD185" s="132">
        <v>10251</v>
      </c>
      <c r="AE185" s="132">
        <v>820</v>
      </c>
      <c r="AF185" s="132">
        <v>9.6300000000000008</v>
      </c>
      <c r="AG185" s="174"/>
      <c r="AH185" s="174">
        <f t="shared" si="11"/>
        <v>0.3115264797507788</v>
      </c>
      <c r="AI185" s="174"/>
      <c r="AJ185" s="186"/>
      <c r="AK185" s="174">
        <f>(($AK$2+Y185*Лист1!$B$7^2*Лист1!$G$8/100)/(AA185/10^6)+$AK$3/(AE185/10^6))/1000/($Q185*IF(Лист1!$J$19="да",1/1.05,1))</f>
        <v>3.7893744925897276E-2</v>
      </c>
      <c r="AL185" s="24"/>
      <c r="AM185" s="186"/>
      <c r="AN185" s="174">
        <f>(($AK$2+Y185*Лист1!$B$7^2*Лист1!$G$8/100)/(AA185/10^6)+$AK$3/(AE185/10^6))/1000/($Q185*IF(Лист1!$J$19="да",1/1.05,1))</f>
        <v>3.7893744925897276E-2</v>
      </c>
      <c r="AO185" s="24"/>
      <c r="AP185" s="186"/>
      <c r="AQ185" s="174">
        <f>MAX((5/384*($AQ$2+$Y185/100)*$D$17^4/(2.06*10^8*$Z185/10^8))/($D$17/300)*INDEX(Лист1!$L$34:$L$38,MATCH(Лист1!$B$8,Лист1!$I$34:$I$38,0),1),(5/384*($AQ$3)*$D$17^4/(2.06*10^8*$AD185/10^8))/($D$17/200))</f>
        <v>5.5059155962051541E-2</v>
      </c>
      <c r="AR185" s="174"/>
      <c r="AS185" s="175"/>
      <c r="AT185" s="174">
        <f>MAX((5/384*($AT$2+$Y185/100)*$D$17^4/(2.06*10^8*$Z185/10^8))/($D$17/300)*INDEX(Лист1!$L$34:$L$38,MATCH(Лист1!$B$8,Лист1!$I$34:$I$38,0),1),(5/384*($AT$3)*$D$17^4/(2.06*10^8*$AD185/10^8))/($D$17/200))</f>
        <v>3.8277700589002449E-2</v>
      </c>
      <c r="AU185" s="174"/>
      <c r="AV185" s="174">
        <f>IF(OR(MAX(AH185,AQ185)&gt;1,AK185&gt;Лист1!$B$20,N185="-"),999999999,Y185*Лист1!$B$7+0.0001*O185)</f>
        <v>520.81819999999993</v>
      </c>
      <c r="AW185" s="174"/>
      <c r="AX185" s="174">
        <f>IF(OR(MAX(AH185,AT185)&gt;1,AN185&gt;Лист1!$B$20,N185="-"),999999999,Y185*Лист1!$B$7+0.0001*O185)</f>
        <v>520.81819999999993</v>
      </c>
    </row>
    <row r="186" spans="14:50" ht="16.5" thickBot="1" x14ac:dyDescent="0.3">
      <c r="N186" t="s">
        <v>344</v>
      </c>
      <c r="O186">
        <f t="shared" ref="O186:O249" si="12">O185+1</f>
        <v>183</v>
      </c>
      <c r="P186" s="179" t="s">
        <v>296</v>
      </c>
      <c r="Q186" s="179">
        <v>340</v>
      </c>
      <c r="R186" s="129" t="s">
        <v>200</v>
      </c>
      <c r="S186" s="184">
        <v>250</v>
      </c>
      <c r="T186" s="184">
        <v>250</v>
      </c>
      <c r="X186" s="132">
        <v>119</v>
      </c>
      <c r="Y186" s="133">
        <v>93.4</v>
      </c>
      <c r="Z186" s="132">
        <v>10917</v>
      </c>
      <c r="AA186" s="132">
        <v>872</v>
      </c>
      <c r="AC186" s="132">
        <v>9.58</v>
      </c>
      <c r="AD186" s="132">
        <v>10917</v>
      </c>
      <c r="AE186" s="132">
        <v>872</v>
      </c>
      <c r="AF186" s="132">
        <v>9.58</v>
      </c>
      <c r="AG186" s="174"/>
      <c r="AH186" s="174">
        <f t="shared" si="11"/>
        <v>0.31315240083507306</v>
      </c>
      <c r="AI186" s="174"/>
      <c r="AJ186" s="186"/>
      <c r="AK186" s="174">
        <f>(($AK$2+Y186*Лист1!$B$7^2*Лист1!$G$8/100)/(AA186/10^6)+$AK$3/(AE186/10^6))/1000/($Q186*IF(Лист1!$J$19="да",1/1.05,1))</f>
        <v>3.6635780104358341E-2</v>
      </c>
      <c r="AL186" s="24"/>
      <c r="AM186" s="186"/>
      <c r="AN186" s="174">
        <f>(($AK$2+Y186*Лист1!$B$7^2*Лист1!$G$8/100)/(AA186/10^6)+$AK$3/(AE186/10^6))/1000/($Q186*IF(Лист1!$J$19="да",1/1.05,1))</f>
        <v>3.6635780104358341E-2</v>
      </c>
      <c r="AO186" s="24"/>
      <c r="AP186" s="186"/>
      <c r="AQ186" s="174">
        <f>MAX((5/384*($AQ$2+$Y186/100)*$D$17^4/(2.06*10^8*$Z186/10^8))/($D$17/300)*INDEX(Лист1!$L$34:$L$38,MATCH(Лист1!$B$8,Лист1!$I$34:$I$38,0),1),(5/384*($AQ$3)*$D$17^4/(2.06*10^8*$AD186/10^8))/($D$17/200))</f>
        <v>5.4176438101793671E-2</v>
      </c>
      <c r="AR186" s="174"/>
      <c r="AS186" s="175"/>
      <c r="AT186" s="174">
        <f>MAX((5/384*($AT$2+$Y186/100)*$D$17^4/(2.06*10^8*$Z186/10^8))/($D$17/300)*INDEX(Лист1!$L$34:$L$38,MATCH(Лист1!$B$8,Лист1!$I$34:$I$38,0),1),(5/384*($AT$3)*$D$17^4/(2.06*10^8*$AD186/10^8))/($D$17/200))</f>
        <v>3.8418748349194412E-2</v>
      </c>
      <c r="AU186" s="174"/>
      <c r="AV186" s="174">
        <f>IF(OR(MAX(AH186,AQ186)&gt;1,AK186&gt;Лист1!$B$20,N186="-"),999999999,Y186*Лист1!$B$7+0.0001*O186)</f>
        <v>999999999</v>
      </c>
      <c r="AW186" s="174"/>
      <c r="AX186" s="174">
        <f>IF(OR(MAX(AH186,AT186)&gt;1,AN186&gt;Лист1!$B$20,N186="-"),999999999,Y186*Лист1!$B$7+0.0001*O186)</f>
        <v>999999999</v>
      </c>
    </row>
    <row r="187" spans="14:50" ht="16.5" thickBot="1" x14ac:dyDescent="0.3">
      <c r="N187" t="s">
        <v>344</v>
      </c>
      <c r="O187">
        <f t="shared" si="12"/>
        <v>184</v>
      </c>
      <c r="P187" s="179" t="s">
        <v>296</v>
      </c>
      <c r="Q187" s="179">
        <v>340</v>
      </c>
      <c r="R187" s="129" t="s">
        <v>201</v>
      </c>
      <c r="S187" s="184">
        <v>250</v>
      </c>
      <c r="T187" s="184">
        <v>250</v>
      </c>
      <c r="X187" s="134">
        <v>127</v>
      </c>
      <c r="Y187" s="135">
        <v>99.8</v>
      </c>
      <c r="Z187" s="134">
        <v>11550</v>
      </c>
      <c r="AA187" s="134">
        <v>924</v>
      </c>
      <c r="AC187" s="134">
        <v>9.5299999999999994</v>
      </c>
      <c r="AD187" s="134">
        <v>11550</v>
      </c>
      <c r="AE187" s="134">
        <v>924</v>
      </c>
      <c r="AF187" s="134">
        <v>9.5299999999999994</v>
      </c>
      <c r="AG187" s="174"/>
      <c r="AH187" s="174">
        <f t="shared" si="11"/>
        <v>0.31479538300104937</v>
      </c>
      <c r="AI187" s="174"/>
      <c r="AJ187" s="186"/>
      <c r="AK187" s="174">
        <f>(($AK$2+Y187*Лист1!$B$7^2*Лист1!$G$8/100)/(AA187/10^6)+$AK$3/(AE187/10^6))/1000/($Q187*IF(Лист1!$J$19="да",1/1.05,1))</f>
        <v>3.5490756574166539E-2</v>
      </c>
      <c r="AL187" s="24"/>
      <c r="AM187" s="186"/>
      <c r="AN187" s="174">
        <f>(($AK$2+Y187*Лист1!$B$7^2*Лист1!$G$8/100)/(AA187/10^6)+$AK$3/(AE187/10^6))/1000/($Q187*IF(Лист1!$J$19="да",1/1.05,1))</f>
        <v>3.5490756574166539E-2</v>
      </c>
      <c r="AO187" s="24"/>
      <c r="AP187" s="186"/>
      <c r="AQ187" s="174">
        <f>MAX((5/384*($AQ$2+$Y187/100)*$D$17^4/(2.06*10^8*$Z187/10^8))/($D$17/300)*INDEX(Лист1!$L$34:$L$38,MATCH(Лист1!$B$8,Лист1!$I$34:$I$38,0),1),(5/384*($AQ$3)*$D$17^4/(2.06*10^8*$AD187/10^8))/($D$17/200))</f>
        <v>5.3476862942882362E-2</v>
      </c>
      <c r="AR187" s="174"/>
      <c r="AS187" s="175"/>
      <c r="AT187" s="174">
        <f>MAX((5/384*($AT$2+$Y187/100)*$D$17^4/(2.06*10^8*$Z187/10^8))/($D$17/300)*INDEX(Лист1!$L$34:$L$38,MATCH(Лист1!$B$8,Лист1!$I$34:$I$38,0),1),(5/384*($AT$3)*$D$17^4/(2.06*10^8*$AD187/10^8))/($D$17/200))</f>
        <v>3.8582776446854122E-2</v>
      </c>
      <c r="AU187" s="174"/>
      <c r="AV187" s="174">
        <f>IF(OR(MAX(AH187,AQ187)&gt;1,AK187&gt;Лист1!$B$20,N187="-"),999999999,Y187*Лист1!$B$7+0.0001*O187)</f>
        <v>999999999</v>
      </c>
      <c r="AW187" s="174"/>
      <c r="AX187" s="174">
        <f>IF(OR(MAX(AH187,AT187)&gt;1,AN187&gt;Лист1!$B$20,N187="-"),999999999,Y187*Лист1!$B$7+0.0001*O187)</f>
        <v>999999999</v>
      </c>
    </row>
    <row r="188" spans="14:50" ht="16.5" thickBot="1" x14ac:dyDescent="0.3">
      <c r="O188">
        <f t="shared" si="12"/>
        <v>185</v>
      </c>
      <c r="P188" s="179" t="s">
        <v>296</v>
      </c>
      <c r="Q188" s="179">
        <v>340</v>
      </c>
      <c r="R188" s="129" t="s">
        <v>202</v>
      </c>
      <c r="S188" s="184">
        <v>300</v>
      </c>
      <c r="T188" s="184">
        <v>300</v>
      </c>
      <c r="X188" s="130">
        <v>89.9</v>
      </c>
      <c r="Y188" s="138">
        <v>70.5</v>
      </c>
      <c r="Z188" s="130">
        <v>12812</v>
      </c>
      <c r="AA188" s="130">
        <v>846</v>
      </c>
      <c r="AC188" s="130">
        <v>11.94</v>
      </c>
      <c r="AD188" s="130">
        <v>12812</v>
      </c>
      <c r="AE188" s="130">
        <v>846</v>
      </c>
      <c r="AF188" s="130">
        <v>11.94</v>
      </c>
      <c r="AG188" s="174"/>
      <c r="AH188" s="174">
        <f t="shared" si="11"/>
        <v>0.25125628140703521</v>
      </c>
      <c r="AI188" s="174"/>
      <c r="AJ188" s="186"/>
      <c r="AK188" s="174">
        <f>(($AK$2+Y188*Лист1!$B$7^2*Лист1!$G$8/100)/(AA188/10^6)+$AK$3/(AE188/10^6))/1000/($Q188*IF(Лист1!$J$19="да",1/1.05,1))</f>
        <v>3.4179099170282855E-2</v>
      </c>
      <c r="AL188" s="24"/>
      <c r="AM188" s="186"/>
      <c r="AN188" s="174">
        <f>(($AK$2+Y188*Лист1!$B$7^2*Лист1!$G$8/100)/(AA188/10^6)+$AK$3/(AE188/10^6))/1000/($Q188*IF(Лист1!$J$19="да",1/1.05,1))</f>
        <v>3.4179099170282855E-2</v>
      </c>
      <c r="AO188" s="24"/>
      <c r="AP188" s="186"/>
      <c r="AQ188" s="174">
        <f>MAX((5/384*($AQ$2+$Y188/100)*$D$17^4/(2.06*10^8*$Z188/10^8))/($D$17/300)*INDEX(Лист1!$L$34:$L$38,MATCH(Лист1!$B$8,Лист1!$I$34:$I$38,0),1),(5/384*($AQ$3)*$D$17^4/(2.06*10^8*$AD188/10^8))/($D$17/200))</f>
        <v>3.8842387218899752E-2</v>
      </c>
      <c r="AR188" s="174"/>
      <c r="AS188" s="175"/>
      <c r="AT188" s="174">
        <f>MAX((5/384*($AT$2+$Y188/100)*$D$17^4/(2.06*10^8*$Z188/10^8))/($D$17/300)*INDEX(Лист1!$L$34:$L$38,MATCH(Лист1!$B$8,Лист1!$I$34:$I$38,0),1),(5/384*($AT$3)*$D$17^4/(2.06*10^8*$AD188/10^8))/($D$17/200))</f>
        <v>2.5415389167922058E-2</v>
      </c>
      <c r="AU188" s="174"/>
      <c r="AV188" s="174">
        <f>IF(OR(MAX(AH188,AQ188)&gt;1,AK188&gt;Лист1!$B$20,N188="-"),999999999,Y188*Лист1!$B$7+0.0001*O188)</f>
        <v>423.01850000000002</v>
      </c>
      <c r="AW188" s="174"/>
      <c r="AX188" s="174">
        <f>IF(OR(MAX(AH188,AT188)&gt;1,AN188&gt;Лист1!$B$20,N188="-"),999999999,Y188*Лист1!$B$7+0.0001*O188)</f>
        <v>423.01850000000002</v>
      </c>
    </row>
    <row r="189" spans="14:50" ht="16.5" thickBot="1" x14ac:dyDescent="0.3">
      <c r="N189" t="s">
        <v>344</v>
      </c>
      <c r="O189">
        <f t="shared" si="12"/>
        <v>186</v>
      </c>
      <c r="P189" s="179" t="s">
        <v>296</v>
      </c>
      <c r="Q189" s="179">
        <v>340</v>
      </c>
      <c r="R189" s="129" t="s">
        <v>203</v>
      </c>
      <c r="S189" s="184">
        <v>300</v>
      </c>
      <c r="T189" s="184">
        <v>300</v>
      </c>
      <c r="X189" s="132">
        <v>101</v>
      </c>
      <c r="Y189" s="139">
        <v>79.3</v>
      </c>
      <c r="Z189" s="132">
        <v>14302</v>
      </c>
      <c r="AA189" s="132">
        <v>949</v>
      </c>
      <c r="AC189" s="132">
        <v>11.9</v>
      </c>
      <c r="AD189" s="132">
        <v>14302</v>
      </c>
      <c r="AE189" s="132">
        <v>949</v>
      </c>
      <c r="AF189" s="132">
        <v>11.9</v>
      </c>
      <c r="AG189" s="174"/>
      <c r="AH189" s="174">
        <f t="shared" si="11"/>
        <v>0.25210084033613445</v>
      </c>
      <c r="AI189" s="174"/>
      <c r="AJ189" s="186"/>
      <c r="AK189" s="174">
        <f>(($AK$2+Y189*Лист1!$B$7^2*Лист1!$G$8/100)/(AA189/10^6)+$AK$3/(AE189/10^6))/1000/($Q189*IF(Лист1!$J$19="да",1/1.05,1))</f>
        <v>3.1696758461972854E-2</v>
      </c>
      <c r="AL189" s="24"/>
      <c r="AM189" s="186"/>
      <c r="AN189" s="174">
        <f>(($AK$2+Y189*Лист1!$B$7^2*Лист1!$G$8/100)/(AA189/10^6)+$AK$3/(AE189/10^6))/1000/($Q189*IF(Лист1!$J$19="да",1/1.05,1))</f>
        <v>3.1696758461972854E-2</v>
      </c>
      <c r="AO189" s="24"/>
      <c r="AP189" s="186"/>
      <c r="AQ189" s="174">
        <f>MAX((5/384*($AQ$2+$Y189/100)*$D$17^4/(2.06*10^8*$Z189/10^8))/($D$17/300)*INDEX(Лист1!$L$34:$L$38,MATCH(Лист1!$B$8,Лист1!$I$34:$I$38,0),1),(5/384*($AQ$3)*$D$17^4/(2.06*10^8*$AD189/10^8))/($D$17/200))</f>
        <v>3.7315924651722288E-2</v>
      </c>
      <c r="AR189" s="174"/>
      <c r="AS189" s="175"/>
      <c r="AT189" s="174">
        <f>MAX((5/384*($AT$2+$Y189/100)*$D$17^4/(2.06*10^8*$Z189/10^8))/($D$17/300)*INDEX(Лист1!$L$34:$L$38,MATCH(Лист1!$B$8,Лист1!$I$34:$I$38,0),1),(5/384*($AT$3)*$D$17^4/(2.06*10^8*$AD189/10^8))/($D$17/200))</f>
        <v>2.5287767818473344E-2</v>
      </c>
      <c r="AU189" s="174"/>
      <c r="AV189" s="174">
        <f>IF(OR(MAX(AH189,AQ189)&gt;1,AK189&gt;Лист1!$B$20,N189="-"),999999999,Y189*Лист1!$B$7+0.0001*O189)</f>
        <v>999999999</v>
      </c>
      <c r="AW189" s="174"/>
      <c r="AX189" s="174">
        <f>IF(OR(MAX(AH189,AT189)&gt;1,AN189&gt;Лист1!$B$20,N189="-"),999999999,Y189*Лист1!$B$7+0.0001*O189)</f>
        <v>999999999</v>
      </c>
    </row>
    <row r="190" spans="14:50" ht="16.5" thickBot="1" x14ac:dyDescent="0.3">
      <c r="O190">
        <f t="shared" si="12"/>
        <v>187</v>
      </c>
      <c r="P190" s="179" t="s">
        <v>296</v>
      </c>
      <c r="Q190" s="179">
        <v>340</v>
      </c>
      <c r="R190" s="129" t="s">
        <v>204</v>
      </c>
      <c r="S190" s="184">
        <v>300</v>
      </c>
      <c r="T190" s="184">
        <v>300</v>
      </c>
      <c r="X190" s="132">
        <v>113</v>
      </c>
      <c r="Y190" s="139">
        <v>89</v>
      </c>
      <c r="Z190" s="132">
        <v>15712</v>
      </c>
      <c r="AA190" s="132">
        <v>1047</v>
      </c>
      <c r="AC190" s="132">
        <v>11.79</v>
      </c>
      <c r="AD190" s="132">
        <v>15712</v>
      </c>
      <c r="AE190" s="132">
        <v>1047</v>
      </c>
      <c r="AF190" s="132">
        <v>11.79</v>
      </c>
      <c r="AG190" s="174"/>
      <c r="AH190" s="174">
        <f t="shared" si="11"/>
        <v>0.25445292620865145</v>
      </c>
      <c r="AI190" s="174"/>
      <c r="AJ190" s="186"/>
      <c r="AK190" s="174">
        <f>(($AK$2+Y190*Лист1!$B$7^2*Лист1!$G$8/100)/(AA190/10^6)+$AK$3/(AE190/10^6))/1000/($Q190*IF(Лист1!$J$19="да",1/1.05,1))</f>
        <v>2.9956110133547278E-2</v>
      </c>
      <c r="AL190" s="24"/>
      <c r="AM190" s="186"/>
      <c r="AN190" s="174">
        <f>(($AK$2+Y190*Лист1!$B$7^2*Лист1!$G$8/100)/(AA190/10^6)+$AK$3/(AE190/10^6))/1000/($Q190*IF(Лист1!$J$19="да",1/1.05,1))</f>
        <v>2.9956110133547278E-2</v>
      </c>
      <c r="AO190" s="24"/>
      <c r="AP190" s="186"/>
      <c r="AQ190" s="174">
        <f>MAX((5/384*($AQ$2+$Y190/100)*$D$17^4/(2.06*10^8*$Z190/10^8))/($D$17/300)*INDEX(Лист1!$L$34:$L$38,MATCH(Лист1!$B$8,Лист1!$I$34:$I$38,0),1),(5/384*($AQ$3)*$D$17^4/(2.06*10^8*$AD190/10^8))/($D$17/200))</f>
        <v>3.6495820398236213E-2</v>
      </c>
      <c r="AR190" s="174"/>
      <c r="AS190" s="175"/>
      <c r="AT190" s="174">
        <f>MAX((5/384*($AT$2+$Y190/100)*$D$17^4/(2.06*10^8*$Z190/10^8))/($D$17/300)*INDEX(Лист1!$L$34:$L$38,MATCH(Лист1!$B$8,Лист1!$I$34:$I$38,0),1),(5/384*($AT$3)*$D$17^4/(2.06*10^8*$AD190/10^8))/($D$17/200))</f>
        <v>2.5547074278765347E-2</v>
      </c>
      <c r="AU190" s="174"/>
      <c r="AV190" s="174">
        <f>IF(OR(MAX(AH190,AQ190)&gt;1,AK190&gt;Лист1!$B$20,N190="-"),999999999,Y190*Лист1!$B$7+0.0001*O190)</f>
        <v>534.01869999999997</v>
      </c>
      <c r="AW190" s="174"/>
      <c r="AX190" s="174">
        <f>IF(OR(MAX(AH190,AT190)&gt;1,AN190&gt;Лист1!$B$20,N190="-"),999999999,Y190*Лист1!$B$7+0.0001*O190)</f>
        <v>534.01869999999997</v>
      </c>
    </row>
    <row r="191" spans="14:50" ht="16.5" thickBot="1" x14ac:dyDescent="0.3">
      <c r="N191" t="s">
        <v>344</v>
      </c>
      <c r="O191">
        <f t="shared" si="12"/>
        <v>188</v>
      </c>
      <c r="P191" s="179" t="s">
        <v>296</v>
      </c>
      <c r="Q191" s="179">
        <v>340</v>
      </c>
      <c r="R191" s="129" t="s">
        <v>205</v>
      </c>
      <c r="S191" s="184">
        <v>300</v>
      </c>
      <c r="T191" s="184">
        <v>300</v>
      </c>
      <c r="X191" s="132">
        <v>124</v>
      </c>
      <c r="Y191" s="139">
        <v>97.3</v>
      </c>
      <c r="Z191" s="132">
        <v>17080</v>
      </c>
      <c r="AA191" s="132">
        <v>1139</v>
      </c>
      <c r="AC191" s="132">
        <v>11.74</v>
      </c>
      <c r="AD191" s="132">
        <v>17080</v>
      </c>
      <c r="AE191" s="132">
        <v>1139</v>
      </c>
      <c r="AF191" s="132">
        <v>11.74</v>
      </c>
      <c r="AG191" s="174"/>
      <c r="AH191" s="174">
        <f t="shared" si="11"/>
        <v>0.25553662691652468</v>
      </c>
      <c r="AI191" s="174"/>
      <c r="AJ191" s="186"/>
      <c r="AK191" s="174">
        <f>(($AK$2+Y191*Лист1!$B$7^2*Лист1!$G$8/100)/(AA191/10^6)+$AK$3/(AE191/10^6))/1000/($Q191*IF(Лист1!$J$19="да",1/1.05,1))</f>
        <v>2.8500945321851365E-2</v>
      </c>
      <c r="AL191" s="24"/>
      <c r="AM191" s="186"/>
      <c r="AN191" s="174">
        <f>(($AK$2+Y191*Лист1!$B$7^2*Лист1!$G$8/100)/(AA191/10^6)+$AK$3/(AE191/10^6))/1000/($Q191*IF(Лист1!$J$19="да",1/1.05,1))</f>
        <v>2.8500945321851365E-2</v>
      </c>
      <c r="AO191" s="24"/>
      <c r="AP191" s="186"/>
      <c r="AQ191" s="174">
        <f>MAX((5/384*($AQ$2+$Y191/100)*$D$17^4/(2.06*10^8*$Z191/10^8))/($D$17/300)*INDEX(Лист1!$L$34:$L$38,MATCH(Лист1!$B$8,Лист1!$I$34:$I$38,0),1),(5/384*($AQ$3)*$D$17^4/(2.06*10^8*$AD191/10^8))/($D$17/200))</f>
        <v>3.5563119585730205E-2</v>
      </c>
      <c r="AR191" s="174"/>
      <c r="AS191" s="175"/>
      <c r="AT191" s="174">
        <f>MAX((5/384*($AT$2+$Y191/100)*$D$17^4/(2.06*10^8*$Z191/10^8))/($D$17/300)*INDEX(Лист1!$L$34:$L$38,MATCH(Лист1!$B$8,Лист1!$I$34:$I$38,0),1),(5/384*($AT$3)*$D$17^4/(2.06*10^8*$AD191/10^8))/($D$17/200))</f>
        <v>2.5491298799481595E-2</v>
      </c>
      <c r="AU191" s="174"/>
      <c r="AV191" s="174">
        <f>IF(OR(MAX(AH191,AQ191)&gt;1,AK191&gt;Лист1!$B$20,N191="-"),999999999,Y191*Лист1!$B$7+0.0001*O191)</f>
        <v>999999999</v>
      </c>
      <c r="AW191" s="174"/>
      <c r="AX191" s="174">
        <f>IF(OR(MAX(AH191,AT191)&gt;1,AN191&gt;Лист1!$B$20,N191="-"),999999999,Y191*Лист1!$B$7+0.0001*O191)</f>
        <v>999999999</v>
      </c>
    </row>
    <row r="192" spans="14:50" ht="16.5" thickBot="1" x14ac:dyDescent="0.3">
      <c r="O192">
        <f t="shared" si="12"/>
        <v>189</v>
      </c>
      <c r="P192" s="179" t="s">
        <v>296</v>
      </c>
      <c r="Q192" s="179">
        <v>340</v>
      </c>
      <c r="R192" s="129" t="s">
        <v>206</v>
      </c>
      <c r="S192" s="184">
        <v>300</v>
      </c>
      <c r="T192" s="184">
        <v>300</v>
      </c>
      <c r="X192" s="132">
        <v>135</v>
      </c>
      <c r="Y192" s="139">
        <v>106</v>
      </c>
      <c r="Z192" s="132">
        <v>18330</v>
      </c>
      <c r="AA192" s="132">
        <v>1222</v>
      </c>
      <c r="AC192" s="132">
        <v>11.65</v>
      </c>
      <c r="AD192" s="132">
        <v>18330</v>
      </c>
      <c r="AE192" s="132">
        <v>1222</v>
      </c>
      <c r="AF192" s="132">
        <v>11.65</v>
      </c>
      <c r="AG192" s="174"/>
      <c r="AH192" s="174">
        <f t="shared" si="11"/>
        <v>0.25751072961373389</v>
      </c>
      <c r="AI192" s="174"/>
      <c r="AJ192" s="186"/>
      <c r="AK192" s="174">
        <f>(($AK$2+Y192*Лист1!$B$7^2*Лист1!$G$8/100)/(AA192/10^6)+$AK$3/(AE192/10^6))/1000/($Q192*IF(Лист1!$J$19="да",1/1.05,1))</f>
        <v>2.7507403690527003E-2</v>
      </c>
      <c r="AL192" s="24"/>
      <c r="AM192" s="186"/>
      <c r="AN192" s="174">
        <f>(($AK$2+Y192*Лист1!$B$7^2*Лист1!$G$8/100)/(AA192/10^6)+$AK$3/(AE192/10^6))/1000/($Q192*IF(Лист1!$J$19="да",1/1.05,1))</f>
        <v>2.7507403690527003E-2</v>
      </c>
      <c r="AO192" s="24"/>
      <c r="AP192" s="186"/>
      <c r="AQ192" s="174">
        <f>MAX((5/384*($AQ$2+$Y192/100)*$D$17^4/(2.06*10^8*$Z192/10^8))/($D$17/300)*INDEX(Лист1!$L$34:$L$38,MATCH(Лист1!$B$8,Лист1!$I$34:$I$38,0),1),(5/384*($AQ$3)*$D$17^4/(2.06*10^8*$AD192/10^8))/($D$17/200))</f>
        <v>3.5081952234916496E-2</v>
      </c>
      <c r="AR192" s="174"/>
      <c r="AS192" s="175"/>
      <c r="AT192" s="174">
        <f>MAX((5/384*($AT$2+$Y192/100)*$D$17^4/(2.06*10^8*$Z192/10^8))/($D$17/300)*INDEX(Лист1!$L$34:$L$38,MATCH(Лист1!$B$8,Лист1!$I$34:$I$38,0),1),(5/384*($AT$3)*$D$17^4/(2.06*10^8*$AD192/10^8))/($D$17/200))</f>
        <v>2.5696971382263682E-2</v>
      </c>
      <c r="AU192" s="174"/>
      <c r="AV192" s="174">
        <f>IF(OR(MAX(AH192,AQ192)&gt;1,AK192&gt;Лист1!$B$20,N192="-"),999999999,Y192*Лист1!$B$7+0.0001*O192)</f>
        <v>636.01890000000003</v>
      </c>
      <c r="AW192" s="174"/>
      <c r="AX192" s="174">
        <f>IF(OR(MAX(AH192,AT192)&gt;1,AN192&gt;Лист1!$B$20,N192="-"),999999999,Y192*Лист1!$B$7+0.0001*O192)</f>
        <v>636.01890000000003</v>
      </c>
    </row>
    <row r="193" spans="14:50" ht="16.5" thickBot="1" x14ac:dyDescent="0.3">
      <c r="N193" t="s">
        <v>344</v>
      </c>
      <c r="O193">
        <f t="shared" si="12"/>
        <v>190</v>
      </c>
      <c r="P193" s="179" t="s">
        <v>296</v>
      </c>
      <c r="Q193" s="179">
        <v>340</v>
      </c>
      <c r="R193" s="129" t="s">
        <v>207</v>
      </c>
      <c r="S193" s="184">
        <v>300</v>
      </c>
      <c r="T193" s="184">
        <v>300</v>
      </c>
      <c r="X193" s="132">
        <v>145</v>
      </c>
      <c r="Y193" s="139">
        <v>113.8</v>
      </c>
      <c r="Z193" s="132">
        <v>19580</v>
      </c>
      <c r="AA193" s="132">
        <v>1309</v>
      </c>
      <c r="AC193" s="132">
        <v>11.62</v>
      </c>
      <c r="AD193" s="132">
        <v>19580</v>
      </c>
      <c r="AE193" s="132">
        <v>1309</v>
      </c>
      <c r="AF193" s="132">
        <v>11.62</v>
      </c>
      <c r="AG193" s="174"/>
      <c r="AH193" s="174">
        <f t="shared" si="11"/>
        <v>0.25817555938037867</v>
      </c>
      <c r="AI193" s="174"/>
      <c r="AJ193" s="186"/>
      <c r="AK193" s="174">
        <f>(($AK$2+Y193*Лист1!$B$7^2*Лист1!$G$8/100)/(AA193/10^6)+$AK$3/(AE193/10^6))/1000/($Q193*IF(Лист1!$J$19="да",1/1.05,1))</f>
        <v>2.646783823605842E-2</v>
      </c>
      <c r="AL193" s="24"/>
      <c r="AM193" s="186"/>
      <c r="AN193" s="174">
        <f>(($AK$2+Y193*Лист1!$B$7^2*Лист1!$G$8/100)/(AA193/10^6)+$AK$3/(AE193/10^6))/1000/($Q193*IF(Лист1!$J$19="да",1/1.05,1))</f>
        <v>2.646783823605842E-2</v>
      </c>
      <c r="AO193" s="24"/>
      <c r="AP193" s="186"/>
      <c r="AQ193" s="174">
        <f>MAX((5/384*($AQ$2+$Y193/100)*$D$17^4/(2.06*10^8*$Z193/10^8))/($D$17/300)*INDEX(Лист1!$L$34:$L$38,MATCH(Лист1!$B$8,Лист1!$I$34:$I$38,0),1),(5/384*($AQ$3)*$D$17^4/(2.06*10^8*$AD193/10^8))/($D$17/200))</f>
        <v>3.4473953013278852E-2</v>
      </c>
      <c r="AR193" s="174"/>
      <c r="AS193" s="175"/>
      <c r="AT193" s="174">
        <f>MAX((5/384*($AT$2+$Y193/100)*$D$17^4/(2.06*10^8*$Z193/10^8))/($D$17/300)*INDEX(Лист1!$L$34:$L$38,MATCH(Лист1!$B$8,Лист1!$I$34:$I$38,0),1),(5/384*($AT$3)*$D$17^4/(2.06*10^8*$AD193/10^8))/($D$17/200))</f>
        <v>2.5688115473486914E-2</v>
      </c>
      <c r="AU193" s="174"/>
      <c r="AV193" s="174">
        <f>IF(OR(MAX(AH193,AQ193)&gt;1,AK193&gt;Лист1!$B$20,N193="-"),999999999,Y193*Лист1!$B$7+0.0001*O193)</f>
        <v>999999999</v>
      </c>
      <c r="AW193" s="174"/>
      <c r="AX193" s="174">
        <f>IF(OR(MAX(AH193,AT193)&gt;1,AN193&gt;Лист1!$B$20,N193="-"),999999999,Y193*Лист1!$B$7+0.0001*O193)</f>
        <v>999999999</v>
      </c>
    </row>
    <row r="194" spans="14:50" ht="16.5" thickBot="1" x14ac:dyDescent="0.3">
      <c r="N194" t="s">
        <v>344</v>
      </c>
      <c r="O194">
        <f t="shared" si="12"/>
        <v>191</v>
      </c>
      <c r="P194" s="179" t="s">
        <v>296</v>
      </c>
      <c r="Q194" s="179">
        <v>340</v>
      </c>
      <c r="R194" s="129" t="s">
        <v>208</v>
      </c>
      <c r="S194" s="184">
        <v>300</v>
      </c>
      <c r="T194" s="184">
        <v>300</v>
      </c>
      <c r="X194" s="134">
        <v>155</v>
      </c>
      <c r="Y194" s="140">
        <v>122</v>
      </c>
      <c r="Z194" s="134">
        <v>20784</v>
      </c>
      <c r="AA194" s="134">
        <v>1386</v>
      </c>
      <c r="AC194" s="134">
        <v>11.58</v>
      </c>
      <c r="AD194" s="134">
        <v>20784</v>
      </c>
      <c r="AE194" s="134">
        <v>1386</v>
      </c>
      <c r="AF194" s="134">
        <v>11.58</v>
      </c>
      <c r="AG194" s="174"/>
      <c r="AH194" s="174">
        <f t="shared" si="11"/>
        <v>0.25906735751295334</v>
      </c>
      <c r="AI194" s="174"/>
      <c r="AJ194" s="186"/>
      <c r="AK194" s="174">
        <f>(($AK$2+Y194*Лист1!$B$7^2*Лист1!$G$8/100)/(AA194/10^6)+$AK$3/(AE194/10^6))/1000/($Q194*IF(Лист1!$J$19="да",1/1.05,1))</f>
        <v>2.5780443267422459E-2</v>
      </c>
      <c r="AL194" s="24"/>
      <c r="AM194" s="186"/>
      <c r="AN194" s="174">
        <f>(($AK$2+Y194*Лист1!$B$7^2*Лист1!$G$8/100)/(AA194/10^6)+$AK$3/(AE194/10^6))/1000/($Q194*IF(Лист1!$J$19="да",1/1.05,1))</f>
        <v>2.5780443267422459E-2</v>
      </c>
      <c r="AO194" s="24"/>
      <c r="AP194" s="186"/>
      <c r="AQ194" s="174">
        <f>MAX((5/384*($AQ$2+$Y194/100)*$D$17^4/(2.06*10^8*$Z194/10^8))/($D$17/300)*INDEX(Лист1!$L$34:$L$38,MATCH(Лист1!$B$8,Лист1!$I$34:$I$38,0),1),(5/384*($AQ$3)*$D$17^4/(2.06*10^8*$AD194/10^8))/($D$17/200))</f>
        <v>3.4092867833359491E-2</v>
      </c>
      <c r="AR194" s="174"/>
      <c r="AS194" s="175"/>
      <c r="AT194" s="174">
        <f>MAX((5/384*($AT$2+$Y194/100)*$D$17^4/(2.06*10^8*$Z194/10^8))/($D$17/300)*INDEX(Лист1!$L$34:$L$38,MATCH(Лист1!$B$8,Лист1!$I$34:$I$38,0),1),(5/384*($AT$3)*$D$17^4/(2.06*10^8*$AD194/10^8))/($D$17/200))</f>
        <v>2.5815986625260658E-2</v>
      </c>
      <c r="AU194" s="174"/>
      <c r="AV194" s="174">
        <f>IF(OR(MAX(AH194,AQ194)&gt;1,AK194&gt;Лист1!$B$20,N194="-"),999999999,Y194*Лист1!$B$7+0.0001*O194)</f>
        <v>999999999</v>
      </c>
      <c r="AW194" s="174"/>
      <c r="AX194" s="174">
        <f>IF(OR(MAX(AH194,AT194)&gt;1,AN194&gt;Лист1!$B$20,N194="-"),999999999,Y194*Лист1!$B$7+0.0001*O194)</f>
        <v>999999999</v>
      </c>
    </row>
    <row r="195" spans="14:50" ht="15.75" x14ac:dyDescent="0.25">
      <c r="O195">
        <f t="shared" si="12"/>
        <v>192</v>
      </c>
      <c r="P195" s="179" t="s">
        <v>296</v>
      </c>
      <c r="Q195" s="179">
        <v>340</v>
      </c>
      <c r="R195" s="141" t="s">
        <v>209</v>
      </c>
      <c r="S195" s="142">
        <v>60</v>
      </c>
      <c r="T195" s="142">
        <v>60</v>
      </c>
      <c r="X195" s="142">
        <v>3.8</v>
      </c>
      <c r="Y195" s="143">
        <v>3</v>
      </c>
      <c r="Z195" s="144">
        <v>18.8</v>
      </c>
      <c r="AA195" s="145">
        <v>6.2</v>
      </c>
      <c r="AC195" s="146">
        <v>2.23</v>
      </c>
      <c r="AD195" s="147">
        <v>10</v>
      </c>
      <c r="AE195" s="145">
        <v>5</v>
      </c>
      <c r="AF195" s="143">
        <v>1.63</v>
      </c>
      <c r="AG195" s="174"/>
      <c r="AH195" s="174">
        <f t="shared" si="11"/>
        <v>1.8404907975460125</v>
      </c>
      <c r="AI195" s="174"/>
      <c r="AJ195" s="186"/>
      <c r="AK195" s="174">
        <f>(($AK$2+Y195*Лист1!$B$7^2*Лист1!$G$8/100)/(AA195/10^6)+$AK$3/(AE195/10^6))/1000/($Q195*IF(Лист1!$J$19="да",1/1.05,1))</f>
        <v>3.7166045283784621</v>
      </c>
      <c r="AL195" s="24"/>
      <c r="AM195" s="186"/>
      <c r="AN195" s="174">
        <f>(($AK$2+Y195*Лист1!$B$7^2*Лист1!$G$8/100)/(AA195/10^6)+$AK$3/(AE195/10^6))/1000/($Q195*IF(Лист1!$J$19="да",1/1.05,1))</f>
        <v>3.7166045283784621</v>
      </c>
      <c r="AO195" s="24"/>
      <c r="AP195" s="186"/>
      <c r="AQ195" s="174">
        <f>MAX((5/384*($AQ$2+$Y195/100)*$D$17^4/(2.06*10^8*$Z195/10^8))/($D$17/300)*INDEX(Лист1!$L$34:$L$38,MATCH(Лист1!$B$8,Лист1!$I$34:$I$38,0),1),(5/384*($AQ$3)*$D$17^4/(2.06*10^8*$AD195/10^8))/($D$17/200))</f>
        <v>26.315388867355345</v>
      </c>
      <c r="AR195" s="174"/>
      <c r="AS195" s="175"/>
      <c r="AT195" s="174">
        <f>MAX((5/384*($AT$2+$Y195/100)*$D$17^4/(2.06*10^8*$Z195/10^8))/($D$17/300)*INDEX(Лист1!$L$34:$L$38,MATCH(Лист1!$B$8,Лист1!$I$34:$I$38,0),1),(5/384*($AT$3)*$D$17^4/(2.06*10^8*$AD195/10^8))/($D$17/200))</f>
        <v>15.663921944854375</v>
      </c>
      <c r="AU195" s="174"/>
      <c r="AV195" s="174">
        <f>IF(OR(MAX(AH195,AQ195)&gt;1,AK195&gt;Лист1!$B$20,N195="-"),999999999,Y195*Лист1!$B$7+0.0001*O195)</f>
        <v>999999999</v>
      </c>
      <c r="AW195" s="174"/>
      <c r="AX195" s="174">
        <f>IF(OR(MAX(AH195,AT195)&gt;1,AN195&gt;Лист1!$B$20,N195="-"),999999999,Y195*Лист1!$B$7+0.0001*O195)</f>
        <v>999999999</v>
      </c>
    </row>
    <row r="196" spans="14:50" ht="15.75" x14ac:dyDescent="0.25">
      <c r="N196" t="s">
        <v>344</v>
      </c>
      <c r="O196">
        <f t="shared" si="12"/>
        <v>193</v>
      </c>
      <c r="P196" s="179" t="s">
        <v>296</v>
      </c>
      <c r="Q196" s="179">
        <v>340</v>
      </c>
      <c r="R196" s="141" t="s">
        <v>210</v>
      </c>
      <c r="S196" s="142">
        <v>60</v>
      </c>
      <c r="T196" s="142">
        <v>60</v>
      </c>
      <c r="X196" s="148">
        <v>4.7</v>
      </c>
      <c r="Y196" s="149">
        <v>3.6</v>
      </c>
      <c r="Z196" s="149">
        <v>22.4</v>
      </c>
      <c r="AA196" s="150">
        <v>7.4</v>
      </c>
      <c r="AC196" s="151">
        <v>2.2000000000000002</v>
      </c>
      <c r="AD196" s="152">
        <v>11.8</v>
      </c>
      <c r="AE196" s="150">
        <v>5.9</v>
      </c>
      <c r="AF196" s="153">
        <v>1.6</v>
      </c>
      <c r="AG196" s="174"/>
      <c r="AH196" s="174">
        <f t="shared" si="11"/>
        <v>1.875</v>
      </c>
      <c r="AI196" s="174"/>
      <c r="AJ196" s="186"/>
      <c r="AK196" s="174">
        <f>(($AK$2+Y196*Лист1!$B$7^2*Лист1!$G$8/100)/(AA196/10^6)+$AK$3/(AE196/10^6))/1000/($Q196*IF(Лист1!$J$19="да",1/1.05,1))</f>
        <v>3.1491837347091951</v>
      </c>
      <c r="AL196" s="24"/>
      <c r="AM196" s="186"/>
      <c r="AN196" s="174">
        <f>(($AK$2+Y196*Лист1!$B$7^2*Лист1!$G$8/100)/(AA196/10^6)+$AK$3/(AE196/10^6))/1000/($Q196*IF(Лист1!$J$19="да",1/1.05,1))</f>
        <v>3.1491837347091951</v>
      </c>
      <c r="AO196" s="24"/>
      <c r="AP196" s="186"/>
      <c r="AQ196" s="174">
        <f>MAX((5/384*($AQ$2+$Y196/100)*$D$17^4/(2.06*10^8*$Z196/10^8))/($D$17/300)*INDEX(Лист1!$L$34:$L$38,MATCH(Лист1!$B$8,Лист1!$I$34:$I$38,0),1),(5/384*($AQ$3)*$D$17^4/(2.06*10^8*$AD196/10^8))/($D$17/200))</f>
        <v>22.301177006233345</v>
      </c>
      <c r="AR196" s="174"/>
      <c r="AS196" s="175"/>
      <c r="AT196" s="174">
        <f>MAX((5/384*($AT$2+$Y196/100)*$D$17^4/(2.06*10^8*$Z196/10^8))/($D$17/300)*INDEX(Лист1!$L$34:$L$38,MATCH(Лист1!$B$8,Лист1!$I$34:$I$38,0),1),(5/384*($AT$3)*$D$17^4/(2.06*10^8*$AD196/10^8))/($D$17/200))</f>
        <v>13.274510122757944</v>
      </c>
      <c r="AU196" s="174"/>
      <c r="AV196" s="174">
        <f>IF(OR(MAX(AH196,AQ196)&gt;1,AK196&gt;Лист1!$B$20,N196="-"),999999999,Y196*Лист1!$B$7+0.0001*O196)</f>
        <v>999999999</v>
      </c>
      <c r="AW196" s="174"/>
      <c r="AX196" s="174">
        <f>IF(OR(MAX(AH196,AT196)&gt;1,AN196&gt;Лист1!$B$20,N196="-"),999999999,Y196*Лист1!$B$7+0.0001*O196)</f>
        <v>999999999</v>
      </c>
    </row>
    <row r="197" spans="14:50" ht="15.75" x14ac:dyDescent="0.25">
      <c r="O197">
        <f t="shared" si="12"/>
        <v>194</v>
      </c>
      <c r="P197" s="179" t="s">
        <v>296</v>
      </c>
      <c r="Q197" s="179">
        <v>340</v>
      </c>
      <c r="R197" s="141" t="s">
        <v>211</v>
      </c>
      <c r="S197" s="142">
        <v>60</v>
      </c>
      <c r="T197" s="142">
        <v>60</v>
      </c>
      <c r="X197" s="148">
        <v>5.5</v>
      </c>
      <c r="Y197" s="149">
        <v>4.3</v>
      </c>
      <c r="Z197" s="149">
        <v>26</v>
      </c>
      <c r="AA197" s="150">
        <v>8.6</v>
      </c>
      <c r="AC197" s="151">
        <v>2.1800000000000002</v>
      </c>
      <c r="AD197" s="152">
        <v>13.7</v>
      </c>
      <c r="AE197" s="150">
        <v>6.8</v>
      </c>
      <c r="AF197" s="153">
        <v>1.58</v>
      </c>
      <c r="AG197" s="174"/>
      <c r="AH197" s="174">
        <f t="shared" ref="AH197:AH260" si="13">MAX($D$18*100/$AC197,$D$17*100/$AF197)/200</f>
        <v>1.89873417721519</v>
      </c>
      <c r="AI197" s="174"/>
      <c r="AJ197" s="186"/>
      <c r="AK197" s="174">
        <f>(($AK$2+Y197*Лист1!$B$7^2*Лист1!$G$8/100)/(AA197/10^6)+$AK$3/(AE197/10^6))/1000/($Q197*IF(Лист1!$J$19="да",1/1.05,1))</f>
        <v>2.7360623206488581</v>
      </c>
      <c r="AL197" s="24"/>
      <c r="AM197" s="186"/>
      <c r="AN197" s="174">
        <f>(($AK$2+Y197*Лист1!$B$7^2*Лист1!$G$8/100)/(AA197/10^6)+$AK$3/(AE197/10^6))/1000/($Q197*IF(Лист1!$J$19="да",1/1.05,1))</f>
        <v>2.7360623206488581</v>
      </c>
      <c r="AO197" s="24"/>
      <c r="AP197" s="186"/>
      <c r="AQ197" s="174">
        <f>MAX((5/384*($AQ$2+$Y197/100)*$D$17^4/(2.06*10^8*$Z197/10^8))/($D$17/300)*INDEX(Лист1!$L$34:$L$38,MATCH(Лист1!$B$8,Лист1!$I$34:$I$38,0),1),(5/384*($AQ$3)*$D$17^4/(2.06*10^8*$AD197/10^8))/($D$17/200))</f>
        <v>19.208313041865214</v>
      </c>
      <c r="AR197" s="174"/>
      <c r="AS197" s="175"/>
      <c r="AT197" s="174">
        <f>MAX((5/384*($AT$2+$Y197/100)*$D$17^4/(2.06*10^8*$Z197/10^8))/($D$17/300)*INDEX(Лист1!$L$34:$L$38,MATCH(Лист1!$B$8,Лист1!$I$34:$I$38,0),1),(5/384*($AT$3)*$D$17^4/(2.06*10^8*$AD197/10^8))/($D$17/200))</f>
        <v>11.433519667776915</v>
      </c>
      <c r="AU197" s="174"/>
      <c r="AV197" s="174">
        <f>IF(OR(MAX(AH197,AQ197)&gt;1,AK197&gt;Лист1!$B$20,N197="-"),999999999,Y197*Лист1!$B$7+0.0001*O197)</f>
        <v>999999999</v>
      </c>
      <c r="AW197" s="174"/>
      <c r="AX197" s="174">
        <f>IF(OR(MAX(AH197,AT197)&gt;1,AN197&gt;Лист1!$B$20,N197="-"),999999999,Y197*Лист1!$B$7+0.0001*O197)</f>
        <v>999999999</v>
      </c>
    </row>
    <row r="198" spans="14:50" ht="15.75" x14ac:dyDescent="0.25">
      <c r="O198">
        <f t="shared" si="12"/>
        <v>195</v>
      </c>
      <c r="P198" s="179" t="s">
        <v>296</v>
      </c>
      <c r="Q198" s="179">
        <v>340</v>
      </c>
      <c r="R198" s="141" t="s">
        <v>212</v>
      </c>
      <c r="S198" s="142">
        <v>60</v>
      </c>
      <c r="T198" s="142">
        <v>60</v>
      </c>
      <c r="X198" s="148">
        <v>7.1</v>
      </c>
      <c r="Y198" s="149">
        <v>5.5</v>
      </c>
      <c r="Z198" s="149">
        <v>32.200000000000003</v>
      </c>
      <c r="AA198" s="150">
        <v>10.7</v>
      </c>
      <c r="AC198" s="151">
        <v>2.13</v>
      </c>
      <c r="AD198" s="152">
        <v>16.7</v>
      </c>
      <c r="AE198" s="150">
        <v>8.3000000000000007</v>
      </c>
      <c r="AF198" s="153">
        <v>1.54</v>
      </c>
      <c r="AG198" s="174"/>
      <c r="AH198" s="174">
        <f t="shared" si="13"/>
        <v>1.9480519480519478</v>
      </c>
      <c r="AI198" s="174"/>
      <c r="AJ198" s="186"/>
      <c r="AK198" s="174">
        <f>(($AK$2+Y198*Лист1!$B$7^2*Лист1!$G$8/100)/(AA198/10^6)+$AK$3/(AE198/10^6))/1000/($Q198*IF(Лист1!$J$19="да",1/1.05,1))</f>
        <v>2.2430686168469274</v>
      </c>
      <c r="AL198" s="24"/>
      <c r="AM198" s="186"/>
      <c r="AN198" s="174">
        <f>(($AK$2+Y198*Лист1!$B$7^2*Лист1!$G$8/100)/(AA198/10^6)+$AK$3/(AE198/10^6))/1000/($Q198*IF(Лист1!$J$19="да",1/1.05,1))</f>
        <v>2.2430686168469274</v>
      </c>
      <c r="AO198" s="24"/>
      <c r="AP198" s="186"/>
      <c r="AQ198" s="174">
        <f>MAX((5/384*($AQ$2+$Y198/100)*$D$17^4/(2.06*10^8*$Z198/10^8))/($D$17/300)*INDEX(Лист1!$L$34:$L$38,MATCH(Лист1!$B$8,Лист1!$I$34:$I$38,0),1),(5/384*($AQ$3)*$D$17^4/(2.06*10^8*$AD198/10^8))/($D$17/200))</f>
        <v>15.75771788464392</v>
      </c>
      <c r="AR198" s="174"/>
      <c r="AS198" s="175"/>
      <c r="AT198" s="174">
        <f>MAX((5/384*($AT$2+$Y198/100)*$D$17^4/(2.06*10^8*$Z198/10^8))/($D$17/300)*INDEX(Лист1!$L$34:$L$38,MATCH(Лист1!$B$8,Лист1!$I$34:$I$38,0),1),(5/384*($AT$3)*$D$17^4/(2.06*10^8*$AD198/10^8))/($D$17/200))</f>
        <v>9.3795939789547145</v>
      </c>
      <c r="AU198" s="174"/>
      <c r="AV198" s="174">
        <f>IF(OR(MAX(AH198,AQ198)&gt;1,AK198&gt;Лист1!$B$20,N198="-"),999999999,Y198*Лист1!$B$7+0.0001*O198)</f>
        <v>999999999</v>
      </c>
      <c r="AW198" s="174"/>
      <c r="AX198" s="174">
        <f>IF(OR(MAX(AH198,AT198)&gt;1,AN198&gt;Лист1!$B$20,N198="-"),999999999,Y198*Лист1!$B$7+0.0001*O198)</f>
        <v>999999999</v>
      </c>
    </row>
    <row r="199" spans="14:50" ht="16.5" thickBot="1" x14ac:dyDescent="0.3">
      <c r="O199">
        <f t="shared" si="12"/>
        <v>196</v>
      </c>
      <c r="P199" s="179" t="s">
        <v>296</v>
      </c>
      <c r="Q199" s="179">
        <v>340</v>
      </c>
      <c r="R199" s="141" t="s">
        <v>213</v>
      </c>
      <c r="S199" s="142">
        <v>60</v>
      </c>
      <c r="T199" s="142">
        <v>60</v>
      </c>
      <c r="X199" s="148">
        <v>8.6</v>
      </c>
      <c r="Y199" s="149">
        <v>6.7</v>
      </c>
      <c r="Z199" s="149">
        <v>37.1</v>
      </c>
      <c r="AA199" s="150">
        <v>12.3</v>
      </c>
      <c r="AC199" s="151">
        <v>2.08</v>
      </c>
      <c r="AD199" s="152">
        <v>19.100000000000001</v>
      </c>
      <c r="AE199" s="150">
        <v>9.5</v>
      </c>
      <c r="AF199" s="153">
        <v>1.49</v>
      </c>
      <c r="AG199" s="174"/>
      <c r="AH199" s="174">
        <f t="shared" si="13"/>
        <v>2.0134228187919465</v>
      </c>
      <c r="AI199" s="174"/>
      <c r="AJ199" s="186"/>
      <c r="AK199" s="174">
        <f>(($AK$2+Y199*Лист1!$B$7^2*Лист1!$G$8/100)/(AA199/10^6)+$AK$3/(AE199/10^6))/1000/($Q199*IF(Лист1!$J$19="да",1/1.05,1))</f>
        <v>1.9699865551532625</v>
      </c>
      <c r="AL199" s="24"/>
      <c r="AM199" s="186"/>
      <c r="AN199" s="174">
        <f>(($AK$2+Y199*Лист1!$B$7^2*Лист1!$G$8/100)/(AA199/10^6)+$AK$3/(AE199/10^6))/1000/($Q199*IF(Лист1!$J$19="да",1/1.05,1))</f>
        <v>1.9699865551532625</v>
      </c>
      <c r="AO199" s="24"/>
      <c r="AP199" s="186"/>
      <c r="AQ199" s="174">
        <f>MAX((5/384*($AQ$2+$Y199/100)*$D$17^4/(2.06*10^8*$Z199/10^8))/($D$17/300)*INDEX(Лист1!$L$34:$L$38,MATCH(Лист1!$B$8,Лист1!$I$34:$I$38,0),1),(5/384*($AQ$3)*$D$17^4/(2.06*10^8*$AD199/10^8))/($D$17/200))</f>
        <v>13.777690506468767</v>
      </c>
      <c r="AR199" s="174"/>
      <c r="AS199" s="175"/>
      <c r="AT199" s="174">
        <f>MAX((5/384*($AT$2+$Y199/100)*$D$17^4/(2.06*10^8*$Z199/10^8))/($D$17/300)*INDEX(Лист1!$L$34:$L$38,MATCH(Лист1!$B$8,Лист1!$I$34:$I$38,0),1),(5/384*($AT$3)*$D$17^4/(2.06*10^8*$AD199/10^8))/($D$17/200))</f>
        <v>8.2010062538504567</v>
      </c>
      <c r="AU199" s="174"/>
      <c r="AV199" s="174">
        <f>IF(OR(MAX(AH199,AQ199)&gt;1,AK199&gt;Лист1!$B$20,N199="-"),999999999,Y199*Лист1!$B$7+0.0001*O199)</f>
        <v>999999999</v>
      </c>
      <c r="AW199" s="174"/>
      <c r="AX199" s="174">
        <f>IF(OR(MAX(AH199,AT199)&gt;1,AN199&gt;Лист1!$B$20,N199="-"),999999999,Y199*Лист1!$B$7+0.0001*O199)</f>
        <v>999999999</v>
      </c>
    </row>
    <row r="200" spans="14:50" ht="16.5" thickBot="1" x14ac:dyDescent="0.3">
      <c r="O200">
        <f t="shared" si="12"/>
        <v>197</v>
      </c>
      <c r="P200" s="179" t="s">
        <v>296</v>
      </c>
      <c r="Q200" s="179">
        <v>340</v>
      </c>
      <c r="R200" s="154" t="s">
        <v>214</v>
      </c>
      <c r="S200" s="148">
        <v>100</v>
      </c>
      <c r="T200" s="148">
        <v>100</v>
      </c>
      <c r="X200" s="148">
        <v>9.1999999999999993</v>
      </c>
      <c r="Y200" s="149">
        <v>7.2</v>
      </c>
      <c r="Z200" s="149">
        <v>123.2</v>
      </c>
      <c r="AA200" s="150">
        <v>24.6</v>
      </c>
      <c r="AC200" s="151">
        <v>3.66</v>
      </c>
      <c r="AD200" s="152">
        <v>55.6</v>
      </c>
      <c r="AE200" s="150">
        <v>18.5</v>
      </c>
      <c r="AF200" s="153">
        <v>2.46</v>
      </c>
      <c r="AG200" s="174"/>
      <c r="AH200" s="174">
        <f t="shared" si="13"/>
        <v>1.2195121951219512</v>
      </c>
      <c r="AI200" s="174"/>
      <c r="AJ200" s="186"/>
      <c r="AK200" s="174">
        <f>(($AK$2+Y200*Лист1!$B$7^2*Лист1!$G$8/100)/(AA200/10^6)+$AK$3/(AE200/10^6))/1000/($Q200*IF(Лист1!$J$19="да",1/1.05,1))</f>
        <v>1.0058273663148884</v>
      </c>
      <c r="AL200" s="24"/>
      <c r="AM200" s="186"/>
      <c r="AN200" s="174">
        <f>(($AK$2+Y200*Лист1!$B$7^2*Лист1!$G$8/100)/(AA200/10^6)+$AK$3/(AE200/10^6))/1000/($Q200*IF(Лист1!$J$19="да",1/1.05,1))</f>
        <v>1.0058273663148884</v>
      </c>
      <c r="AO200" s="24"/>
      <c r="AP200" s="186"/>
      <c r="AQ200" s="174">
        <f>MAX((5/384*($AQ$2+$Y200/100)*$D$17^4/(2.06*10^8*$Z200/10^8))/($D$17/300)*INDEX(Лист1!$L$34:$L$38,MATCH(Лист1!$B$8,Лист1!$I$34:$I$38,0),1),(5/384*($AQ$3)*$D$17^4/(2.06*10^8*$AD200/10^8))/($D$17/200))</f>
        <v>4.7329836092365731</v>
      </c>
      <c r="AR200" s="174"/>
      <c r="AS200" s="175"/>
      <c r="AT200" s="174">
        <f>MAX((5/384*($AT$2+$Y200/100)*$D$17^4/(2.06*10^8*$Z200/10^8))/($D$17/300)*INDEX(Лист1!$L$34:$L$38,MATCH(Лист1!$B$8,Лист1!$I$34:$I$38,0),1),(5/384*($AT$3)*$D$17^4/(2.06*10^8*$AD200/10^8))/($D$17/200))</f>
        <v>2.8172521483551036</v>
      </c>
      <c r="AU200" s="174"/>
      <c r="AV200" s="174">
        <f>IF(OR(MAX(AH200,AQ200)&gt;1,AK200&gt;Лист1!$B$20,N200="-"),999999999,Y200*Лист1!$B$7+0.0001*O200)</f>
        <v>999999999</v>
      </c>
      <c r="AW200" s="174"/>
      <c r="AX200" s="174">
        <f>IF(OR(MAX(AH200,AT200)&gt;1,AN200&gt;Лист1!$B$20,N200="-"),999999999,Y200*Лист1!$B$7+0.0001*O200)</f>
        <v>999999999</v>
      </c>
    </row>
    <row r="201" spans="14:50" ht="16.5" thickBot="1" x14ac:dyDescent="0.3">
      <c r="O201">
        <f t="shared" si="12"/>
        <v>198</v>
      </c>
      <c r="P201" s="179" t="s">
        <v>296</v>
      </c>
      <c r="Q201" s="179">
        <v>340</v>
      </c>
      <c r="R201" s="154" t="s">
        <v>215</v>
      </c>
      <c r="S201" s="148">
        <v>100</v>
      </c>
      <c r="T201" s="148">
        <v>100</v>
      </c>
      <c r="X201" s="148">
        <v>12.2</v>
      </c>
      <c r="Y201" s="149">
        <v>9.6</v>
      </c>
      <c r="Z201" s="149">
        <v>157.6</v>
      </c>
      <c r="AA201" s="150">
        <v>31.5</v>
      </c>
      <c r="AC201" s="151">
        <v>3.59</v>
      </c>
      <c r="AD201" s="152">
        <v>70.8</v>
      </c>
      <c r="AE201" s="150">
        <v>23.6</v>
      </c>
      <c r="AF201" s="153">
        <v>2.41</v>
      </c>
      <c r="AG201" s="174"/>
      <c r="AH201" s="174">
        <f t="shared" si="13"/>
        <v>1.2448132780082988</v>
      </c>
      <c r="AI201" s="174"/>
      <c r="AJ201" s="186"/>
      <c r="AK201" s="174">
        <f>(($AK$2+Y201*Лист1!$B$7^2*Лист1!$G$8/100)/(AA201/10^6)+$AK$3/(AE201/10^6))/1000/($Q201*IF(Лист1!$J$19="да",1/1.05,1))</f>
        <v>0.79761844105863</v>
      </c>
      <c r="AL201" s="24"/>
      <c r="AM201" s="186"/>
      <c r="AN201" s="174">
        <f>(($AK$2+Y201*Лист1!$B$7^2*Лист1!$G$8/100)/(AA201/10^6)+$AK$3/(AE201/10^6))/1000/($Q201*IF(Лист1!$J$19="да",1/1.05,1))</f>
        <v>0.79761844105863</v>
      </c>
      <c r="AO201" s="24"/>
      <c r="AP201" s="186"/>
      <c r="AQ201" s="174">
        <f>MAX((5/384*($AQ$2+$Y201/100)*$D$17^4/(2.06*10^8*$Z201/10^8))/($D$17/300)*INDEX(Лист1!$L$34:$L$38,MATCH(Лист1!$B$8,Лист1!$I$34:$I$38,0),1),(5/384*($AQ$3)*$D$17^4/(2.06*10^8*$AD201/10^8))/($D$17/200))</f>
        <v>3.7168628343722236</v>
      </c>
      <c r="AR201" s="174"/>
      <c r="AS201" s="175"/>
      <c r="AT201" s="174">
        <f>MAX((5/384*($AT$2+$Y201/100)*$D$17^4/(2.06*10^8*$Z201/10^8))/($D$17/300)*INDEX(Лист1!$L$34:$L$38,MATCH(Лист1!$B$8,Лист1!$I$34:$I$38,0),1),(5/384*($AT$3)*$D$17^4/(2.06*10^8*$AD201/10^8))/($D$17/200))</f>
        <v>2.2124183537929905</v>
      </c>
      <c r="AU201" s="174"/>
      <c r="AV201" s="174">
        <f>IF(OR(MAX(AH201,AQ201)&gt;1,AK201&gt;Лист1!$B$20,N201="-"),999999999,Y201*Лист1!$B$7+0.0001*O201)</f>
        <v>999999999</v>
      </c>
      <c r="AW201" s="174"/>
      <c r="AX201" s="174">
        <f>IF(OR(MAX(AH201,AT201)&gt;1,AN201&gt;Лист1!$B$20,N201="-"),999999999,Y201*Лист1!$B$7+0.0001*O201)</f>
        <v>999999999</v>
      </c>
    </row>
    <row r="202" spans="14:50" ht="16.5" thickBot="1" x14ac:dyDescent="0.3">
      <c r="O202">
        <f t="shared" si="12"/>
        <v>199</v>
      </c>
      <c r="P202" s="179" t="s">
        <v>296</v>
      </c>
      <c r="Q202" s="179">
        <v>340</v>
      </c>
      <c r="R202" s="154" t="s">
        <v>216</v>
      </c>
      <c r="S202" s="148">
        <v>100</v>
      </c>
      <c r="T202" s="148">
        <v>100</v>
      </c>
      <c r="X202" s="155">
        <v>15</v>
      </c>
      <c r="Y202" s="149">
        <v>11.8</v>
      </c>
      <c r="Z202" s="149">
        <v>187.8</v>
      </c>
      <c r="AA202" s="150">
        <v>37.6</v>
      </c>
      <c r="AC202" s="151">
        <v>3.54</v>
      </c>
      <c r="AD202" s="152">
        <v>83.8</v>
      </c>
      <c r="AE202" s="150">
        <v>27.9</v>
      </c>
      <c r="AF202" s="153">
        <v>2.36</v>
      </c>
      <c r="AG202" s="174"/>
      <c r="AH202" s="174">
        <f t="shared" si="13"/>
        <v>1.2711864406779663</v>
      </c>
      <c r="AI202" s="174"/>
      <c r="AJ202" s="186"/>
      <c r="AK202" s="174">
        <f>(($AK$2+Y202*Лист1!$B$7^2*Лист1!$G$8/100)/(AA202/10^6)+$AK$3/(AE202/10^6))/1000/($Q202*IF(Лист1!$J$19="да",1/1.05,1))</f>
        <v>0.68034606656839769</v>
      </c>
      <c r="AL202" s="24"/>
      <c r="AM202" s="186"/>
      <c r="AN202" s="174">
        <f>(($AK$2+Y202*Лист1!$B$7^2*Лист1!$G$8/100)/(AA202/10^6)+$AK$3/(AE202/10^6))/1000/($Q202*IF(Лист1!$J$19="да",1/1.05,1))</f>
        <v>0.68034606656839769</v>
      </c>
      <c r="AO202" s="24"/>
      <c r="AP202" s="186"/>
      <c r="AQ202" s="174">
        <f>MAX((5/384*($AQ$2+$Y202/100)*$D$17^4/(2.06*10^8*$Z202/10^8))/($D$17/300)*INDEX(Лист1!$L$34:$L$38,MATCH(Лист1!$B$8,Лист1!$I$34:$I$38,0),1),(5/384*($AQ$3)*$D$17^4/(2.06*10^8*$AD202/10^8))/($D$17/200))</f>
        <v>3.1402612013550537</v>
      </c>
      <c r="AR202" s="174"/>
      <c r="AS202" s="175"/>
      <c r="AT202" s="174">
        <f>MAX((5/384*($AT$2+$Y202/100)*$D$17^4/(2.06*10^8*$Z202/10^8))/($D$17/300)*INDEX(Лист1!$L$34:$L$38,MATCH(Лист1!$B$8,Лист1!$I$34:$I$38,0),1),(5/384*($AT$3)*$D$17^4/(2.06*10^8*$AD202/10^8))/($D$17/200))</f>
        <v>1.8692030960446748</v>
      </c>
      <c r="AU202" s="174"/>
      <c r="AV202" s="174">
        <f>IF(OR(MAX(AH202,AQ202)&gt;1,AK202&gt;Лист1!$B$20,N202="-"),999999999,Y202*Лист1!$B$7+0.0001*O202)</f>
        <v>999999999</v>
      </c>
      <c r="AW202" s="174"/>
      <c r="AX202" s="174">
        <f>IF(OR(MAX(AH202,AT202)&gt;1,AN202&gt;Лист1!$B$20,N202="-"),999999999,Y202*Лист1!$B$7+0.0001*O202)</f>
        <v>999999999</v>
      </c>
    </row>
    <row r="203" spans="14:50" ht="16.5" thickBot="1" x14ac:dyDescent="0.3">
      <c r="O203">
        <f t="shared" si="12"/>
        <v>200</v>
      </c>
      <c r="P203" s="179" t="s">
        <v>296</v>
      </c>
      <c r="Q203" s="179">
        <v>340</v>
      </c>
      <c r="R203" s="154" t="s">
        <v>217</v>
      </c>
      <c r="S203" s="148">
        <v>100</v>
      </c>
      <c r="T203" s="148">
        <v>100</v>
      </c>
      <c r="X203" s="148">
        <v>17.8</v>
      </c>
      <c r="Y203" s="149">
        <v>14</v>
      </c>
      <c r="Z203" s="149">
        <v>216.3</v>
      </c>
      <c r="AA203" s="150">
        <v>43.3</v>
      </c>
      <c r="AC203" s="151">
        <v>3.48</v>
      </c>
      <c r="AD203" s="152">
        <v>96.2</v>
      </c>
      <c r="AE203" s="150">
        <v>32.1</v>
      </c>
      <c r="AF203" s="153">
        <v>2.3199999999999998</v>
      </c>
      <c r="AG203" s="174"/>
      <c r="AH203" s="174">
        <f t="shared" si="13"/>
        <v>1.2931034482758621</v>
      </c>
      <c r="AI203" s="174"/>
      <c r="AJ203" s="186"/>
      <c r="AK203" s="174">
        <f>(($AK$2+Y203*Лист1!$B$7^2*Лист1!$G$8/100)/(AA203/10^6)+$AK$3/(AE203/10^6))/1000/($Q203*IF(Лист1!$J$19="да",1/1.05,1))</f>
        <v>0.59787523048183322</v>
      </c>
      <c r="AL203" s="24"/>
      <c r="AM203" s="186"/>
      <c r="AN203" s="174">
        <f>(($AK$2+Y203*Лист1!$B$7^2*Лист1!$G$8/100)/(AA203/10^6)+$AK$3/(AE203/10^6))/1000/($Q203*IF(Лист1!$J$19="да",1/1.05,1))</f>
        <v>0.59787523048183322</v>
      </c>
      <c r="AO203" s="24"/>
      <c r="AP203" s="186"/>
      <c r="AQ203" s="174">
        <f>MAX((5/384*($AQ$2+$Y203/100)*$D$17^4/(2.06*10^8*$Z203/10^8))/($D$17/300)*INDEX(Лист1!$L$34:$L$38,MATCH(Лист1!$B$8,Лист1!$I$34:$I$38,0),1),(5/384*($AQ$3)*$D$17^4/(2.06*10^8*$AD203/10^8))/($D$17/200))</f>
        <v>2.7354874082489968</v>
      </c>
      <c r="AR203" s="174"/>
      <c r="AS203" s="175"/>
      <c r="AT203" s="174">
        <f>MAX((5/384*($AT$2+$Y203/100)*$D$17^4/(2.06*10^8*$Z203/10^8))/($D$17/300)*INDEX(Лист1!$L$34:$L$38,MATCH(Лист1!$B$8,Лист1!$I$34:$I$38,0),1),(5/384*($AT$3)*$D$17^4/(2.06*10^8*$AD203/10^8))/($D$17/200))</f>
        <v>1.6282663144339267</v>
      </c>
      <c r="AU203" s="174"/>
      <c r="AV203" s="174">
        <f>IF(OR(MAX(AH203,AQ203)&gt;1,AK203&gt;Лист1!$B$20,N203="-"),999999999,Y203*Лист1!$B$7+0.0001*O203)</f>
        <v>999999999</v>
      </c>
      <c r="AW203" s="174"/>
      <c r="AX203" s="174">
        <f>IF(OR(MAX(AH203,AT203)&gt;1,AN203&gt;Лист1!$B$20,N203="-"),999999999,Y203*Лист1!$B$7+0.0001*O203)</f>
        <v>999999999</v>
      </c>
    </row>
    <row r="204" spans="14:50" ht="16.5" thickBot="1" x14ac:dyDescent="0.3">
      <c r="O204">
        <f t="shared" si="12"/>
        <v>201</v>
      </c>
      <c r="P204" s="179" t="s">
        <v>296</v>
      </c>
      <c r="Q204" s="179">
        <v>340</v>
      </c>
      <c r="R204" s="154" t="s">
        <v>218</v>
      </c>
      <c r="S204" s="148">
        <v>120</v>
      </c>
      <c r="T204" s="148">
        <v>120</v>
      </c>
      <c r="X204" s="148">
        <v>11.6</v>
      </c>
      <c r="Y204" s="149">
        <v>9.1</v>
      </c>
      <c r="Z204" s="149">
        <v>233.4</v>
      </c>
      <c r="AA204" s="150">
        <v>38.9</v>
      </c>
      <c r="AC204" s="151">
        <v>4.4800000000000004</v>
      </c>
      <c r="AD204" s="152">
        <v>124.8</v>
      </c>
      <c r="AE204" s="150">
        <v>31.2</v>
      </c>
      <c r="AF204" s="153">
        <v>3.27</v>
      </c>
      <c r="AG204" s="174"/>
      <c r="AH204" s="174">
        <f t="shared" si="13"/>
        <v>0.91743119266055051</v>
      </c>
      <c r="AI204" s="174"/>
      <c r="AJ204" s="186"/>
      <c r="AK204" s="174">
        <f>(($AK$2+Y204*Лист1!$B$7^2*Лист1!$G$8/100)/(AA204/10^6)+$AK$3/(AE204/10^6))/1000/($Q204*IF(Лист1!$J$19="да",1/1.05,1))</f>
        <v>0.61534630147624014</v>
      </c>
      <c r="AL204" s="24"/>
      <c r="AM204" s="186"/>
      <c r="AN204" s="174">
        <f>(($AK$2+Y204*Лист1!$B$7^2*Лист1!$G$8/100)/(AA204/10^6)+$AK$3/(AE204/10^6))/1000/($Q204*IF(Лист1!$J$19="да",1/1.05,1))</f>
        <v>0.61534630147624014</v>
      </c>
      <c r="AO204" s="24"/>
      <c r="AP204" s="186"/>
      <c r="AQ204" s="174">
        <f>MAX((5/384*($AQ$2+$Y204/100)*$D$17^4/(2.06*10^8*$Z204/10^8))/($D$17/300)*INDEX(Лист1!$L$34:$L$38,MATCH(Лист1!$B$8,Лист1!$I$34:$I$38,0),1),(5/384*($AQ$3)*$D$17^4/(2.06*10^8*$AD204/10^8))/($D$17/200))</f>
        <v>2.1086048771919343</v>
      </c>
      <c r="AR204" s="174"/>
      <c r="AS204" s="175"/>
      <c r="AT204" s="174">
        <f>MAX((5/384*($AT$2+$Y204/100)*$D$17^4/(2.06*10^8*$Z204/10^8))/($D$17/300)*INDEX(Лист1!$L$34:$L$38,MATCH(Лист1!$B$8,Лист1!$I$34:$I$38,0),1),(5/384*($AT$3)*$D$17^4/(2.06*10^8*$AD204/10^8))/($D$17/200))</f>
        <v>1.2551219507094851</v>
      </c>
      <c r="AU204" s="174"/>
      <c r="AV204" s="174">
        <f>IF(OR(MAX(AH204,AQ204)&gt;1,AK204&gt;Лист1!$B$20,N204="-"),999999999,Y204*Лист1!$B$7+0.0001*O204)</f>
        <v>999999999</v>
      </c>
      <c r="AW204" s="174"/>
      <c r="AX204" s="174">
        <f>IF(OR(MAX(AH204,AT204)&gt;1,AN204&gt;Лист1!$B$20,N204="-"),999999999,Y204*Лист1!$B$7+0.0001*O204)</f>
        <v>999999999</v>
      </c>
    </row>
    <row r="205" spans="14:50" ht="16.5" thickBot="1" x14ac:dyDescent="0.3">
      <c r="O205">
        <f t="shared" si="12"/>
        <v>202</v>
      </c>
      <c r="P205" s="179" t="s">
        <v>296</v>
      </c>
      <c r="Q205" s="179">
        <v>340</v>
      </c>
      <c r="R205" s="154" t="s">
        <v>219</v>
      </c>
      <c r="S205" s="148">
        <v>120</v>
      </c>
      <c r="T205" s="148">
        <v>120</v>
      </c>
      <c r="X205" s="148">
        <v>15.3</v>
      </c>
      <c r="Y205" s="149">
        <v>12</v>
      </c>
      <c r="Z205" s="149">
        <v>299</v>
      </c>
      <c r="AA205" s="150">
        <v>49.8</v>
      </c>
      <c r="AC205" s="151">
        <v>4.42</v>
      </c>
      <c r="AD205" s="152">
        <v>159.69999999999999</v>
      </c>
      <c r="AE205" s="150">
        <v>39.9</v>
      </c>
      <c r="AF205" s="153">
        <v>3.23</v>
      </c>
      <c r="AG205" s="174"/>
      <c r="AH205" s="174">
        <f t="shared" si="13"/>
        <v>0.92879256965944279</v>
      </c>
      <c r="AI205" s="174"/>
      <c r="AJ205" s="186"/>
      <c r="AK205" s="174">
        <f>(($AK$2+Y205*Лист1!$B$7^2*Лист1!$G$8/100)/(AA205/10^6)+$AK$3/(AE205/10^6))/1000/($Q205*IF(Лист1!$J$19="да",1/1.05,1))</f>
        <v>0.48870885140138914</v>
      </c>
      <c r="AL205" s="24"/>
      <c r="AM205" s="186"/>
      <c r="AN205" s="174">
        <f>(($AK$2+Y205*Лист1!$B$7^2*Лист1!$G$8/100)/(AA205/10^6)+$AK$3/(AE205/10^6))/1000/($Q205*IF(Лист1!$J$19="да",1/1.05,1))</f>
        <v>0.48870885140138914</v>
      </c>
      <c r="AO205" s="24"/>
      <c r="AP205" s="186"/>
      <c r="AQ205" s="174">
        <f>MAX((5/384*($AQ$2+$Y205/100)*$D$17^4/(2.06*10^8*$Z205/10^8))/($D$17/300)*INDEX(Лист1!$L$34:$L$38,MATCH(Лист1!$B$8,Лист1!$I$34:$I$38,0),1),(5/384*($AQ$3)*$D$17^4/(2.06*10^8*$AD205/10^8))/($D$17/200))</f>
        <v>1.6478014318945116</v>
      </c>
      <c r="AR205" s="174"/>
      <c r="AS205" s="175"/>
      <c r="AT205" s="174">
        <f>MAX((5/384*($AT$2+$Y205/100)*$D$17^4/(2.06*10^8*$Z205/10^8))/($D$17/300)*INDEX(Лист1!$L$34:$L$38,MATCH(Лист1!$B$8,Лист1!$I$34:$I$38,0),1),(5/384*($AT$3)*$D$17^4/(2.06*10^8*$AD205/10^8))/($D$17/200))</f>
        <v>0.98083418565149505</v>
      </c>
      <c r="AU205" s="174"/>
      <c r="AV205" s="174">
        <f>IF(OR(MAX(AH205,AQ205)&gt;1,AK205&gt;Лист1!$B$20,N205="-"),999999999,Y205*Лист1!$B$7+0.0001*O205)</f>
        <v>999999999</v>
      </c>
      <c r="AW205" s="174"/>
      <c r="AX205" s="174">
        <f>IF(OR(MAX(AH205,AT205)&gt;1,AN205&gt;Лист1!$B$20,N205="-"),999999999,Y205*Лист1!$B$7+0.0001*O205)</f>
        <v>72.020200000000003</v>
      </c>
    </row>
    <row r="206" spans="14:50" ht="16.5" thickBot="1" x14ac:dyDescent="0.3">
      <c r="O206">
        <f t="shared" si="12"/>
        <v>203</v>
      </c>
      <c r="P206" s="179" t="s">
        <v>296</v>
      </c>
      <c r="Q206" s="179">
        <v>340</v>
      </c>
      <c r="R206" s="154" t="s">
        <v>220</v>
      </c>
      <c r="S206" s="148">
        <v>120</v>
      </c>
      <c r="T206" s="148">
        <v>120</v>
      </c>
      <c r="X206" s="148">
        <v>18.899999999999999</v>
      </c>
      <c r="Y206" s="149">
        <v>14.8</v>
      </c>
      <c r="Z206" s="149">
        <v>361.4</v>
      </c>
      <c r="AA206" s="150">
        <v>60.2</v>
      </c>
      <c r="AC206" s="151">
        <v>4.37</v>
      </c>
      <c r="AD206" s="152">
        <v>192.4</v>
      </c>
      <c r="AE206" s="150">
        <v>48.1</v>
      </c>
      <c r="AF206" s="153">
        <v>3.19</v>
      </c>
      <c r="AG206" s="174"/>
      <c r="AH206" s="174">
        <f t="shared" si="13"/>
        <v>0.94043887147335425</v>
      </c>
      <c r="AI206" s="174"/>
      <c r="AJ206" s="186"/>
      <c r="AK206" s="174">
        <f>(($AK$2+Y206*Лист1!$B$7^2*Лист1!$G$8/100)/(AA206/10^6)+$AK$3/(AE206/10^6))/1000/($Q206*IF(Лист1!$J$19="да",1/1.05,1))</f>
        <v>0.41116534256148091</v>
      </c>
      <c r="AL206" s="24"/>
      <c r="AM206" s="186"/>
      <c r="AN206" s="174">
        <f>(($AK$2+Y206*Лист1!$B$7^2*Лист1!$G$8/100)/(AA206/10^6)+$AK$3/(AE206/10^6))/1000/($Q206*IF(Лист1!$J$19="да",1/1.05,1))</f>
        <v>0.41116534256148091</v>
      </c>
      <c r="AO206" s="24"/>
      <c r="AP206" s="186"/>
      <c r="AQ206" s="174">
        <f>MAX((5/384*($AQ$2+$Y206/100)*$D$17^4/(2.06*10^8*$Z206/10^8))/($D$17/300)*INDEX(Лист1!$L$34:$L$38,MATCH(Лист1!$B$8,Лист1!$I$34:$I$38,0),1),(5/384*($AQ$3)*$D$17^4/(2.06*10^8*$AD206/10^8))/($D$17/200))</f>
        <v>1.3677437041244984</v>
      </c>
      <c r="AR206" s="174"/>
      <c r="AS206" s="175"/>
      <c r="AT206" s="174">
        <f>MAX((5/384*($AT$2+$Y206/100)*$D$17^4/(2.06*10^8*$Z206/10^8))/($D$17/300)*INDEX(Лист1!$L$34:$L$38,MATCH(Лист1!$B$8,Лист1!$I$34:$I$38,0),1),(5/384*($AT$3)*$D$17^4/(2.06*10^8*$AD206/10^8))/($D$17/200))</f>
        <v>0.81413315721696333</v>
      </c>
      <c r="AU206" s="174"/>
      <c r="AV206" s="174">
        <f>IF(OR(MAX(AH206,AQ206)&gt;1,AK206&gt;Лист1!$B$20,N206="-"),999999999,Y206*Лист1!$B$7+0.0001*O206)</f>
        <v>999999999</v>
      </c>
      <c r="AW206" s="174"/>
      <c r="AX206" s="174">
        <f>IF(OR(MAX(AH206,AT206)&gt;1,AN206&gt;Лист1!$B$20,N206="-"),999999999,Y206*Лист1!$B$7+0.0001*O206)</f>
        <v>88.820300000000017</v>
      </c>
    </row>
    <row r="207" spans="14:50" ht="16.5" thickBot="1" x14ac:dyDescent="0.3">
      <c r="O207">
        <f t="shared" si="12"/>
        <v>204</v>
      </c>
      <c r="P207" s="179" t="s">
        <v>296</v>
      </c>
      <c r="Q207" s="179">
        <v>340</v>
      </c>
      <c r="R207" s="154" t="s">
        <v>221</v>
      </c>
      <c r="S207" s="148">
        <v>120</v>
      </c>
      <c r="T207" s="148">
        <v>120</v>
      </c>
      <c r="X207" s="148">
        <v>22.6</v>
      </c>
      <c r="Y207" s="149">
        <v>17.7</v>
      </c>
      <c r="Z207" s="149">
        <v>423.2</v>
      </c>
      <c r="AA207" s="150">
        <v>70.5</v>
      </c>
      <c r="AC207" s="151">
        <v>4.33</v>
      </c>
      <c r="AD207" s="152">
        <v>224.1</v>
      </c>
      <c r="AE207" s="150">
        <v>56</v>
      </c>
      <c r="AF207" s="153">
        <v>3.15</v>
      </c>
      <c r="AG207" s="174"/>
      <c r="AH207" s="174">
        <f t="shared" si="13"/>
        <v>0.95238095238095244</v>
      </c>
      <c r="AI207" s="174"/>
      <c r="AJ207" s="186"/>
      <c r="AK207" s="174">
        <f>(($AK$2+Y207*Лист1!$B$7^2*Лист1!$G$8/100)/(AA207/10^6)+$AK$3/(AE207/10^6))/1000/($Q207*IF(Лист1!$J$19="да",1/1.05,1))</f>
        <v>0.35787197837809259</v>
      </c>
      <c r="AL207" s="24"/>
      <c r="AM207" s="186"/>
      <c r="AN207" s="174">
        <f>(($AK$2+Y207*Лист1!$B$7^2*Лист1!$G$8/100)/(AA207/10^6)+$AK$3/(AE207/10^6))/1000/($Q207*IF(Лист1!$J$19="да",1/1.05,1))</f>
        <v>0.35787197837809259</v>
      </c>
      <c r="AO207" s="24"/>
      <c r="AP207" s="186"/>
      <c r="AQ207" s="174">
        <f>MAX((5/384*($AQ$2+$Y207/100)*$D$17^4/(2.06*10^8*$Z207/10^8))/($D$17/300)*INDEX(Лист1!$L$34:$L$38,MATCH(Лист1!$B$8,Лист1!$I$34:$I$38,0),1),(5/384*($AQ$3)*$D$17^4/(2.06*10^8*$AD207/10^8))/($D$17/200))</f>
        <v>1.1742699182220147</v>
      </c>
      <c r="AR207" s="174"/>
      <c r="AS207" s="175"/>
      <c r="AT207" s="174">
        <f>MAX((5/384*($AT$2+$Y207/100)*$D$17^4/(2.06*10^8*$Z207/10^8))/($D$17/300)*INDEX(Лист1!$L$34:$L$38,MATCH(Лист1!$B$8,Лист1!$I$34:$I$38,0),1),(5/384*($AT$3)*$D$17^4/(2.06*10^8*$AD207/10^8))/($D$17/200))</f>
        <v>0.69897018941786582</v>
      </c>
      <c r="AU207" s="174"/>
      <c r="AV207" s="174">
        <f>IF(OR(MAX(AH207,AQ207)&gt;1,AK207&gt;Лист1!$B$20,N207="-"),999999999,Y207*Лист1!$B$7+0.0001*O207)</f>
        <v>999999999</v>
      </c>
      <c r="AW207" s="174"/>
      <c r="AX207" s="174">
        <f>IF(OR(MAX(AH207,AT207)&gt;1,AN207&gt;Лист1!$B$20,N207="-"),999999999,Y207*Лист1!$B$7+0.0001*O207)</f>
        <v>106.22039999999998</v>
      </c>
    </row>
    <row r="208" spans="14:50" ht="16.5" thickBot="1" x14ac:dyDescent="0.3">
      <c r="O208">
        <f t="shared" si="12"/>
        <v>205</v>
      </c>
      <c r="P208" s="179" t="s">
        <v>296</v>
      </c>
      <c r="Q208" s="179">
        <v>340</v>
      </c>
      <c r="R208" s="154" t="s">
        <v>222</v>
      </c>
      <c r="S208" s="148">
        <v>120</v>
      </c>
      <c r="T208" s="148">
        <v>120</v>
      </c>
      <c r="X208" s="148">
        <v>26.3</v>
      </c>
      <c r="Y208" s="149">
        <v>20.6</v>
      </c>
      <c r="Z208" s="149">
        <v>483.2</v>
      </c>
      <c r="AA208" s="150">
        <v>80.400000000000006</v>
      </c>
      <c r="AC208" s="151">
        <v>4.28</v>
      </c>
      <c r="AD208" s="152">
        <v>254.6</v>
      </c>
      <c r="AE208" s="150">
        <v>63.8</v>
      </c>
      <c r="AF208" s="153">
        <v>3.1</v>
      </c>
      <c r="AG208" s="174"/>
      <c r="AH208" s="174">
        <f t="shared" si="13"/>
        <v>0.96774193548387089</v>
      </c>
      <c r="AI208" s="174"/>
      <c r="AJ208" s="186"/>
      <c r="AK208" s="174">
        <f>(($AK$2+Y208*Лист1!$B$7^2*Лист1!$G$8/100)/(AA208/10^6)+$AK$3/(AE208/10^6))/1000/($Q208*IF(Лист1!$J$19="да",1/1.05,1))</f>
        <v>0.31877939574517522</v>
      </c>
      <c r="AL208" s="24"/>
      <c r="AM208" s="186"/>
      <c r="AN208" s="174">
        <f>(($AK$2+Y208*Лист1!$B$7^2*Лист1!$G$8/100)/(AA208/10^6)+$AK$3/(AE208/10^6))/1000/($Q208*IF(Лист1!$J$19="да",1/1.05,1))</f>
        <v>0.31877939574517522</v>
      </c>
      <c r="AO208" s="24"/>
      <c r="AP208" s="186"/>
      <c r="AQ208" s="174">
        <f>MAX((5/384*($AQ$2+$Y208/100)*$D$17^4/(2.06*10^8*$Z208/10^8))/($D$17/300)*INDEX(Лист1!$L$34:$L$38,MATCH(Лист1!$B$8,Лист1!$I$34:$I$38,0),1),(5/384*($AQ$3)*$D$17^4/(2.06*10^8*$AD208/10^8))/($D$17/200))</f>
        <v>1.033597363211129</v>
      </c>
      <c r="AR208" s="174"/>
      <c r="AS208" s="175"/>
      <c r="AT208" s="174">
        <f>MAX((5/384*($AT$2+$Y208/100)*$D$17^4/(2.06*10^8*$Z208/10^8))/($D$17/300)*INDEX(Лист1!$L$34:$L$38,MATCH(Лист1!$B$8,Лист1!$I$34:$I$38,0),1),(5/384*($AT$3)*$D$17^4/(2.06*10^8*$AD208/10^8))/($D$17/200))</f>
        <v>0.61523652572091025</v>
      </c>
      <c r="AU208" s="174"/>
      <c r="AV208" s="174">
        <f>IF(OR(MAX(AH208,AQ208)&gt;1,AK208&gt;Лист1!$B$20,N208="-"),999999999,Y208*Лист1!$B$7+0.0001*O208)</f>
        <v>999999999</v>
      </c>
      <c r="AW208" s="174"/>
      <c r="AX208" s="174">
        <f>IF(OR(MAX(AH208,AT208)&gt;1,AN208&gt;Лист1!$B$20,N208="-"),999999999,Y208*Лист1!$B$7+0.0001*O208)</f>
        <v>123.62050000000001</v>
      </c>
    </row>
    <row r="209" spans="14:50" ht="16.5" thickBot="1" x14ac:dyDescent="0.3">
      <c r="O209">
        <f t="shared" si="12"/>
        <v>206</v>
      </c>
      <c r="P209" s="179" t="s">
        <v>296</v>
      </c>
      <c r="Q209" s="179">
        <v>340</v>
      </c>
      <c r="R209" s="156" t="s">
        <v>223</v>
      </c>
      <c r="S209" s="157">
        <v>140</v>
      </c>
      <c r="T209" s="157">
        <v>140</v>
      </c>
      <c r="X209" s="157">
        <v>15.3</v>
      </c>
      <c r="Y209" s="158">
        <v>12</v>
      </c>
      <c r="Z209" s="158">
        <v>362.1</v>
      </c>
      <c r="AA209" s="159">
        <v>51.7</v>
      </c>
      <c r="AC209" s="160">
        <v>4.8600000000000003</v>
      </c>
      <c r="AD209" s="161">
        <v>95.4</v>
      </c>
      <c r="AE209" s="159">
        <v>31.8</v>
      </c>
      <c r="AF209" s="162">
        <v>2.5</v>
      </c>
      <c r="AG209" s="174"/>
      <c r="AH209" s="174">
        <f t="shared" si="13"/>
        <v>1.2</v>
      </c>
      <c r="AI209" s="174"/>
      <c r="AJ209" s="186"/>
      <c r="AK209" s="174">
        <f>(($AK$2+Y209*Лист1!$B$7^2*Лист1!$G$8/100)/(AA209/10^6)+$AK$3/(AE209/10^6))/1000/($Q209*IF(Лист1!$J$19="да",1/1.05,1))</f>
        <v>0.56392482386159926</v>
      </c>
      <c r="AL209" s="24"/>
      <c r="AM209" s="186"/>
      <c r="AN209" s="174">
        <f>(($AK$2+Y209*Лист1!$B$7^2*Лист1!$G$8/100)/(AA209/10^6)+$AK$3/(AE209/10^6))/1000/($Q209*IF(Лист1!$J$19="да",1/1.05,1))</f>
        <v>0.56392482386159926</v>
      </c>
      <c r="AO209" s="24"/>
      <c r="AP209" s="186"/>
      <c r="AQ209" s="174">
        <f>MAX((5/384*($AQ$2+$Y209/100)*$D$17^4/(2.06*10^8*$Z209/10^8))/($D$17/300)*INDEX(Лист1!$L$34:$L$38,MATCH(Лист1!$B$8,Лист1!$I$34:$I$38,0),1),(5/384*($AQ$3)*$D$17^4/(2.06*10^8*$AD209/10^8))/($D$17/200))</f>
        <v>2.7584265060120909</v>
      </c>
      <c r="AR209" s="174"/>
      <c r="AS209" s="175"/>
      <c r="AT209" s="174">
        <f>MAX((5/384*($AT$2+$Y209/100)*$D$17^4/(2.06*10^8*$Z209/10^8))/($D$17/300)*INDEX(Лист1!$L$34:$L$38,MATCH(Лист1!$B$8,Лист1!$I$34:$I$38,0),1),(5/384*($AT$3)*$D$17^4/(2.06*10^8*$AD209/10^8))/($D$17/200))</f>
        <v>1.6419205392929113</v>
      </c>
      <c r="AU209" s="174"/>
      <c r="AV209" s="174">
        <f>IF(OR(MAX(AH209,AQ209)&gt;1,AK209&gt;Лист1!$B$20,N209="-"),999999999,Y209*Лист1!$B$7+0.0001*O209)</f>
        <v>999999999</v>
      </c>
      <c r="AW209" s="174"/>
      <c r="AX209" s="174">
        <f>IF(OR(MAX(AH209,AT209)&gt;1,AN209&gt;Лист1!$B$20,N209="-"),999999999,Y209*Лист1!$B$7+0.0001*O209)</f>
        <v>999999999</v>
      </c>
    </row>
    <row r="210" spans="14:50" ht="16.5" thickBot="1" x14ac:dyDescent="0.3">
      <c r="O210">
        <f t="shared" si="12"/>
        <v>207</v>
      </c>
      <c r="P210" s="179" t="s">
        <v>296</v>
      </c>
      <c r="Q210" s="179">
        <v>340</v>
      </c>
      <c r="R210" s="156" t="s">
        <v>224</v>
      </c>
      <c r="S210" s="157">
        <v>140</v>
      </c>
      <c r="T210" s="157">
        <v>140</v>
      </c>
      <c r="X210" s="157">
        <v>18.899999999999999</v>
      </c>
      <c r="Y210" s="158">
        <v>14.8</v>
      </c>
      <c r="Z210" s="158">
        <v>436.1</v>
      </c>
      <c r="AA210" s="159">
        <v>62.3</v>
      </c>
      <c r="AC210" s="160">
        <v>4.8</v>
      </c>
      <c r="AD210" s="161">
        <v>113.6</v>
      </c>
      <c r="AE210" s="159">
        <v>37.9</v>
      </c>
      <c r="AF210" s="162">
        <v>2.4500000000000002</v>
      </c>
      <c r="AG210" s="174"/>
      <c r="AH210" s="174">
        <f t="shared" si="13"/>
        <v>1.2244897959183674</v>
      </c>
      <c r="AI210" s="174"/>
      <c r="AJ210" s="186"/>
      <c r="AK210" s="174">
        <f>(($AK$2+Y210*Лист1!$B$7^2*Лист1!$G$8/100)/(AA210/10^6)+$AK$3/(AE210/10^6))/1000/($Q210*IF(Лист1!$J$19="да",1/1.05,1))</f>
        <v>0.47761260695618746</v>
      </c>
      <c r="AL210" s="24"/>
      <c r="AM210" s="186"/>
      <c r="AN210" s="174">
        <f>(($AK$2+Y210*Лист1!$B$7^2*Лист1!$G$8/100)/(AA210/10^6)+$AK$3/(AE210/10^6))/1000/($Q210*IF(Лист1!$J$19="да",1/1.05,1))</f>
        <v>0.47761260695618746</v>
      </c>
      <c r="AO210" s="24"/>
      <c r="AP210" s="186"/>
      <c r="AQ210" s="174">
        <f>MAX((5/384*($AQ$2+$Y210/100)*$D$17^4/(2.06*10^8*$Z210/10^8))/($D$17/300)*INDEX(Лист1!$L$34:$L$38,MATCH(Лист1!$B$8,Лист1!$I$34:$I$38,0),1),(5/384*($AQ$3)*$D$17^4/(2.06*10^8*$AD210/10^8))/($D$17/200))</f>
        <v>2.3164954988869146</v>
      </c>
      <c r="AR210" s="174"/>
      <c r="AS210" s="175"/>
      <c r="AT210" s="174">
        <f>MAX((5/384*($AT$2+$Y210/100)*$D$17^4/(2.06*10^8*$Z210/10^8))/($D$17/300)*INDEX(Лист1!$L$34:$L$38,MATCH(Лист1!$B$8,Лист1!$I$34:$I$38,0),1),(5/384*($AT$3)*$D$17^4/(2.06*10^8*$AD210/10^8))/($D$17/200))</f>
        <v>1.3788663683850682</v>
      </c>
      <c r="AU210" s="174"/>
      <c r="AV210" s="174">
        <f>IF(OR(MAX(AH210,AQ210)&gt;1,AK210&gt;Лист1!$B$20,N210="-"),999999999,Y210*Лист1!$B$7+0.0001*O210)</f>
        <v>999999999</v>
      </c>
      <c r="AW210" s="174"/>
      <c r="AX210" s="174">
        <f>IF(OR(MAX(AH210,AT210)&gt;1,AN210&gt;Лист1!$B$20,N210="-"),999999999,Y210*Лист1!$B$7+0.0001*O210)</f>
        <v>999999999</v>
      </c>
    </row>
    <row r="211" spans="14:50" ht="16.5" thickBot="1" x14ac:dyDescent="0.3">
      <c r="O211">
        <f t="shared" si="12"/>
        <v>208</v>
      </c>
      <c r="P211" s="179" t="s">
        <v>296</v>
      </c>
      <c r="Q211" s="179">
        <v>340</v>
      </c>
      <c r="R211" s="156" t="s">
        <v>225</v>
      </c>
      <c r="S211" s="157">
        <v>140</v>
      </c>
      <c r="T211" s="157">
        <v>140</v>
      </c>
      <c r="X211" s="157">
        <v>22.6</v>
      </c>
      <c r="Y211" s="158">
        <v>17.7</v>
      </c>
      <c r="Z211" s="158">
        <v>509.7</v>
      </c>
      <c r="AA211" s="159">
        <v>72.8</v>
      </c>
      <c r="AC211" s="160">
        <v>4.75</v>
      </c>
      <c r="AD211" s="161">
        <v>131.30000000000001</v>
      </c>
      <c r="AE211" s="159">
        <v>43.8</v>
      </c>
      <c r="AF211" s="162">
        <v>2.41</v>
      </c>
      <c r="AG211" s="174"/>
      <c r="AH211" s="174">
        <f t="shared" si="13"/>
        <v>1.2448132780082988</v>
      </c>
      <c r="AI211" s="174"/>
      <c r="AJ211" s="186"/>
      <c r="AK211" s="174">
        <f>(($AK$2+Y211*Лист1!$B$7^2*Лист1!$G$8/100)/(AA211/10^6)+$AK$3/(AE211/10^6))/1000/($Q211*IF(Лист1!$J$19="да",1/1.05,1))</f>
        <v>0.41720497380845722</v>
      </c>
      <c r="AL211" s="24"/>
      <c r="AM211" s="186"/>
      <c r="AN211" s="174">
        <f>(($AK$2+Y211*Лист1!$B$7^2*Лист1!$G$8/100)/(AA211/10^6)+$AK$3/(AE211/10^6))/1000/($Q211*IF(Лист1!$J$19="да",1/1.05,1))</f>
        <v>0.41720497380845722</v>
      </c>
      <c r="AO211" s="24"/>
      <c r="AP211" s="186"/>
      <c r="AQ211" s="174">
        <f>MAX((5/384*($AQ$2+$Y211/100)*$D$17^4/(2.06*10^8*$Z211/10^8))/($D$17/300)*INDEX(Лист1!$L$34:$L$38,MATCH(Лист1!$B$8,Лист1!$I$34:$I$38,0),1),(5/384*($AQ$3)*$D$17^4/(2.06*10^8*$AD211/10^8))/($D$17/200))</f>
        <v>2.0042184971329275</v>
      </c>
      <c r="AR211" s="174"/>
      <c r="AS211" s="175"/>
      <c r="AT211" s="174">
        <f>MAX((5/384*($AT$2+$Y211/100)*$D$17^4/(2.06*10^8*$Z211/10^8))/($D$17/300)*INDEX(Лист1!$L$34:$L$38,MATCH(Лист1!$B$8,Лист1!$I$34:$I$38,0),1),(5/384*($AT$3)*$D$17^4/(2.06*10^8*$AD211/10^8))/($D$17/200))</f>
        <v>1.1929872006743618</v>
      </c>
      <c r="AU211" s="174"/>
      <c r="AV211" s="174">
        <f>IF(OR(MAX(AH211,AQ211)&gt;1,AK211&gt;Лист1!$B$20,N211="-"),999999999,Y211*Лист1!$B$7+0.0001*O211)</f>
        <v>999999999</v>
      </c>
      <c r="AW211" s="174"/>
      <c r="AX211" s="174">
        <f>IF(OR(MAX(AH211,AT211)&gt;1,AN211&gt;Лист1!$B$20,N211="-"),999999999,Y211*Лист1!$B$7+0.0001*O211)</f>
        <v>999999999</v>
      </c>
    </row>
    <row r="212" spans="14:50" ht="16.5" thickBot="1" x14ac:dyDescent="0.3">
      <c r="N212" t="s">
        <v>344</v>
      </c>
      <c r="O212">
        <f t="shared" si="12"/>
        <v>209</v>
      </c>
      <c r="P212" s="179" t="s">
        <v>296</v>
      </c>
      <c r="Q212" s="179">
        <v>340</v>
      </c>
      <c r="R212" s="154" t="s">
        <v>226</v>
      </c>
      <c r="S212" s="157">
        <v>140</v>
      </c>
      <c r="T212" s="157">
        <v>140</v>
      </c>
      <c r="X212" s="148">
        <v>14.2</v>
      </c>
      <c r="Y212" s="149">
        <v>11.1</v>
      </c>
      <c r="Z212" s="149">
        <v>404.2</v>
      </c>
      <c r="AA212" s="150">
        <v>57.7</v>
      </c>
      <c r="AC212" s="151">
        <v>5.31</v>
      </c>
      <c r="AD212" s="152">
        <v>241.2</v>
      </c>
      <c r="AE212" s="150">
        <v>48.2</v>
      </c>
      <c r="AF212" s="153">
        <v>4.0999999999999996</v>
      </c>
      <c r="AG212" s="174"/>
      <c r="AH212" s="174">
        <f t="shared" si="13"/>
        <v>0.73170731707317072</v>
      </c>
      <c r="AI212" s="174"/>
      <c r="AJ212" s="186"/>
      <c r="AK212" s="174">
        <f>(($AK$2+Y212*Лист1!$B$7^2*Лист1!$G$8/100)/(AA212/10^6)+$AK$3/(AE212/10^6))/1000/($Q212*IF(Лист1!$J$19="да",1/1.05,1))</f>
        <v>0.40845319896763366</v>
      </c>
      <c r="AL212" s="24"/>
      <c r="AM212" s="186"/>
      <c r="AN212" s="174">
        <f>(($AK$2+Y212*Лист1!$B$7^2*Лист1!$G$8/100)/(AA212/10^6)+$AK$3/(AE212/10^6))/1000/($Q212*IF(Лист1!$J$19="да",1/1.05,1))</f>
        <v>0.40845319896763366</v>
      </c>
      <c r="AO212" s="24"/>
      <c r="AP212" s="186"/>
      <c r="AQ212" s="174">
        <f>MAX((5/384*($AQ$2+$Y212/100)*$D$17^4/(2.06*10^8*$Z212/10^8))/($D$17/300)*INDEX(Лист1!$L$34:$L$38,MATCH(Лист1!$B$8,Лист1!$I$34:$I$38,0),1),(5/384*($AQ$3)*$D$17^4/(2.06*10^8*$AD212/10^8))/($D$17/200))</f>
        <v>1.0910194389450809</v>
      </c>
      <c r="AR212" s="174"/>
      <c r="AS212" s="175"/>
      <c r="AT212" s="174">
        <f>MAX((5/384*($AT$2+$Y212/100)*$D$17^4/(2.06*10^8*$Z212/10^8))/($D$17/300)*INDEX(Лист1!$L$34:$L$38,MATCH(Лист1!$B$8,Лист1!$I$34:$I$38,0),1),(5/384*($AT$3)*$D$17^4/(2.06*10^8*$AD212/10^8))/($D$17/200))</f>
        <v>0.64941633270540522</v>
      </c>
      <c r="AU212" s="174"/>
      <c r="AV212" s="174">
        <f>IF(OR(MAX(AH212,AQ212)&gt;1,AK212&gt;Лист1!$B$20,N212="-"),999999999,Y212*Лист1!$B$7+0.0001*O212)</f>
        <v>999999999</v>
      </c>
      <c r="AW212" s="174"/>
      <c r="AX212" s="174">
        <f>IF(OR(MAX(AH212,AT212)&gt;1,AN212&gt;Лист1!$B$20,N212="-"),999999999,Y212*Лист1!$B$7+0.0001*O212)</f>
        <v>999999999</v>
      </c>
    </row>
    <row r="213" spans="14:50" ht="16.5" thickBot="1" x14ac:dyDescent="0.3">
      <c r="O213">
        <f t="shared" si="12"/>
        <v>210</v>
      </c>
      <c r="P213" s="179" t="s">
        <v>296</v>
      </c>
      <c r="Q213" s="179">
        <v>340</v>
      </c>
      <c r="R213" s="154" t="s">
        <v>227</v>
      </c>
      <c r="S213" s="157">
        <v>140</v>
      </c>
      <c r="T213" s="157">
        <v>140</v>
      </c>
      <c r="X213" s="148">
        <v>18.5</v>
      </c>
      <c r="Y213" s="149">
        <v>14.5</v>
      </c>
      <c r="Z213" s="149">
        <v>511.3</v>
      </c>
      <c r="AA213" s="150">
        <v>73</v>
      </c>
      <c r="AC213" s="151">
        <v>5.26</v>
      </c>
      <c r="AD213" s="152">
        <v>304.3</v>
      </c>
      <c r="AE213" s="150">
        <v>60.9</v>
      </c>
      <c r="AF213" s="153">
        <v>4.05</v>
      </c>
      <c r="AG213" s="174"/>
      <c r="AH213" s="174">
        <f t="shared" si="13"/>
        <v>0.74074074074074081</v>
      </c>
      <c r="AI213" s="174"/>
      <c r="AJ213" s="186"/>
      <c r="AK213" s="174">
        <f>(($AK$2+Y213*Лист1!$B$7^2*Лист1!$G$8/100)/(AA213/10^6)+$AK$3/(AE213/10^6))/1000/($Q213*IF(Лист1!$J$19="да",1/1.05,1))</f>
        <v>0.32928825092708996</v>
      </c>
      <c r="AL213" s="24"/>
      <c r="AM213" s="186"/>
      <c r="AN213" s="174">
        <f>(($AK$2+Y213*Лист1!$B$7^2*Лист1!$G$8/100)/(AA213/10^6)+$AK$3/(AE213/10^6))/1000/($Q213*IF(Лист1!$J$19="да",1/1.05,1))</f>
        <v>0.32928825092708996</v>
      </c>
      <c r="AO213" s="24"/>
      <c r="AP213" s="186"/>
      <c r="AQ213" s="174">
        <f>MAX((5/384*($AQ$2+$Y213/100)*$D$17^4/(2.06*10^8*$Z213/10^8))/($D$17/300)*INDEX(Лист1!$L$34:$L$38,MATCH(Лист1!$B$8,Лист1!$I$34:$I$38,0),1),(5/384*($AQ$3)*$D$17^4/(2.06*10^8*$AD213/10^8))/($D$17/200))</f>
        <v>0.86478438604519714</v>
      </c>
      <c r="AR213" s="174"/>
      <c r="AS213" s="175"/>
      <c r="AT213" s="174">
        <f>MAX((5/384*($AT$2+$Y213/100)*$D$17^4/(2.06*10^8*$Z213/10^8))/($D$17/300)*INDEX(Лист1!$L$34:$L$38,MATCH(Лист1!$B$8,Лист1!$I$34:$I$38,0),1),(5/384*($AT$3)*$D$17^4/(2.06*10^8*$AD213/10^8))/($D$17/200))</f>
        <v>0.51475261074118883</v>
      </c>
      <c r="AU213" s="174"/>
      <c r="AV213" s="174">
        <f>IF(OR(MAX(AH213,AQ213)&gt;1,AK213&gt;Лист1!$B$20,N213="-"),999999999,Y213*Лист1!$B$7+0.0001*O213)</f>
        <v>87.021000000000001</v>
      </c>
      <c r="AW213" s="174"/>
      <c r="AX213" s="174">
        <f>IF(OR(MAX(AH213,AT213)&gt;1,AN213&gt;Лист1!$B$20,N213="-"),999999999,Y213*Лист1!$B$7+0.0001*O213)</f>
        <v>87.021000000000001</v>
      </c>
    </row>
    <row r="214" spans="14:50" ht="16.5" thickBot="1" x14ac:dyDescent="0.3">
      <c r="O214">
        <f t="shared" si="12"/>
        <v>211</v>
      </c>
      <c r="P214" s="179" t="s">
        <v>296</v>
      </c>
      <c r="Q214" s="179">
        <v>340</v>
      </c>
      <c r="R214" s="154" t="s">
        <v>228</v>
      </c>
      <c r="S214" s="157">
        <v>140</v>
      </c>
      <c r="T214" s="157">
        <v>140</v>
      </c>
      <c r="X214" s="148">
        <v>22.9</v>
      </c>
      <c r="Y214" s="149">
        <v>18</v>
      </c>
      <c r="Z214" s="149">
        <v>619.70000000000005</v>
      </c>
      <c r="AA214" s="150">
        <v>88.5</v>
      </c>
      <c r="AC214" s="151">
        <v>5.2</v>
      </c>
      <c r="AD214" s="152">
        <v>368</v>
      </c>
      <c r="AE214" s="150">
        <v>73.599999999999994</v>
      </c>
      <c r="AF214" s="153">
        <v>4.01</v>
      </c>
      <c r="AG214" s="174"/>
      <c r="AH214" s="174">
        <f t="shared" si="13"/>
        <v>0.74812967581047385</v>
      </c>
      <c r="AI214" s="174"/>
      <c r="AJ214" s="186"/>
      <c r="AK214" s="174">
        <f>(($AK$2+Y214*Лист1!$B$7^2*Лист1!$G$8/100)/(AA214/10^6)+$AK$3/(AE214/10^6))/1000/($Q214*IF(Лист1!$J$19="да",1/1.05,1))</f>
        <v>0.27739240771914514</v>
      </c>
      <c r="AL214" s="24"/>
      <c r="AM214" s="186"/>
      <c r="AN214" s="174">
        <f>(($AK$2+Y214*Лист1!$B$7^2*Лист1!$G$8/100)/(AA214/10^6)+$AK$3/(AE214/10^6))/1000/($Q214*IF(Лист1!$J$19="да",1/1.05,1))</f>
        <v>0.27739240771914514</v>
      </c>
      <c r="AO214" s="24"/>
      <c r="AP214" s="186"/>
      <c r="AQ214" s="174">
        <f>MAX((5/384*($AQ$2+$Y214/100)*$D$17^4/(2.06*10^8*$Z214/10^8))/($D$17/300)*INDEX(Лист1!$L$34:$L$38,MATCH(Лист1!$B$8,Лист1!$I$34:$I$38,0),1),(5/384*($AQ$3)*$D$17^4/(2.06*10^8*$AD214/10^8))/($D$17/200))</f>
        <v>0.71509208878683006</v>
      </c>
      <c r="AR214" s="174"/>
      <c r="AS214" s="175"/>
      <c r="AT214" s="174">
        <f>MAX((5/384*($AT$2+$Y214/100)*$D$17^4/(2.06*10^8*$Z214/10^8))/($D$17/300)*INDEX(Лист1!$L$34:$L$38,MATCH(Лист1!$B$8,Лист1!$I$34:$I$38,0),1),(5/384*($AT$3)*$D$17^4/(2.06*10^8*$AD214/10^8))/($D$17/200))</f>
        <v>0.42565005284930363</v>
      </c>
      <c r="AU214" s="174"/>
      <c r="AV214" s="174">
        <f>IF(OR(MAX(AH214,AQ214)&gt;1,AK214&gt;Лист1!$B$20,N214="-"),999999999,Y214*Лист1!$B$7+0.0001*O214)</f>
        <v>108.0211</v>
      </c>
      <c r="AW214" s="174"/>
      <c r="AX214" s="174">
        <f>IF(OR(MAX(AH214,AT214)&gt;1,AN214&gt;Лист1!$B$20,N214="-"),999999999,Y214*Лист1!$B$7+0.0001*O214)</f>
        <v>108.0211</v>
      </c>
    </row>
    <row r="215" spans="14:50" ht="16.5" thickBot="1" x14ac:dyDescent="0.3">
      <c r="O215">
        <f t="shared" si="12"/>
        <v>212</v>
      </c>
      <c r="P215" s="179" t="s">
        <v>296</v>
      </c>
      <c r="Q215" s="179">
        <v>340</v>
      </c>
      <c r="R215" s="154" t="s">
        <v>229</v>
      </c>
      <c r="S215" s="157">
        <v>140</v>
      </c>
      <c r="T215" s="157">
        <v>140</v>
      </c>
      <c r="X215" s="148">
        <v>27.4</v>
      </c>
      <c r="Y215" s="149">
        <v>21.5</v>
      </c>
      <c r="Z215" s="149">
        <v>729.2</v>
      </c>
      <c r="AA215" s="150">
        <v>104.2</v>
      </c>
      <c r="AC215" s="151">
        <v>5.16</v>
      </c>
      <c r="AD215" s="152">
        <v>432.4</v>
      </c>
      <c r="AE215" s="150">
        <v>86.5</v>
      </c>
      <c r="AF215" s="153">
        <v>3.97</v>
      </c>
      <c r="AG215" s="174"/>
      <c r="AH215" s="174">
        <f t="shared" si="13"/>
        <v>0.75566750629722923</v>
      </c>
      <c r="AI215" s="174"/>
      <c r="AJ215" s="186"/>
      <c r="AK215" s="174">
        <f>(($AK$2+Y215*Лист1!$B$7^2*Лист1!$G$8/100)/(AA215/10^6)+$AK$3/(AE215/10^6))/1000/($Q215*IF(Лист1!$J$19="да",1/1.05,1))</f>
        <v>0.24030952236350223</v>
      </c>
      <c r="AL215" s="24"/>
      <c r="AM215" s="186"/>
      <c r="AN215" s="174">
        <f>(($AK$2+Y215*Лист1!$B$7^2*Лист1!$G$8/100)/(AA215/10^6)+$AK$3/(AE215/10^6))/1000/($Q215*IF(Лист1!$J$19="да",1/1.05,1))</f>
        <v>0.24030952236350223</v>
      </c>
      <c r="AO215" s="24"/>
      <c r="AP215" s="186"/>
      <c r="AQ215" s="174">
        <f>MAX((5/384*($AQ$2+$Y215/100)*$D$17^4/(2.06*10^8*$Z215/10^8))/($D$17/300)*INDEX(Лист1!$L$34:$L$38,MATCH(Лист1!$B$8,Лист1!$I$34:$I$38,0),1),(5/384*($AQ$3)*$D$17^4/(2.06*10^8*$AD215/10^8))/($D$17/200))</f>
        <v>0.60858901173347246</v>
      </c>
      <c r="AR215" s="174"/>
      <c r="AS215" s="175"/>
      <c r="AT215" s="174">
        <f>MAX((5/384*($AT$2+$Y215/100)*$D$17^4/(2.06*10^8*$Z215/10^8))/($D$17/300)*INDEX(Лист1!$L$34:$L$38,MATCH(Лист1!$B$8,Лист1!$I$34:$I$38,0),1),(5/384*($AT$3)*$D$17^4/(2.06*10^8*$AD215/10^8))/($D$17/200))</f>
        <v>0.36225536412706694</v>
      </c>
      <c r="AU215" s="174"/>
      <c r="AV215" s="174">
        <f>IF(OR(MAX(AH215,AQ215)&gt;1,AK215&gt;Лист1!$B$20,N215="-"),999999999,Y215*Лист1!$B$7+0.0001*O215)</f>
        <v>129.02119999999999</v>
      </c>
      <c r="AW215" s="174"/>
      <c r="AX215" s="174">
        <f>IF(OR(MAX(AH215,AT215)&gt;1,AN215&gt;Лист1!$B$20,N215="-"),999999999,Y215*Лист1!$B$7+0.0001*O215)</f>
        <v>129.02119999999999</v>
      </c>
    </row>
    <row r="216" spans="14:50" ht="16.5" thickBot="1" x14ac:dyDescent="0.3">
      <c r="N216" t="s">
        <v>344</v>
      </c>
      <c r="O216">
        <f t="shared" si="12"/>
        <v>213</v>
      </c>
      <c r="P216" s="179" t="s">
        <v>296</v>
      </c>
      <c r="Q216" s="179">
        <v>340</v>
      </c>
      <c r="R216" s="154" t="s">
        <v>230</v>
      </c>
      <c r="S216" s="157">
        <v>140</v>
      </c>
      <c r="T216" s="157">
        <v>140</v>
      </c>
      <c r="X216" s="155">
        <v>32</v>
      </c>
      <c r="Y216" s="149">
        <v>25.1</v>
      </c>
      <c r="Z216" s="149">
        <v>839.8</v>
      </c>
      <c r="AA216" s="150">
        <v>120</v>
      </c>
      <c r="AC216" s="151">
        <v>5.1100000000000003</v>
      </c>
      <c r="AD216" s="152">
        <v>497.5</v>
      </c>
      <c r="AE216" s="150">
        <v>99.5</v>
      </c>
      <c r="AF216" s="153">
        <v>3.92</v>
      </c>
      <c r="AG216" s="174"/>
      <c r="AH216" s="174">
        <f t="shared" si="13"/>
        <v>0.76530612244897966</v>
      </c>
      <c r="AI216" s="174"/>
      <c r="AJ216" s="186"/>
      <c r="AK216" s="174">
        <f>(($AK$2+Y216*Лист1!$B$7^2*Лист1!$G$8/100)/(AA216/10^6)+$AK$3/(AE216/10^6))/1000/($Q216*IF(Лист1!$J$19="да",1/1.05,1))</f>
        <v>0.21278879205853268</v>
      </c>
      <c r="AL216" s="24"/>
      <c r="AM216" s="186"/>
      <c r="AN216" s="174">
        <f>(($AK$2+Y216*Лист1!$B$7^2*Лист1!$G$8/100)/(AA216/10^6)+$AK$3/(AE216/10^6))/1000/($Q216*IF(Лист1!$J$19="да",1/1.05,1))</f>
        <v>0.21278879205853268</v>
      </c>
      <c r="AO216" s="24"/>
      <c r="AP216" s="186"/>
      <c r="AQ216" s="174">
        <f>MAX((5/384*($AQ$2+$Y216/100)*$D$17^4/(2.06*10^8*$Z216/10^8))/($D$17/300)*INDEX(Лист1!$L$34:$L$38,MATCH(Лист1!$B$8,Лист1!$I$34:$I$38,0),1),(5/384*($AQ$3)*$D$17^4/(2.06*10^8*$AD216/10^8))/($D$17/200))</f>
        <v>0.52895254004734371</v>
      </c>
      <c r="AR216" s="174"/>
      <c r="AS216" s="175"/>
      <c r="AT216" s="174">
        <f>MAX((5/384*($AT$2+$Y216/100)*$D$17^4/(2.06*10^8*$Z216/10^8))/($D$17/300)*INDEX(Лист1!$L$34:$L$38,MATCH(Лист1!$B$8,Лист1!$I$34:$I$38,0),1),(5/384*($AT$3)*$D$17^4/(2.06*10^8*$AD216/10^8))/($D$17/200))</f>
        <v>0.31485270240913321</v>
      </c>
      <c r="AU216" s="174"/>
      <c r="AV216" s="174">
        <f>IF(OR(MAX(AH216,AQ216)&gt;1,AK216&gt;Лист1!$B$20,N216="-"),999999999,Y216*Лист1!$B$7+0.0001*O216)</f>
        <v>999999999</v>
      </c>
      <c r="AW216" s="174"/>
      <c r="AX216" s="174">
        <f>IF(OR(MAX(AH216,AT216)&gt;1,AN216&gt;Лист1!$B$20,N216="-"),999999999,Y216*Лист1!$B$7+0.0001*O216)</f>
        <v>999999999</v>
      </c>
    </row>
    <row r="217" spans="14:50" ht="16.5" thickBot="1" x14ac:dyDescent="0.3">
      <c r="N217" t="s">
        <v>344</v>
      </c>
      <c r="O217">
        <f t="shared" si="12"/>
        <v>214</v>
      </c>
      <c r="P217" s="179" t="s">
        <v>296</v>
      </c>
      <c r="Q217" s="179">
        <v>340</v>
      </c>
      <c r="R217" s="154" t="s">
        <v>231</v>
      </c>
      <c r="S217" s="148">
        <v>160</v>
      </c>
      <c r="T217" s="148">
        <v>160</v>
      </c>
      <c r="X217" s="148">
        <v>13.9</v>
      </c>
      <c r="Y217" s="149">
        <v>10.9</v>
      </c>
      <c r="Z217" s="149">
        <v>455</v>
      </c>
      <c r="AA217" s="150">
        <v>56.9</v>
      </c>
      <c r="AC217" s="151">
        <v>5.7</v>
      </c>
      <c r="AD217" s="152">
        <v>155.19999999999999</v>
      </c>
      <c r="AE217" s="150">
        <v>38.799999999999997</v>
      </c>
      <c r="AF217" s="153">
        <v>3.34</v>
      </c>
      <c r="AG217" s="174"/>
      <c r="AH217" s="174">
        <f t="shared" si="13"/>
        <v>0.89820359281437134</v>
      </c>
      <c r="AI217" s="174"/>
      <c r="AJ217" s="186"/>
      <c r="AK217" s="174">
        <f>(($AK$2+Y217*Лист1!$B$7^2*Лист1!$G$8/100)/(AA217/10^6)+$AK$3/(AE217/10^6))/1000/($Q217*IF(Лист1!$J$19="да",1/1.05,1))</f>
        <v>0.47412177063141958</v>
      </c>
      <c r="AL217" s="24"/>
      <c r="AM217" s="186"/>
      <c r="AN217" s="174">
        <f>(($AK$2+Y217*Лист1!$B$7^2*Лист1!$G$8/100)/(AA217/10^6)+$AK$3/(AE217/10^6))/1000/($Q217*IF(Лист1!$J$19="да",1/1.05,1))</f>
        <v>0.47412177063141958</v>
      </c>
      <c r="AO217" s="24"/>
      <c r="AP217" s="186"/>
      <c r="AQ217" s="174">
        <f>MAX((5/384*($AQ$2+$Y217/100)*$D$17^4/(2.06*10^8*$Z217/10^8))/($D$17/300)*INDEX(Лист1!$L$34:$L$38,MATCH(Лист1!$B$8,Лист1!$I$34:$I$38,0),1),(5/384*($AQ$3)*$D$17^4/(2.06*10^8*$AD217/10^8))/($D$17/200))</f>
        <v>1.6955791795976385</v>
      </c>
      <c r="AR217" s="174"/>
      <c r="AS217" s="175"/>
      <c r="AT217" s="174">
        <f>MAX((5/384*($AT$2+$Y217/100)*$D$17^4/(2.06*10^8*$Z217/10^8))/($D$17/300)*INDEX(Лист1!$L$34:$L$38,MATCH(Лист1!$B$8,Лист1!$I$34:$I$38,0),1),(5/384*($AT$3)*$D$17^4/(2.06*10^8*$AD217/10^8))/($D$17/200))</f>
        <v>1.0092733211890705</v>
      </c>
      <c r="AU217" s="174"/>
      <c r="AV217" s="174">
        <f>IF(OR(MAX(AH217,AQ217)&gt;1,AK217&gt;Лист1!$B$20,N217="-"),999999999,Y217*Лист1!$B$7+0.0001*O217)</f>
        <v>999999999</v>
      </c>
      <c r="AW217" s="174"/>
      <c r="AX217" s="174">
        <f>IF(OR(MAX(AH217,AT217)&gt;1,AN217&gt;Лист1!$B$20,N217="-"),999999999,Y217*Лист1!$B$7+0.0001*O217)</f>
        <v>999999999</v>
      </c>
    </row>
    <row r="218" spans="14:50" ht="16.5" thickBot="1" x14ac:dyDescent="0.3">
      <c r="O218">
        <f t="shared" si="12"/>
        <v>215</v>
      </c>
      <c r="P218" s="179" t="s">
        <v>296</v>
      </c>
      <c r="Q218" s="179">
        <v>340</v>
      </c>
      <c r="R218" s="154" t="s">
        <v>232</v>
      </c>
      <c r="S218" s="148">
        <v>160</v>
      </c>
      <c r="T218" s="148">
        <v>160</v>
      </c>
      <c r="X218" s="148">
        <v>18.5</v>
      </c>
      <c r="Y218" s="149">
        <v>14.5</v>
      </c>
      <c r="Z218" s="149">
        <v>606.70000000000005</v>
      </c>
      <c r="AA218" s="150">
        <v>75.8</v>
      </c>
      <c r="AC218" s="151">
        <v>5.73</v>
      </c>
      <c r="AD218" s="152">
        <v>206.9</v>
      </c>
      <c r="AE218" s="150">
        <v>51.7</v>
      </c>
      <c r="AF218" s="153">
        <v>3.34</v>
      </c>
      <c r="AG218" s="174"/>
      <c r="AH218" s="174">
        <f t="shared" si="13"/>
        <v>0.89820359281437134</v>
      </c>
      <c r="AI218" s="174"/>
      <c r="AJ218" s="186"/>
      <c r="AK218" s="174">
        <f>(($AK$2+Y218*Лист1!$B$7^2*Лист1!$G$8/100)/(AA218/10^6)+$AK$3/(AE218/10^6))/1000/($Q218*IF(Лист1!$J$19="да",1/1.05,1))</f>
        <v>0.3621320825810268</v>
      </c>
      <c r="AL218" s="24"/>
      <c r="AM218" s="186"/>
      <c r="AN218" s="174">
        <f>(($AK$2+Y218*Лист1!$B$7^2*Лист1!$G$8/100)/(AA218/10^6)+$AK$3/(AE218/10^6))/1000/($Q218*IF(Лист1!$J$19="да",1/1.05,1))</f>
        <v>0.3621320825810268</v>
      </c>
      <c r="AO218" s="24"/>
      <c r="AP218" s="186"/>
      <c r="AQ218" s="174">
        <f>MAX((5/384*($AQ$2+$Y218/100)*$D$17^4/(2.06*10^8*$Z218/10^8))/($D$17/300)*INDEX(Лист1!$L$34:$L$38,MATCH(Лист1!$B$8,Лист1!$I$34:$I$38,0),1),(5/384*($AQ$3)*$D$17^4/(2.06*10^8*$AD218/10^8))/($D$17/200))</f>
        <v>1.271889263767779</v>
      </c>
      <c r="AR218" s="174"/>
      <c r="AS218" s="175"/>
      <c r="AT218" s="174">
        <f>MAX((5/384*($AT$2+$Y218/100)*$D$17^4/(2.06*10^8*$Z218/10^8))/($D$17/300)*INDEX(Лист1!$L$34:$L$38,MATCH(Лист1!$B$8,Лист1!$I$34:$I$38,0),1),(5/384*($AT$3)*$D$17^4/(2.06*10^8*$AD218/10^8))/($D$17/200))</f>
        <v>0.75707694271891612</v>
      </c>
      <c r="AU218" s="174"/>
      <c r="AV218" s="174">
        <f>IF(OR(MAX(AH218,AQ218)&gt;1,AK218&gt;Лист1!$B$20,N218="-"),999999999,Y218*Лист1!$B$7+0.0001*O218)</f>
        <v>999999999</v>
      </c>
      <c r="AW218" s="174"/>
      <c r="AX218" s="174">
        <f>IF(OR(MAX(AH218,AT218)&gt;1,AN218&gt;Лист1!$B$20,N218="-"),999999999,Y218*Лист1!$B$7+0.0001*O218)</f>
        <v>87.021500000000003</v>
      </c>
    </row>
    <row r="219" spans="14:50" ht="16.5" thickBot="1" x14ac:dyDescent="0.3">
      <c r="O219">
        <f t="shared" si="12"/>
        <v>216</v>
      </c>
      <c r="P219" s="179" t="s">
        <v>296</v>
      </c>
      <c r="Q219" s="179">
        <v>340</v>
      </c>
      <c r="R219" s="154" t="s">
        <v>233</v>
      </c>
      <c r="S219" s="148">
        <v>160</v>
      </c>
      <c r="T219" s="148">
        <v>160</v>
      </c>
      <c r="X219" s="148">
        <v>22.9</v>
      </c>
      <c r="Y219" s="149">
        <v>18</v>
      </c>
      <c r="Z219" s="149">
        <v>735.9</v>
      </c>
      <c r="AA219" s="150">
        <v>92</v>
      </c>
      <c r="AC219" s="151">
        <v>5.67</v>
      </c>
      <c r="AD219" s="152">
        <v>248.7</v>
      </c>
      <c r="AE219" s="150">
        <v>62.2</v>
      </c>
      <c r="AF219" s="153">
        <v>3.29</v>
      </c>
      <c r="AG219" s="174"/>
      <c r="AH219" s="174">
        <f t="shared" si="13"/>
        <v>0.91185410334346495</v>
      </c>
      <c r="AI219" s="174"/>
      <c r="AJ219" s="186"/>
      <c r="AK219" s="174">
        <f>(($AK$2+Y219*Лист1!$B$7^2*Лист1!$G$8/100)/(AA219/10^6)+$AK$3/(AE219/10^6))/1000/($Q219*IF(Лист1!$J$19="да",1/1.05,1))</f>
        <v>0.30519578367534739</v>
      </c>
      <c r="AL219" s="24"/>
      <c r="AM219" s="186"/>
      <c r="AN219" s="174">
        <f>(($AK$2+Y219*Лист1!$B$7^2*Лист1!$G$8/100)/(AA219/10^6)+$AK$3/(AE219/10^6))/1000/($Q219*IF(Лист1!$J$19="да",1/1.05,1))</f>
        <v>0.30519578367534739</v>
      </c>
      <c r="AO219" s="24"/>
      <c r="AP219" s="186"/>
      <c r="AQ219" s="174">
        <f>MAX((5/384*($AQ$2+$Y219/100)*$D$17^4/(2.06*10^8*$Z219/10^8))/($D$17/300)*INDEX(Лист1!$L$34:$L$38,MATCH(Лист1!$B$8,Лист1!$I$34:$I$38,0),1),(5/384*($AQ$3)*$D$17^4/(2.06*10^8*$AD219/10^8))/($D$17/200))</f>
        <v>1.0581177670830457</v>
      </c>
      <c r="AR219" s="174"/>
      <c r="AS219" s="175"/>
      <c r="AT219" s="174">
        <f>MAX((5/384*($AT$2+$Y219/100)*$D$17^4/(2.06*10^8*$Z219/10^8))/($D$17/300)*INDEX(Лист1!$L$34:$L$38,MATCH(Лист1!$B$8,Лист1!$I$34:$I$38,0),1),(5/384*($AT$3)*$D$17^4/(2.06*10^8*$AD219/10^8))/($D$17/200))</f>
        <v>0.62983200421609864</v>
      </c>
      <c r="AU219" s="174"/>
      <c r="AV219" s="174">
        <f>IF(OR(MAX(AH219,AQ219)&gt;1,AK219&gt;Лист1!$B$20,N219="-"),999999999,Y219*Лист1!$B$7+0.0001*O219)</f>
        <v>999999999</v>
      </c>
      <c r="AW219" s="174"/>
      <c r="AX219" s="174">
        <f>IF(OR(MAX(AH219,AT219)&gt;1,AN219&gt;Лист1!$B$20,N219="-"),999999999,Y219*Лист1!$B$7+0.0001*O219)</f>
        <v>108.02160000000001</v>
      </c>
    </row>
    <row r="220" spans="14:50" ht="16.5" thickBot="1" x14ac:dyDescent="0.3">
      <c r="O220">
        <f t="shared" si="12"/>
        <v>217</v>
      </c>
      <c r="P220" s="179" t="s">
        <v>296</v>
      </c>
      <c r="Q220" s="179">
        <v>340</v>
      </c>
      <c r="R220" s="154" t="s">
        <v>234</v>
      </c>
      <c r="S220" s="148">
        <v>160</v>
      </c>
      <c r="T220" s="148">
        <v>160</v>
      </c>
      <c r="X220" s="148">
        <v>27.4</v>
      </c>
      <c r="Y220" s="149">
        <v>21.5</v>
      </c>
      <c r="Z220" s="149">
        <v>864.7</v>
      </c>
      <c r="AA220" s="150">
        <v>108.1</v>
      </c>
      <c r="AC220" s="151">
        <v>5.62</v>
      </c>
      <c r="AD220" s="152">
        <v>280.7</v>
      </c>
      <c r="AE220" s="150">
        <v>72.7</v>
      </c>
      <c r="AF220" s="153">
        <v>3.26</v>
      </c>
      <c r="AG220" s="174"/>
      <c r="AH220" s="174">
        <f t="shared" si="13"/>
        <v>0.92024539877300626</v>
      </c>
      <c r="AI220" s="174"/>
      <c r="AJ220" s="186"/>
      <c r="AK220" s="174">
        <f>(($AK$2+Y220*Лист1!$B$7^2*Лист1!$G$8/100)/(AA220/10^6)+$AK$3/(AE220/10^6))/1000/($Q220*IF(Лист1!$J$19="да",1/1.05,1))</f>
        <v>0.2649505833106493</v>
      </c>
      <c r="AL220" s="24"/>
      <c r="AM220" s="186"/>
      <c r="AN220" s="174">
        <f>(($AK$2+Y220*Лист1!$B$7^2*Лист1!$G$8/100)/(AA220/10^6)+$AK$3/(AE220/10^6))/1000/($Q220*IF(Лист1!$J$19="да",1/1.05,1))</f>
        <v>0.2649505833106493</v>
      </c>
      <c r="AO220" s="24"/>
      <c r="AP220" s="186"/>
      <c r="AQ220" s="174">
        <f>MAX((5/384*($AQ$2+$Y220/100)*$D$17^4/(2.06*10^8*$Z220/10^8))/($D$17/300)*INDEX(Лист1!$L$34:$L$38,MATCH(Лист1!$B$8,Лист1!$I$34:$I$38,0),1),(5/384*($AQ$3)*$D$17^4/(2.06*10^8*$AD220/10^8))/($D$17/200))</f>
        <v>0.93749158772195762</v>
      </c>
      <c r="AR220" s="174"/>
      <c r="AS220" s="175"/>
      <c r="AT220" s="174">
        <f>MAX((5/384*($AT$2+$Y220/100)*$D$17^4/(2.06*10^8*$Z220/10^8))/($D$17/300)*INDEX(Лист1!$L$34:$L$38,MATCH(Лист1!$B$8,Лист1!$I$34:$I$38,0),1),(5/384*($AT$3)*$D$17^4/(2.06*10^8*$AD220/10^8))/($D$17/200))</f>
        <v>0.55803070697735568</v>
      </c>
      <c r="AU220" s="174"/>
      <c r="AV220" s="174">
        <f>IF(OR(MAX(AH220,AQ220)&gt;1,AK220&gt;Лист1!$B$20,N220="-"),999999999,Y220*Лист1!$B$7+0.0001*O220)</f>
        <v>129.02170000000001</v>
      </c>
      <c r="AW220" s="174"/>
      <c r="AX220" s="174">
        <f>IF(OR(MAX(AH220,AT220)&gt;1,AN220&gt;Лист1!$B$20,N220="-"),999999999,Y220*Лист1!$B$7+0.0001*O220)</f>
        <v>129.02170000000001</v>
      </c>
    </row>
    <row r="221" spans="14:50" ht="16.5" thickBot="1" x14ac:dyDescent="0.3">
      <c r="O221">
        <f t="shared" si="12"/>
        <v>218</v>
      </c>
      <c r="P221" s="179" t="s">
        <v>296</v>
      </c>
      <c r="Q221" s="179">
        <v>340</v>
      </c>
      <c r="R221" s="154" t="s">
        <v>235</v>
      </c>
      <c r="S221" s="148">
        <v>160</v>
      </c>
      <c r="T221" s="148">
        <v>160</v>
      </c>
      <c r="X221" s="148">
        <v>21.6</v>
      </c>
      <c r="Y221" s="149">
        <v>17</v>
      </c>
      <c r="Z221" s="149">
        <v>799.2</v>
      </c>
      <c r="AA221" s="150">
        <v>99.9</v>
      </c>
      <c r="AC221" s="151">
        <v>6.08</v>
      </c>
      <c r="AD221" s="152">
        <v>514</v>
      </c>
      <c r="AE221" s="150">
        <v>85.7</v>
      </c>
      <c r="AF221" s="153">
        <v>4.88</v>
      </c>
      <c r="AG221" s="174"/>
      <c r="AH221" s="174">
        <f t="shared" si="13"/>
        <v>0.61475409836065575</v>
      </c>
      <c r="AI221" s="174"/>
      <c r="AJ221" s="186"/>
      <c r="AK221" s="174">
        <f>(($AK$2+Y221*Лист1!$B$7^2*Лист1!$G$8/100)/(AA221/10^6)+$AK$3/(AE221/10^6))/1000/($Q221*IF(Лист1!$J$19="да",1/1.05,1))</f>
        <v>0.23972075271286178</v>
      </c>
      <c r="AL221" s="24"/>
      <c r="AM221" s="186"/>
      <c r="AN221" s="174">
        <f>(($AK$2+Y221*Лист1!$B$7^2*Лист1!$G$8/100)/(AA221/10^6)+$AK$3/(AE221/10^6))/1000/($Q221*IF(Лист1!$J$19="да",1/1.05,1))</f>
        <v>0.23972075271286178</v>
      </c>
      <c r="AO221" s="24"/>
      <c r="AP221" s="186"/>
      <c r="AQ221" s="174">
        <f>MAX((5/384*($AQ$2+$Y221/100)*$D$17^4/(2.06*10^8*$Z221/10^8))/($D$17/300)*INDEX(Лист1!$L$34:$L$38,MATCH(Лист1!$B$8,Лист1!$I$34:$I$38,0),1),(5/384*($AQ$3)*$D$17^4/(2.06*10^8*$AD221/10^8))/($D$17/200))</f>
        <v>0.51197254605749709</v>
      </c>
      <c r="AR221" s="174"/>
      <c r="AS221" s="175"/>
      <c r="AT221" s="174">
        <f>MAX((5/384*($AT$2+$Y221/100)*$D$17^4/(2.06*10^8*$Z221/10^8))/($D$17/300)*INDEX(Лист1!$L$34:$L$38,MATCH(Лист1!$B$8,Лист1!$I$34:$I$38,0),1),(5/384*($AT$3)*$D$17^4/(2.06*10^8*$AD221/10^8))/($D$17/200))</f>
        <v>0.30474556312946255</v>
      </c>
      <c r="AU221" s="174"/>
      <c r="AV221" s="174">
        <f>IF(OR(MAX(AH221,AQ221)&gt;1,AK221&gt;Лист1!$B$20,N221="-"),999999999,Y221*Лист1!$B$7+0.0001*O221)</f>
        <v>102.0218</v>
      </c>
      <c r="AW221" s="174"/>
      <c r="AX221" s="174">
        <f>IF(OR(MAX(AH221,AT221)&gt;1,AN221&gt;Лист1!$B$20,N221="-"),999999999,Y221*Лист1!$B$7+0.0001*O221)</f>
        <v>102.0218</v>
      </c>
    </row>
    <row r="222" spans="14:50" ht="16.5" thickBot="1" x14ac:dyDescent="0.3">
      <c r="O222">
        <f t="shared" si="12"/>
        <v>219</v>
      </c>
      <c r="P222" s="179" t="s">
        <v>296</v>
      </c>
      <c r="Q222" s="179">
        <v>340</v>
      </c>
      <c r="R222" s="154" t="s">
        <v>236</v>
      </c>
      <c r="S222" s="148">
        <v>160</v>
      </c>
      <c r="T222" s="148">
        <v>160</v>
      </c>
      <c r="X222" s="148">
        <v>26.9</v>
      </c>
      <c r="Y222" s="149">
        <v>21.1</v>
      </c>
      <c r="Z222" s="149">
        <v>978.2</v>
      </c>
      <c r="AA222" s="150">
        <v>122.3</v>
      </c>
      <c r="AC222" s="151">
        <v>6.03</v>
      </c>
      <c r="AD222" s="152">
        <v>628.4</v>
      </c>
      <c r="AE222" s="150">
        <v>104.7</v>
      </c>
      <c r="AF222" s="153">
        <v>4.83</v>
      </c>
      <c r="AG222" s="174"/>
      <c r="AH222" s="174">
        <f t="shared" si="13"/>
        <v>0.62111801242236031</v>
      </c>
      <c r="AI222" s="174"/>
      <c r="AJ222" s="186"/>
      <c r="AK222" s="174">
        <f>(($AK$2+Y222*Лист1!$B$7^2*Лист1!$G$8/100)/(AA222/10^6)+$AK$3/(AE222/10^6))/1000/($Q222*IF(Лист1!$J$19="да",1/1.05,1))</f>
        <v>0.20050226650516065</v>
      </c>
      <c r="AL222" s="24"/>
      <c r="AM222" s="186"/>
      <c r="AN222" s="174">
        <f>(($AK$2+Y222*Лист1!$B$7^2*Лист1!$G$8/100)/(AA222/10^6)+$AK$3/(AE222/10^6))/1000/($Q222*IF(Лист1!$J$19="да",1/1.05,1))</f>
        <v>0.20050226650516065</v>
      </c>
      <c r="AO222" s="24"/>
      <c r="AP222" s="186"/>
      <c r="AQ222" s="174">
        <f>MAX((5/384*($AQ$2+$Y222/100)*$D$17^4/(2.06*10^8*$Z222/10^8))/($D$17/300)*INDEX(Лист1!$L$34:$L$38,MATCH(Лист1!$B$8,Лист1!$I$34:$I$38,0),1),(5/384*($AQ$3)*$D$17^4/(2.06*10^8*$AD222/10^8))/($D$17/200))</f>
        <v>0.41876812328700425</v>
      </c>
      <c r="AR222" s="174"/>
      <c r="AS222" s="175"/>
      <c r="AT222" s="174">
        <f>MAX((5/384*($AT$2+$Y222/100)*$D$17^4/(2.06*10^8*$Z222/10^8))/($D$17/300)*INDEX(Лист1!$L$34:$L$38,MATCH(Лист1!$B$8,Лист1!$I$34:$I$38,0),1),(5/384*($AT$3)*$D$17^4/(2.06*10^8*$AD222/10^8))/($D$17/200))</f>
        <v>0.24926674005178828</v>
      </c>
      <c r="AU222" s="174"/>
      <c r="AV222" s="174">
        <f>IF(OR(MAX(AH222,AQ222)&gt;1,AK222&gt;Лист1!$B$20,N222="-"),999999999,Y222*Лист1!$B$7+0.0001*O222)</f>
        <v>126.62190000000001</v>
      </c>
      <c r="AW222" s="174"/>
      <c r="AX222" s="174">
        <f>IF(OR(MAX(AH222,AT222)&gt;1,AN222&gt;Лист1!$B$20,N222="-"),999999999,Y222*Лист1!$B$7+0.0001*O222)</f>
        <v>126.62190000000001</v>
      </c>
    </row>
    <row r="223" spans="14:50" ht="16.5" thickBot="1" x14ac:dyDescent="0.3">
      <c r="O223">
        <f t="shared" si="12"/>
        <v>220</v>
      </c>
      <c r="P223" s="179" t="s">
        <v>296</v>
      </c>
      <c r="Q223" s="179">
        <v>340</v>
      </c>
      <c r="R223" s="154" t="s">
        <v>237</v>
      </c>
      <c r="S223" s="148">
        <v>160</v>
      </c>
      <c r="T223" s="148">
        <v>160</v>
      </c>
      <c r="X223" s="148">
        <v>32.1</v>
      </c>
      <c r="Y223" s="149">
        <v>25.2</v>
      </c>
      <c r="Z223" s="149">
        <v>1150.5</v>
      </c>
      <c r="AA223" s="150">
        <v>143.80000000000001</v>
      </c>
      <c r="AC223" s="151">
        <v>5.99</v>
      </c>
      <c r="AD223" s="152">
        <v>736.9</v>
      </c>
      <c r="AE223" s="150">
        <v>122.8</v>
      </c>
      <c r="AF223" s="153">
        <v>4.79</v>
      </c>
      <c r="AG223" s="174"/>
      <c r="AH223" s="174">
        <f t="shared" si="13"/>
        <v>0.62630480167014613</v>
      </c>
      <c r="AI223" s="174"/>
      <c r="AJ223" s="186"/>
      <c r="AK223" s="174">
        <f>(($AK$2+Y223*Лист1!$B$7^2*Лист1!$G$8/100)/(AA223/10^6)+$AK$3/(AE223/10^6))/1000/($Q223*IF(Лист1!$J$19="да",1/1.05,1))</f>
        <v>0.17455631135671948</v>
      </c>
      <c r="AL223" s="24"/>
      <c r="AM223" s="186"/>
      <c r="AN223" s="174">
        <f>(($AK$2+Y223*Лист1!$B$7^2*Лист1!$G$8/100)/(AA223/10^6)+$AK$3/(AE223/10^6))/1000/($Q223*IF(Лист1!$J$19="да",1/1.05,1))</f>
        <v>0.17455631135671948</v>
      </c>
      <c r="AO223" s="24"/>
      <c r="AP223" s="186"/>
      <c r="AQ223" s="174">
        <f>MAX((5/384*($AQ$2+$Y223/100)*$D$17^4/(2.06*10^8*$Z223/10^8))/($D$17/300)*INDEX(Лист1!$L$34:$L$38,MATCH(Лист1!$B$8,Лист1!$I$34:$I$38,0),1),(5/384*($AQ$3)*$D$17^4/(2.06*10^8*$AD223/10^8))/($D$17/200))</f>
        <v>0.35710936174997082</v>
      </c>
      <c r="AR223" s="174"/>
      <c r="AS223" s="175"/>
      <c r="AT223" s="174">
        <f>MAX((5/384*($AT$2+$Y223/100)*$D$17^4/(2.06*10^8*$Z223/10^8))/($D$17/300)*INDEX(Лист1!$L$34:$L$38,MATCH(Лист1!$B$8,Лист1!$I$34:$I$38,0),1),(5/384*($AT$3)*$D$17^4/(2.06*10^8*$AD223/10^8))/($D$17/200))</f>
        <v>0.21256509627974454</v>
      </c>
      <c r="AU223" s="174"/>
      <c r="AV223" s="174">
        <f>IF(OR(MAX(AH223,AQ223)&gt;1,AK223&gt;Лист1!$B$20,N223="-"),999999999,Y223*Лист1!$B$7+0.0001*O223)</f>
        <v>151.22199999999998</v>
      </c>
      <c r="AW223" s="174"/>
      <c r="AX223" s="174">
        <f>IF(OR(MAX(AH223,AT223)&gt;1,AN223&gt;Лист1!$B$20,N223="-"),999999999,Y223*Лист1!$B$7+0.0001*O223)</f>
        <v>151.22199999999998</v>
      </c>
    </row>
    <row r="224" spans="14:50" ht="16.5" thickBot="1" x14ac:dyDescent="0.3">
      <c r="O224">
        <f t="shared" si="12"/>
        <v>221</v>
      </c>
      <c r="P224" s="179" t="s">
        <v>296</v>
      </c>
      <c r="Q224" s="179">
        <v>340</v>
      </c>
      <c r="R224" s="154" t="s">
        <v>238</v>
      </c>
      <c r="S224" s="148">
        <v>160</v>
      </c>
      <c r="T224" s="148">
        <v>160</v>
      </c>
      <c r="X224" s="148">
        <v>37.200000000000003</v>
      </c>
      <c r="Y224" s="149">
        <v>29.2</v>
      </c>
      <c r="Z224" s="149">
        <v>1307.4000000000001</v>
      </c>
      <c r="AA224" s="150">
        <v>163.4</v>
      </c>
      <c r="AC224" s="151">
        <v>5.93</v>
      </c>
      <c r="AD224" s="152">
        <v>836.6</v>
      </c>
      <c r="AE224" s="150">
        <v>139.4</v>
      </c>
      <c r="AF224" s="153">
        <v>4.74</v>
      </c>
      <c r="AG224" s="174"/>
      <c r="AH224" s="174">
        <f t="shared" si="13"/>
        <v>0.63291139240506322</v>
      </c>
      <c r="AI224" s="174"/>
      <c r="AJ224" s="186"/>
      <c r="AK224" s="174">
        <f>(($AK$2+Y224*Лист1!$B$7^2*Лист1!$G$8/100)/(AA224/10^6)+$AK$3/(AE224/10^6))/1000/($Q224*IF(Лист1!$J$19="да",1/1.05,1))</f>
        <v>0.15694836437149592</v>
      </c>
      <c r="AL224" s="24"/>
      <c r="AM224" s="186"/>
      <c r="AN224" s="174">
        <f>(($AK$2+Y224*Лист1!$B$7^2*Лист1!$G$8/100)/(AA224/10^6)+$AK$3/(AE224/10^6))/1000/($Q224*IF(Лист1!$J$19="да",1/1.05,1))</f>
        <v>0.15694836437149592</v>
      </c>
      <c r="AO224" s="24"/>
      <c r="AP224" s="186"/>
      <c r="AQ224" s="174">
        <f>MAX((5/384*($AQ$2+$Y224/100)*$D$17^4/(2.06*10^8*$Z224/10^8))/($D$17/300)*INDEX(Лист1!$L$34:$L$38,MATCH(Лист1!$B$8,Лист1!$I$34:$I$38,0),1),(5/384*($AQ$3)*$D$17^4/(2.06*10^8*$AD224/10^8))/($D$17/200))</f>
        <v>0.31455162404201947</v>
      </c>
      <c r="AR224" s="174"/>
      <c r="AS224" s="175"/>
      <c r="AT224" s="174">
        <f>MAX((5/384*($AT$2+$Y224/100)*$D$17^4/(2.06*10^8*$Z224/10^8))/($D$17/300)*INDEX(Лист1!$L$34:$L$38,MATCH(Лист1!$B$8,Лист1!$I$34:$I$38,0),1),(5/384*($AT$3)*$D$17^4/(2.06*10^8*$AD224/10^8))/($D$17/200))</f>
        <v>0.18723310954882111</v>
      </c>
      <c r="AU224" s="174"/>
      <c r="AV224" s="174">
        <f>IF(OR(MAX(AH224,AQ224)&gt;1,AK224&gt;Лист1!$B$20,N224="-"),999999999,Y224*Лист1!$B$7+0.0001*O224)</f>
        <v>175.22209999999998</v>
      </c>
      <c r="AW224" s="174"/>
      <c r="AX224" s="174">
        <f>IF(OR(MAX(AH224,AT224)&gt;1,AN224&gt;Лист1!$B$20,N224="-"),999999999,Y224*Лист1!$B$7+0.0001*O224)</f>
        <v>175.22209999999998</v>
      </c>
    </row>
    <row r="225" spans="14:50" ht="16.5" thickBot="1" x14ac:dyDescent="0.3">
      <c r="O225">
        <f t="shared" si="12"/>
        <v>222</v>
      </c>
      <c r="P225" s="179" t="s">
        <v>296</v>
      </c>
      <c r="Q225" s="179">
        <v>340</v>
      </c>
      <c r="R225" s="154" t="s">
        <v>239</v>
      </c>
      <c r="S225" s="148">
        <v>160</v>
      </c>
      <c r="T225" s="148">
        <v>160</v>
      </c>
      <c r="X225" s="148">
        <v>42.3</v>
      </c>
      <c r="Y225" s="149">
        <v>33.200000000000003</v>
      </c>
      <c r="Z225" s="149">
        <v>1461</v>
      </c>
      <c r="AA225" s="150">
        <v>182.6</v>
      </c>
      <c r="AC225" s="151">
        <v>5.88</v>
      </c>
      <c r="AD225" s="152">
        <v>932.5</v>
      </c>
      <c r="AE225" s="150">
        <v>155.4</v>
      </c>
      <c r="AF225" s="153">
        <v>4.6900000000000004</v>
      </c>
      <c r="AG225" s="174"/>
      <c r="AH225" s="174">
        <f t="shared" si="13"/>
        <v>0.63965884861407252</v>
      </c>
      <c r="AI225" s="174"/>
      <c r="AJ225" s="186"/>
      <c r="AK225" s="174">
        <f>(($AK$2+Y225*Лист1!$B$7^2*Лист1!$G$8/100)/(AA225/10^6)+$AK$3/(AE225/10^6))/1000/($Q225*IF(Лист1!$J$19="да",1/1.05,1))</f>
        <v>0.14354505889093436</v>
      </c>
      <c r="AL225" s="24"/>
      <c r="AM225" s="186"/>
      <c r="AN225" s="174">
        <f>(($AK$2+Y225*Лист1!$B$7^2*Лист1!$G$8/100)/(AA225/10^6)+$AK$3/(AE225/10^6))/1000/($Q225*IF(Лист1!$J$19="да",1/1.05,1))</f>
        <v>0.14354505889093436</v>
      </c>
      <c r="AO225" s="24"/>
      <c r="AP225" s="186"/>
      <c r="AQ225" s="174">
        <f>MAX((5/384*($AQ$2+$Y225/100)*$D$17^4/(2.06*10^8*$Z225/10^8))/($D$17/300)*INDEX(Лист1!$L$34:$L$38,MATCH(Лист1!$B$8,Лист1!$I$34:$I$38,0),1),(5/384*($AQ$3)*$D$17^4/(2.06*10^8*$AD225/10^8))/($D$17/200))</f>
        <v>0.28220256158021817</v>
      </c>
      <c r="AR225" s="174"/>
      <c r="AS225" s="175"/>
      <c r="AT225" s="174">
        <f>MAX((5/384*($AT$2+$Y225/100)*$D$17^4/(2.06*10^8*$Z225/10^8))/($D$17/300)*INDEX(Лист1!$L$34:$L$38,MATCH(Лист1!$B$8,Лист1!$I$34:$I$38,0),1),(5/384*($AT$3)*$D$17^4/(2.06*10^8*$AD225/10^8))/($D$17/200))</f>
        <v>0.16797771522632035</v>
      </c>
      <c r="AU225" s="174"/>
      <c r="AV225" s="174">
        <f>IF(OR(MAX(AH225,AQ225)&gt;1,AK225&gt;Лист1!$B$20,N225="-"),999999999,Y225*Лист1!$B$7+0.0001*O225)</f>
        <v>199.22220000000002</v>
      </c>
      <c r="AW225" s="174"/>
      <c r="AX225" s="174">
        <f>IF(OR(MAX(AH225,AT225)&gt;1,AN225&gt;Лист1!$B$20,N225="-"),999999999,Y225*Лист1!$B$7+0.0001*O225)</f>
        <v>199.22220000000002</v>
      </c>
    </row>
    <row r="226" spans="14:50" ht="16.5" thickBot="1" x14ac:dyDescent="0.3">
      <c r="N226" t="s">
        <v>344</v>
      </c>
      <c r="O226">
        <f t="shared" si="12"/>
        <v>223</v>
      </c>
      <c r="P226" s="179" t="s">
        <v>296</v>
      </c>
      <c r="Q226" s="179">
        <v>340</v>
      </c>
      <c r="R226" s="154" t="s">
        <v>240</v>
      </c>
      <c r="S226" s="148">
        <v>180</v>
      </c>
      <c r="T226" s="148">
        <v>180</v>
      </c>
      <c r="X226" s="148">
        <v>22.9</v>
      </c>
      <c r="Y226" s="149">
        <v>18</v>
      </c>
      <c r="Z226" s="149">
        <v>833.8</v>
      </c>
      <c r="AA226" s="150">
        <v>92.6</v>
      </c>
      <c r="AC226" s="151">
        <v>6.03</v>
      </c>
      <c r="AD226" s="152">
        <v>144.69999999999999</v>
      </c>
      <c r="AE226" s="150">
        <v>48.2</v>
      </c>
      <c r="AF226" s="153">
        <v>2.5099999999999998</v>
      </c>
      <c r="AG226" s="174"/>
      <c r="AH226" s="174">
        <f t="shared" si="13"/>
        <v>1.1952191235059761</v>
      </c>
      <c r="AI226" s="174"/>
      <c r="AJ226" s="186"/>
      <c r="AK226" s="174">
        <f>(($AK$2+Y226*Лист1!$B$7^2*Лист1!$G$8/100)/(AA226/10^6)+$AK$3/(AE226/10^6))/1000/($Q226*IF(Лист1!$J$19="да",1/1.05,1))</f>
        <v>0.36411029925922905</v>
      </c>
      <c r="AL226" s="24"/>
      <c r="AM226" s="186"/>
      <c r="AN226" s="174">
        <f>(($AK$2+Y226*Лист1!$B$7^2*Лист1!$G$8/100)/(AA226/10^6)+$AK$3/(AE226/10^6))/1000/($Q226*IF(Лист1!$J$19="да",1/1.05,1))</f>
        <v>0.36411029925922905</v>
      </c>
      <c r="AO226" s="24"/>
      <c r="AP226" s="186"/>
      <c r="AQ226" s="174">
        <f>MAX((5/384*($AQ$2+$Y226/100)*$D$17^4/(2.06*10^8*$Z226/10^8))/($D$17/300)*INDEX(Лист1!$L$34:$L$38,MATCH(Лист1!$B$8,Лист1!$I$34:$I$38,0),1),(5/384*($AQ$3)*$D$17^4/(2.06*10^8*$AD226/10^8))/($D$17/200))</f>
        <v>1.8186170606327128</v>
      </c>
      <c r="AR226" s="174"/>
      <c r="AS226" s="175"/>
      <c r="AT226" s="174">
        <f>MAX((5/384*($AT$2+$Y226/100)*$D$17^4/(2.06*10^8*$Z226/10^8))/($D$17/300)*INDEX(Лист1!$L$34:$L$38,MATCH(Лист1!$B$8,Лист1!$I$34:$I$38,0),1),(5/384*($AT$3)*$D$17^4/(2.06*10^8*$AD226/10^8))/($D$17/200))</f>
        <v>1.0825101551385197</v>
      </c>
      <c r="AU226" s="174"/>
      <c r="AV226" s="174">
        <f>IF(OR(MAX(AH226,AQ226)&gt;1,AK226&gt;Лист1!$B$20,N226="-"),999999999,Y226*Лист1!$B$7+0.0001*O226)</f>
        <v>999999999</v>
      </c>
      <c r="AW226" s="174"/>
      <c r="AX226" s="174">
        <f>IF(OR(MAX(AH226,AT226)&gt;1,AN226&gt;Лист1!$B$20,N226="-"),999999999,Y226*Лист1!$B$7+0.0001*O226)</f>
        <v>999999999</v>
      </c>
    </row>
    <row r="227" spans="14:50" ht="16.5" thickBot="1" x14ac:dyDescent="0.3">
      <c r="N227" t="s">
        <v>344</v>
      </c>
      <c r="O227">
        <f t="shared" si="12"/>
        <v>224</v>
      </c>
      <c r="P227" s="179" t="s">
        <v>296</v>
      </c>
      <c r="Q227" s="179">
        <v>340</v>
      </c>
      <c r="R227" s="154" t="s">
        <v>241</v>
      </c>
      <c r="S227" s="148">
        <v>180</v>
      </c>
      <c r="T227" s="148">
        <v>180</v>
      </c>
      <c r="X227" s="148">
        <v>27.4</v>
      </c>
      <c r="Y227" s="149">
        <v>21.5</v>
      </c>
      <c r="Z227" s="149">
        <v>978.5</v>
      </c>
      <c r="AA227" s="150">
        <v>108.7</v>
      </c>
      <c r="AC227" s="151">
        <v>5.97</v>
      </c>
      <c r="AD227" s="152">
        <v>166.5</v>
      </c>
      <c r="AE227" s="150">
        <v>55.5</v>
      </c>
      <c r="AF227" s="153">
        <v>2.46</v>
      </c>
      <c r="AG227" s="174"/>
      <c r="AH227" s="174">
        <f t="shared" si="13"/>
        <v>1.2195121951219512</v>
      </c>
      <c r="AI227" s="174"/>
      <c r="AJ227" s="186"/>
      <c r="AK227" s="174">
        <f>(($AK$2+Y227*Лист1!$B$7^2*Лист1!$G$8/100)/(AA227/10^6)+$AK$3/(AE227/10^6))/1000/($Q227*IF(Лист1!$J$19="да",1/1.05,1))</f>
        <v>0.31883029164172993</v>
      </c>
      <c r="AL227" s="24"/>
      <c r="AM227" s="186"/>
      <c r="AN227" s="174">
        <f>(($AK$2+Y227*Лист1!$B$7^2*Лист1!$G$8/100)/(AA227/10^6)+$AK$3/(AE227/10^6))/1000/($Q227*IF(Лист1!$J$19="да",1/1.05,1))</f>
        <v>0.31883029164172993</v>
      </c>
      <c r="AO227" s="24"/>
      <c r="AP227" s="186"/>
      <c r="AQ227" s="174">
        <f>MAX((5/384*($AQ$2+$Y227/100)*$D$17^4/(2.06*10^8*$Z227/10^8))/($D$17/300)*INDEX(Лист1!$L$34:$L$38,MATCH(Лист1!$B$8,Лист1!$I$34:$I$38,0),1),(5/384*($AQ$3)*$D$17^4/(2.06*10^8*$AD227/10^8))/($D$17/200))</f>
        <v>1.5805038358771981</v>
      </c>
      <c r="AR227" s="174"/>
      <c r="AS227" s="175"/>
      <c r="AT227" s="174">
        <f>MAX((5/384*($AT$2+$Y227/100)*$D$17^4/(2.06*10^8*$Z227/10^8))/($D$17/300)*INDEX(Лист1!$L$34:$L$38,MATCH(Лист1!$B$8,Лист1!$I$34:$I$38,0),1),(5/384*($AT$3)*$D$17^4/(2.06*10^8*$AD227/10^8))/($D$17/200))</f>
        <v>0.9407760927840465</v>
      </c>
      <c r="AU227" s="174"/>
      <c r="AV227" s="174">
        <f>IF(OR(MAX(AH227,AQ227)&gt;1,AK227&gt;Лист1!$B$20,N227="-"),999999999,Y227*Лист1!$B$7+0.0001*O227)</f>
        <v>999999999</v>
      </c>
      <c r="AW227" s="174"/>
      <c r="AX227" s="174">
        <f>IF(OR(MAX(AH227,AT227)&gt;1,AN227&gt;Лист1!$B$20,N227="-"),999999999,Y227*Лист1!$B$7+0.0001*O227)</f>
        <v>999999999</v>
      </c>
    </row>
    <row r="228" spans="14:50" ht="16.5" thickBot="1" x14ac:dyDescent="0.3">
      <c r="O228">
        <f t="shared" si="12"/>
        <v>225</v>
      </c>
      <c r="P228" s="179" t="s">
        <v>296</v>
      </c>
      <c r="Q228" s="179">
        <v>340</v>
      </c>
      <c r="R228" s="154" t="s">
        <v>242</v>
      </c>
      <c r="S228" s="148">
        <v>180</v>
      </c>
      <c r="T228" s="148">
        <v>180</v>
      </c>
      <c r="X228" s="148">
        <v>26.9</v>
      </c>
      <c r="Y228" s="149">
        <v>21.1</v>
      </c>
      <c r="Z228" s="149">
        <v>1143</v>
      </c>
      <c r="AA228" s="150">
        <v>127</v>
      </c>
      <c r="AC228" s="151">
        <v>6.52</v>
      </c>
      <c r="AD228" s="152">
        <v>459.6</v>
      </c>
      <c r="AE228" s="150">
        <v>91.9</v>
      </c>
      <c r="AF228" s="153">
        <v>4.13</v>
      </c>
      <c r="AG228" s="174"/>
      <c r="AH228" s="174">
        <f t="shared" si="13"/>
        <v>0.72639225181598066</v>
      </c>
      <c r="AI228" s="174"/>
      <c r="AJ228" s="186"/>
      <c r="AK228" s="174">
        <f>(($AK$2+Y228*Лист1!$B$7^2*Лист1!$G$8/100)/(AA228/10^6)+$AK$3/(AE228/10^6))/1000/($Q228*IF(Лист1!$J$19="да",1/1.05,1))</f>
        <v>0.21455884314469736</v>
      </c>
      <c r="AL228" s="24"/>
      <c r="AM228" s="186"/>
      <c r="AN228" s="174">
        <f>(($AK$2+Y228*Лист1!$B$7^2*Лист1!$G$8/100)/(AA228/10^6)+$AK$3/(AE228/10^6))/1000/($Q228*IF(Лист1!$J$19="да",1/1.05,1))</f>
        <v>0.21455884314469736</v>
      </c>
      <c r="AO228" s="24"/>
      <c r="AP228" s="186"/>
      <c r="AQ228" s="174">
        <f>MAX((5/384*($AQ$2+$Y228/100)*$D$17^4/(2.06*10^8*$Z228/10^8))/($D$17/300)*INDEX(Лист1!$L$34:$L$38,MATCH(Лист1!$B$8,Лист1!$I$34:$I$38,0),1),(5/384*($AQ$3)*$D$17^4/(2.06*10^8*$AD228/10^8))/($D$17/200))</f>
        <v>0.57257155934193538</v>
      </c>
      <c r="AR228" s="174"/>
      <c r="AS228" s="175"/>
      <c r="AT228" s="174">
        <f>MAX((5/384*($AT$2+$Y228/100)*$D$17^4/(2.06*10^8*$Z228/10^8))/($D$17/300)*INDEX(Лист1!$L$34:$L$38,MATCH(Лист1!$B$8,Лист1!$I$34:$I$38,0),1),(5/384*($AT$3)*$D$17^4/(2.06*10^8*$AD228/10^8))/($D$17/200))</f>
        <v>0.34081640437019967</v>
      </c>
      <c r="AU228" s="174"/>
      <c r="AV228" s="174">
        <f>IF(OR(MAX(AH228,AQ228)&gt;1,AK228&gt;Лист1!$B$20,N228="-"),999999999,Y228*Лист1!$B$7+0.0001*O228)</f>
        <v>126.6225</v>
      </c>
      <c r="AW228" s="174"/>
      <c r="AX228" s="174">
        <f>IF(OR(MAX(AH228,AT228)&gt;1,AN228&gt;Лист1!$B$20,N228="-"),999999999,Y228*Лист1!$B$7+0.0001*O228)</f>
        <v>126.6225</v>
      </c>
    </row>
    <row r="229" spans="14:50" ht="16.5" thickBot="1" x14ac:dyDescent="0.3">
      <c r="O229">
        <f t="shared" si="12"/>
        <v>226</v>
      </c>
      <c r="P229" s="179" t="s">
        <v>296</v>
      </c>
      <c r="Q229" s="179">
        <v>340</v>
      </c>
      <c r="R229" s="154" t="s">
        <v>243</v>
      </c>
      <c r="S229" s="148">
        <v>180</v>
      </c>
      <c r="T229" s="148">
        <v>180</v>
      </c>
      <c r="X229" s="148">
        <v>32.1</v>
      </c>
      <c r="Y229" s="149">
        <v>25.2</v>
      </c>
      <c r="Z229" s="149">
        <v>1344.4</v>
      </c>
      <c r="AA229" s="150">
        <v>149.4</v>
      </c>
      <c r="AC229" s="151">
        <v>6.47</v>
      </c>
      <c r="AD229" s="152">
        <v>537.79999999999995</v>
      </c>
      <c r="AE229" s="150">
        <v>107.6</v>
      </c>
      <c r="AF229" s="153">
        <v>4.09</v>
      </c>
      <c r="AG229" s="174"/>
      <c r="AH229" s="174">
        <f t="shared" si="13"/>
        <v>0.73349633251833735</v>
      </c>
      <c r="AI229" s="174"/>
      <c r="AJ229" s="186"/>
      <c r="AK229" s="174">
        <f>(($AK$2+Y229*Лист1!$B$7^2*Лист1!$G$8/100)/(AA229/10^6)+$AK$3/(AE229/10^6))/1000/($Q229*IF(Лист1!$J$19="да",1/1.05,1))</f>
        <v>0.18657982523245178</v>
      </c>
      <c r="AL229" s="24"/>
      <c r="AM229" s="186"/>
      <c r="AN229" s="174">
        <f>(($AK$2+Y229*Лист1!$B$7^2*Лист1!$G$8/100)/(AA229/10^6)+$AK$3/(AE229/10^6))/1000/($Q229*IF(Лист1!$J$19="да",1/1.05,1))</f>
        <v>0.18657982523245178</v>
      </c>
      <c r="AO229" s="24"/>
      <c r="AP229" s="186"/>
      <c r="AQ229" s="174">
        <f>MAX((5/384*($AQ$2+$Y229/100)*$D$17^4/(2.06*10^8*$Z229/10^8))/($D$17/300)*INDEX(Лист1!$L$34:$L$38,MATCH(Лист1!$B$8,Лист1!$I$34:$I$38,0),1),(5/384*($AQ$3)*$D$17^4/(2.06*10^8*$AD229/10^8))/($D$17/200))</f>
        <v>0.48931552375149406</v>
      </c>
      <c r="AR229" s="174"/>
      <c r="AS229" s="175"/>
      <c r="AT229" s="174">
        <f>MAX((5/384*($AT$2+$Y229/100)*$D$17^4/(2.06*10^8*$Z229/10^8))/($D$17/300)*INDEX(Лист1!$L$34:$L$38,MATCH(Лист1!$B$8,Лист1!$I$34:$I$38,0),1),(5/384*($AT$3)*$D$17^4/(2.06*10^8*$AD229/10^8))/($D$17/200))</f>
        <v>0.29125924032827027</v>
      </c>
      <c r="AU229" s="174"/>
      <c r="AV229" s="174">
        <f>IF(OR(MAX(AH229,AQ229)&gt;1,AK229&gt;Лист1!$B$20,N229="-"),999999999,Y229*Лист1!$B$7+0.0001*O229)</f>
        <v>151.2226</v>
      </c>
      <c r="AW229" s="174"/>
      <c r="AX229" s="174">
        <f>IF(OR(MAX(AH229,AT229)&gt;1,AN229&gt;Лист1!$B$20,N229="-"),999999999,Y229*Лист1!$B$7+0.0001*O229)</f>
        <v>151.2226</v>
      </c>
    </row>
    <row r="230" spans="14:50" ht="16.5" thickBot="1" x14ac:dyDescent="0.3">
      <c r="N230" t="s">
        <v>344</v>
      </c>
      <c r="O230">
        <f t="shared" si="12"/>
        <v>227</v>
      </c>
      <c r="P230" s="179" t="s">
        <v>296</v>
      </c>
      <c r="Q230" s="179">
        <v>340</v>
      </c>
      <c r="R230" s="154" t="s">
        <v>244</v>
      </c>
      <c r="S230" s="148">
        <v>180</v>
      </c>
      <c r="T230" s="148">
        <v>180</v>
      </c>
      <c r="X230" s="148">
        <v>37.200000000000003</v>
      </c>
      <c r="Y230" s="149">
        <v>29.2</v>
      </c>
      <c r="Z230" s="149">
        <v>1527.9</v>
      </c>
      <c r="AA230" s="150">
        <v>169.8</v>
      </c>
      <c r="AC230" s="151">
        <v>6.41</v>
      </c>
      <c r="AD230" s="152">
        <v>607.9</v>
      </c>
      <c r="AE230" s="150">
        <v>121.6</v>
      </c>
      <c r="AF230" s="153">
        <v>4.04</v>
      </c>
      <c r="AG230" s="174"/>
      <c r="AH230" s="174">
        <f t="shared" si="13"/>
        <v>0.74257425742574257</v>
      </c>
      <c r="AI230" s="174"/>
      <c r="AJ230" s="186"/>
      <c r="AK230" s="174">
        <f>(($AK$2+Y230*Лист1!$B$7^2*Лист1!$G$8/100)/(AA230/10^6)+$AK$3/(AE230/10^6))/1000/($Q230*IF(Лист1!$J$19="да",1/1.05,1))</f>
        <v>0.16787560170422783</v>
      </c>
      <c r="AL230" s="24"/>
      <c r="AM230" s="186"/>
      <c r="AN230" s="174">
        <f>(($AK$2+Y230*Лист1!$B$7^2*Лист1!$G$8/100)/(AA230/10^6)+$AK$3/(AE230/10^6))/1000/($Q230*IF(Лист1!$J$19="да",1/1.05,1))</f>
        <v>0.16787560170422783</v>
      </c>
      <c r="AO230" s="24"/>
      <c r="AP230" s="186"/>
      <c r="AQ230" s="174">
        <f>MAX((5/384*($AQ$2+$Y230/100)*$D$17^4/(2.06*10^8*$Z230/10^8))/($D$17/300)*INDEX(Лист1!$L$34:$L$38,MATCH(Лист1!$B$8,Лист1!$I$34:$I$38,0),1),(5/384*($AQ$3)*$D$17^4/(2.06*10^8*$AD230/10^8))/($D$17/200))</f>
        <v>0.43289009487342245</v>
      </c>
      <c r="AR230" s="174"/>
      <c r="AS230" s="175"/>
      <c r="AT230" s="174">
        <f>MAX((5/384*($AT$2+$Y230/100)*$D$17^4/(2.06*10^8*$Z230/10^8))/($D$17/300)*INDEX(Лист1!$L$34:$L$38,MATCH(Лист1!$B$8,Лист1!$I$34:$I$38,0),1),(5/384*($AT$3)*$D$17^4/(2.06*10^8*$AD230/10^8))/($D$17/200))</f>
        <v>0.25767267551989431</v>
      </c>
      <c r="AU230" s="174"/>
      <c r="AV230" s="174">
        <f>IF(OR(MAX(AH230,AQ230)&gt;1,AK230&gt;Лист1!$B$20,N230="-"),999999999,Y230*Лист1!$B$7+0.0001*O230)</f>
        <v>999999999</v>
      </c>
      <c r="AW230" s="174"/>
      <c r="AX230" s="174">
        <f>IF(OR(MAX(AH230,AT230)&gt;1,AN230&gt;Лист1!$B$20,N230="-"),999999999,Y230*Лист1!$B$7+0.0001*O230)</f>
        <v>999999999</v>
      </c>
    </row>
    <row r="231" spans="14:50" ht="16.5" thickBot="1" x14ac:dyDescent="0.3">
      <c r="O231">
        <f t="shared" si="12"/>
        <v>228</v>
      </c>
      <c r="P231" s="179" t="s">
        <v>296</v>
      </c>
      <c r="Q231" s="179">
        <v>340</v>
      </c>
      <c r="R231" s="154" t="s">
        <v>245</v>
      </c>
      <c r="S231" s="148">
        <v>180</v>
      </c>
      <c r="T231" s="148">
        <v>180</v>
      </c>
      <c r="X231" s="148">
        <v>42.3</v>
      </c>
      <c r="Y231" s="149">
        <v>33.200000000000003</v>
      </c>
      <c r="Z231" s="149">
        <v>1706.1</v>
      </c>
      <c r="AA231" s="150">
        <v>189.6</v>
      </c>
      <c r="AC231" s="151">
        <v>6.35</v>
      </c>
      <c r="AD231" s="152">
        <v>676</v>
      </c>
      <c r="AE231" s="150">
        <v>135.19999999999999</v>
      </c>
      <c r="AF231" s="153">
        <v>4</v>
      </c>
      <c r="AG231" s="174"/>
      <c r="AH231" s="174">
        <f t="shared" si="13"/>
        <v>0.75</v>
      </c>
      <c r="AI231" s="174"/>
      <c r="AJ231" s="186"/>
      <c r="AK231" s="174">
        <f>(($AK$2+Y231*Лист1!$B$7^2*Лист1!$G$8/100)/(AA231/10^6)+$AK$3/(AE231/10^6))/1000/($Q231*IF(Лист1!$J$19="да",1/1.05,1))</f>
        <v>0.15353920138772176</v>
      </c>
      <c r="AL231" s="24"/>
      <c r="AM231" s="186"/>
      <c r="AN231" s="174">
        <f>(($AK$2+Y231*Лист1!$B$7^2*Лист1!$G$8/100)/(AA231/10^6)+$AK$3/(AE231/10^6))/1000/($Q231*IF(Лист1!$J$19="да",1/1.05,1))</f>
        <v>0.15353920138772176</v>
      </c>
      <c r="AO231" s="24"/>
      <c r="AP231" s="186"/>
      <c r="AQ231" s="174">
        <f>MAX((5/384*($AQ$2+$Y231/100)*$D$17^4/(2.06*10^8*$Z231/10^8))/($D$17/300)*INDEX(Лист1!$L$34:$L$38,MATCH(Лист1!$B$8,Лист1!$I$34:$I$38,0),1),(5/384*($AQ$3)*$D$17^4/(2.06*10^8*$AD231/10^8))/($D$17/200))</f>
        <v>0.3892809004046649</v>
      </c>
      <c r="AR231" s="174"/>
      <c r="AS231" s="175"/>
      <c r="AT231" s="174">
        <f>MAX((5/384*($AT$2+$Y231/100)*$D$17^4/(2.06*10^8*$Z231/10^8))/($D$17/300)*INDEX(Лист1!$L$34:$L$38,MATCH(Лист1!$B$8,Лист1!$I$34:$I$38,0),1),(5/384*($AT$3)*$D$17^4/(2.06*10^8*$AD231/10^8))/($D$17/200))</f>
        <v>0.23171482166944343</v>
      </c>
      <c r="AU231" s="174"/>
      <c r="AV231" s="174">
        <f>IF(OR(MAX(AH231,AQ231)&gt;1,AK231&gt;Лист1!$B$20,N231="-"),999999999,Y231*Лист1!$B$7+0.0001*O231)</f>
        <v>199.22280000000001</v>
      </c>
      <c r="AW231" s="174"/>
      <c r="AX231" s="174">
        <f>IF(OR(MAX(AH231,AT231)&gt;1,AN231&gt;Лист1!$B$20,N231="-"),999999999,Y231*Лист1!$B$7+0.0001*O231)</f>
        <v>199.22280000000001</v>
      </c>
    </row>
    <row r="232" spans="14:50" ht="16.5" thickBot="1" x14ac:dyDescent="0.3">
      <c r="O232">
        <f t="shared" si="12"/>
        <v>229</v>
      </c>
      <c r="P232" s="179" t="s">
        <v>296</v>
      </c>
      <c r="Q232" s="179">
        <v>340</v>
      </c>
      <c r="R232" s="154" t="s">
        <v>246</v>
      </c>
      <c r="S232" s="148">
        <v>180</v>
      </c>
      <c r="T232" s="148">
        <v>180</v>
      </c>
      <c r="X232" s="148">
        <v>24.6</v>
      </c>
      <c r="Y232" s="149">
        <v>19.3</v>
      </c>
      <c r="Z232" s="149">
        <v>1165</v>
      </c>
      <c r="AA232" s="150">
        <v>128.19999999999999</v>
      </c>
      <c r="AC232" s="151">
        <v>6.91</v>
      </c>
      <c r="AD232" s="152">
        <v>782.4</v>
      </c>
      <c r="AE232" s="150">
        <v>111.8</v>
      </c>
      <c r="AF232" s="153">
        <v>5.7</v>
      </c>
      <c r="AG232" s="174"/>
      <c r="AH232" s="174">
        <f t="shared" si="13"/>
        <v>0.52631578947368418</v>
      </c>
      <c r="AI232" s="174"/>
      <c r="AJ232" s="186"/>
      <c r="AK232" s="174">
        <f>(($AK$2+Y232*Лист1!$B$7^2*Лист1!$G$8/100)/(AA232/10^6)+$AK$3/(AE232/10^6))/1000/($Q232*IF(Лист1!$J$19="да",1/1.05,1))</f>
        <v>0.18728640954268991</v>
      </c>
      <c r="AL232" s="24"/>
      <c r="AM232" s="186"/>
      <c r="AN232" s="174">
        <f>(($AK$2+Y232*Лист1!$B$7^2*Лист1!$G$8/100)/(AA232/10^6)+$AK$3/(AE232/10^6))/1000/($Q232*IF(Лист1!$J$19="да",1/1.05,1))</f>
        <v>0.18728640954268991</v>
      </c>
      <c r="AO232" s="24"/>
      <c r="AP232" s="186"/>
      <c r="AQ232" s="174">
        <f>MAX((5/384*($AQ$2+$Y232/100)*$D$17^4/(2.06*10^8*$Z232/10^8))/($D$17/300)*INDEX(Лист1!$L$34:$L$38,MATCH(Лист1!$B$8,Лист1!$I$34:$I$38,0),1),(5/384*($AQ$3)*$D$17^4/(2.06*10^8*$AD232/10^8))/($D$17/200))</f>
        <v>0.33634188225147427</v>
      </c>
      <c r="AR232" s="174"/>
      <c r="AS232" s="175"/>
      <c r="AT232" s="174">
        <f>MAX((5/384*($AT$2+$Y232/100)*$D$17^4/(2.06*10^8*$Z232/10^8))/($D$17/300)*INDEX(Лист1!$L$34:$L$38,MATCH(Лист1!$B$8,Лист1!$I$34:$I$38,0),1),(5/384*($AT$3)*$D$17^4/(2.06*10^8*$AD232/10^8))/($D$17/200))</f>
        <v>0.20020350134016326</v>
      </c>
      <c r="AU232" s="174"/>
      <c r="AV232" s="174">
        <f>IF(OR(MAX(AH232,AQ232)&gt;1,AK232&gt;Лист1!$B$20,N232="-"),999999999,Y232*Лист1!$B$7+0.0001*O232)</f>
        <v>115.82290000000002</v>
      </c>
      <c r="AW232" s="174"/>
      <c r="AX232" s="174">
        <f>IF(OR(MAX(AH232,AT232)&gt;1,AN232&gt;Лист1!$B$20,N232="-"),999999999,Y232*Лист1!$B$7+0.0001*O232)</f>
        <v>115.82290000000002</v>
      </c>
    </row>
    <row r="233" spans="14:50" ht="16.5" thickBot="1" x14ac:dyDescent="0.3">
      <c r="O233">
        <f t="shared" si="12"/>
        <v>230</v>
      </c>
      <c r="P233" s="179" t="s">
        <v>296</v>
      </c>
      <c r="Q233" s="179">
        <v>340</v>
      </c>
      <c r="R233" s="154" t="s">
        <v>247</v>
      </c>
      <c r="S233" s="148">
        <v>180</v>
      </c>
      <c r="T233" s="148">
        <v>180</v>
      </c>
      <c r="X233" s="148">
        <v>30.7</v>
      </c>
      <c r="Y233" s="149">
        <v>24.1</v>
      </c>
      <c r="Z233" s="149">
        <v>1443</v>
      </c>
      <c r="AA233" s="150">
        <v>160.30000000000001</v>
      </c>
      <c r="AC233" s="151">
        <v>6.85</v>
      </c>
      <c r="AD233" s="152">
        <v>981.2</v>
      </c>
      <c r="AE233" s="150">
        <v>140.19999999999999</v>
      </c>
      <c r="AF233" s="153">
        <v>5.65</v>
      </c>
      <c r="AG233" s="174"/>
      <c r="AH233" s="174">
        <f t="shared" si="13"/>
        <v>0.53097345132743357</v>
      </c>
      <c r="AI233" s="174"/>
      <c r="AJ233" s="186"/>
      <c r="AK233" s="174">
        <f>(($AK$2+Y233*Лист1!$B$7^2*Лист1!$G$8/100)/(AA233/10^6)+$AK$3/(AE233/10^6))/1000/($Q233*IF(Лист1!$J$19="да",1/1.05,1))</f>
        <v>0.15348106510873999</v>
      </c>
      <c r="AL233" s="24"/>
      <c r="AM233" s="186"/>
      <c r="AN233" s="174">
        <f>(($AK$2+Y233*Лист1!$B$7^2*Лист1!$G$8/100)/(AA233/10^6)+$AK$3/(AE233/10^6))/1000/($Q233*IF(Лист1!$J$19="да",1/1.05,1))</f>
        <v>0.15348106510873999</v>
      </c>
      <c r="AO233" s="24"/>
      <c r="AP233" s="186"/>
      <c r="AQ233" s="174">
        <f>MAX((5/384*($AQ$2+$Y233/100)*$D$17^4/(2.06*10^8*$Z233/10^8))/($D$17/300)*INDEX(Лист1!$L$34:$L$38,MATCH(Лист1!$B$8,Лист1!$I$34:$I$38,0),1),(5/384*($AQ$3)*$D$17^4/(2.06*10^8*$AD233/10^8))/($D$17/200))</f>
        <v>0.26819597296530118</v>
      </c>
      <c r="AR233" s="174"/>
      <c r="AS233" s="175"/>
      <c r="AT233" s="174">
        <f>MAX((5/384*($AT$2+$Y233/100)*$D$17^4/(2.06*10^8*$Z233/10^8))/($D$17/300)*INDEX(Лист1!$L$34:$L$38,MATCH(Лист1!$B$8,Лист1!$I$34:$I$38,0),1),(5/384*($AT$3)*$D$17^4/(2.06*10^8*$AD233/10^8))/($D$17/200))</f>
        <v>0.15964046009839356</v>
      </c>
      <c r="AU233" s="174"/>
      <c r="AV233" s="174">
        <f>IF(OR(MAX(AH233,AQ233)&gt;1,AK233&gt;Лист1!$B$20,N233="-"),999999999,Y233*Лист1!$B$7+0.0001*O233)</f>
        <v>144.62300000000002</v>
      </c>
      <c r="AW233" s="174"/>
      <c r="AX233" s="174">
        <f>IF(OR(MAX(AH233,AT233)&gt;1,AN233&gt;Лист1!$B$20,N233="-"),999999999,Y233*Лист1!$B$7+0.0001*O233)</f>
        <v>144.62300000000002</v>
      </c>
    </row>
    <row r="234" spans="14:50" ht="16.5" thickBot="1" x14ac:dyDescent="0.3">
      <c r="O234">
        <f t="shared" si="12"/>
        <v>231</v>
      </c>
      <c r="P234" s="179" t="s">
        <v>296</v>
      </c>
      <c r="Q234" s="179">
        <v>340</v>
      </c>
      <c r="R234" s="154" t="s">
        <v>248</v>
      </c>
      <c r="S234" s="148">
        <v>180</v>
      </c>
      <c r="T234" s="148">
        <v>180</v>
      </c>
      <c r="X234" s="148">
        <v>36.799999999999997</v>
      </c>
      <c r="Y234" s="149">
        <v>28.9</v>
      </c>
      <c r="Z234" s="149">
        <v>1706.8</v>
      </c>
      <c r="AA234" s="150">
        <v>189.6</v>
      </c>
      <c r="AC234" s="151">
        <v>6.81</v>
      </c>
      <c r="AD234" s="152">
        <v>1158.9000000000001</v>
      </c>
      <c r="AE234" s="150">
        <v>165.6</v>
      </c>
      <c r="AF234" s="153">
        <v>5.61</v>
      </c>
      <c r="AG234" s="174"/>
      <c r="AH234" s="174">
        <f t="shared" si="13"/>
        <v>0.53475935828876997</v>
      </c>
      <c r="AI234" s="174"/>
      <c r="AJ234" s="186"/>
      <c r="AK234" s="174">
        <f>(($AK$2+Y234*Лист1!$B$7^2*Лист1!$G$8/100)/(AA234/10^6)+$AK$3/(AE234/10^6))/1000/($Q234*IF(Лист1!$J$19="да",1/1.05,1))</f>
        <v>0.1332184530680359</v>
      </c>
      <c r="AL234" s="24"/>
      <c r="AM234" s="186"/>
      <c r="AN234" s="174">
        <f>(($AK$2+Y234*Лист1!$B$7^2*Лист1!$G$8/100)/(AA234/10^6)+$AK$3/(AE234/10^6))/1000/($Q234*IF(Лист1!$J$19="да",1/1.05,1))</f>
        <v>0.1332184530680359</v>
      </c>
      <c r="AO234" s="24"/>
      <c r="AP234" s="186"/>
      <c r="AQ234" s="174">
        <f>MAX((5/384*($AQ$2+$Y234/100)*$D$17^4/(2.06*10^8*$Z234/10^8))/($D$17/300)*INDEX(Лист1!$L$34:$L$38,MATCH(Лист1!$B$8,Лист1!$I$34:$I$38,0),1),(5/384*($AQ$3)*$D$17^4/(2.06*10^8*$AD234/10^8))/($D$17/200))</f>
        <v>0.22707212759819953</v>
      </c>
      <c r="AR234" s="174"/>
      <c r="AS234" s="175"/>
      <c r="AT234" s="174">
        <f>MAX((5/384*($AT$2+$Y234/100)*$D$17^4/(2.06*10^8*$Z234/10^8))/($D$17/300)*INDEX(Лист1!$L$34:$L$38,MATCH(Лист1!$B$8,Лист1!$I$34:$I$38,0),1),(5/384*($AT$3)*$D$17^4/(2.06*10^8*$AD234/10^8))/($D$17/200))</f>
        <v>0.13516198071321403</v>
      </c>
      <c r="AU234" s="174"/>
      <c r="AV234" s="174">
        <f>IF(OR(MAX(AH234,AQ234)&gt;1,AK234&gt;Лист1!$B$20,N234="-"),999999999,Y234*Лист1!$B$7+0.0001*O234)</f>
        <v>173.42309999999998</v>
      </c>
      <c r="AW234" s="174"/>
      <c r="AX234" s="174">
        <f>IF(OR(MAX(AH234,AT234)&gt;1,AN234&gt;Лист1!$B$20,N234="-"),999999999,Y234*Лист1!$B$7+0.0001*O234)</f>
        <v>173.42309999999998</v>
      </c>
    </row>
    <row r="235" spans="14:50" ht="16.5" thickBot="1" x14ac:dyDescent="0.3">
      <c r="O235">
        <f t="shared" si="12"/>
        <v>232</v>
      </c>
      <c r="P235" s="179" t="s">
        <v>296</v>
      </c>
      <c r="Q235" s="179">
        <v>340</v>
      </c>
      <c r="R235" s="154" t="s">
        <v>249</v>
      </c>
      <c r="S235" s="148">
        <v>180</v>
      </c>
      <c r="T235" s="148">
        <v>180</v>
      </c>
      <c r="X235" s="148">
        <v>42.8</v>
      </c>
      <c r="Y235" s="149">
        <v>33.6</v>
      </c>
      <c r="Z235" s="149">
        <v>1952</v>
      </c>
      <c r="AA235" s="150">
        <v>216.9</v>
      </c>
      <c r="AC235" s="151">
        <v>6.75</v>
      </c>
      <c r="AD235" s="152">
        <v>1322.9</v>
      </c>
      <c r="AE235" s="150">
        <v>189</v>
      </c>
      <c r="AF235" s="153">
        <v>5.56</v>
      </c>
      <c r="AG235" s="174"/>
      <c r="AH235" s="174">
        <f t="shared" si="13"/>
        <v>0.53956834532374098</v>
      </c>
      <c r="AI235" s="174"/>
      <c r="AJ235" s="186"/>
      <c r="AK235" s="174">
        <f>(($AK$2+Y235*Лист1!$B$7^2*Лист1!$G$8/100)/(AA235/10^6)+$AK$3/(AE235/10^6))/1000/($Q235*IF(Лист1!$J$19="да",1/1.05,1))</f>
        <v>0.1194772169445819</v>
      </c>
      <c r="AL235" s="24"/>
      <c r="AM235" s="186"/>
      <c r="AN235" s="174">
        <f>(($AK$2+Y235*Лист1!$B$7^2*Лист1!$G$8/100)/(AA235/10^6)+$AK$3/(AE235/10^6))/1000/($Q235*IF(Лист1!$J$19="да",1/1.05,1))</f>
        <v>0.1194772169445819</v>
      </c>
      <c r="AO235" s="24"/>
      <c r="AP235" s="186"/>
      <c r="AQ235" s="174">
        <f>MAX((5/384*($AQ$2+$Y235/100)*$D$17^4/(2.06*10^8*$Z235/10^8))/($D$17/300)*INDEX(Лист1!$L$34:$L$38,MATCH(Лист1!$B$8,Лист1!$I$34:$I$38,0),1),(5/384*($AQ$3)*$D$17^4/(2.06*10^8*$AD235/10^8))/($D$17/200))</f>
        <v>0.19892198100654124</v>
      </c>
      <c r="AR235" s="174"/>
      <c r="AS235" s="175"/>
      <c r="AT235" s="174">
        <f>MAX((5/384*($AT$2+$Y235/100)*$D$17^4/(2.06*10^8*$Z235/10^8))/($D$17/300)*INDEX(Лист1!$L$34:$L$38,MATCH(Лист1!$B$8,Лист1!$I$34:$I$38,0),1),(5/384*($AT$3)*$D$17^4/(2.06*10^8*$AD235/10^8))/($D$17/200))</f>
        <v>0.11840594107532219</v>
      </c>
      <c r="AU235" s="174"/>
      <c r="AV235" s="174">
        <f>IF(OR(MAX(AH235,AQ235)&gt;1,AK235&gt;Лист1!$B$20,N235="-"),999999999,Y235*Лист1!$B$7+0.0001*O235)</f>
        <v>201.62320000000003</v>
      </c>
      <c r="AW235" s="174"/>
      <c r="AX235" s="174">
        <f>IF(OR(MAX(AH235,AT235)&gt;1,AN235&gt;Лист1!$B$20,N235="-"),999999999,Y235*Лист1!$B$7+0.0001*O235)</f>
        <v>201.62320000000003</v>
      </c>
    </row>
    <row r="236" spans="14:50" ht="15.75" x14ac:dyDescent="0.25">
      <c r="O236">
        <f t="shared" si="12"/>
        <v>233</v>
      </c>
      <c r="P236" s="179" t="s">
        <v>296</v>
      </c>
      <c r="Q236" s="179">
        <v>340</v>
      </c>
      <c r="R236" s="154" t="s">
        <v>250</v>
      </c>
      <c r="S236" s="148">
        <v>180</v>
      </c>
      <c r="T236" s="148">
        <v>180</v>
      </c>
      <c r="X236" s="148">
        <v>48.7</v>
      </c>
      <c r="Y236" s="149">
        <v>38.200000000000003</v>
      </c>
      <c r="Z236" s="149">
        <v>2187.3000000000002</v>
      </c>
      <c r="AA236" s="150">
        <v>243</v>
      </c>
      <c r="AC236" s="151">
        <v>6.7</v>
      </c>
      <c r="AD236" s="152">
        <v>1480.6</v>
      </c>
      <c r="AE236" s="150">
        <v>211.5</v>
      </c>
      <c r="AF236" s="153">
        <v>5.51</v>
      </c>
      <c r="AG236" s="174"/>
      <c r="AH236" s="174">
        <f t="shared" si="13"/>
        <v>0.54446460980036304</v>
      </c>
      <c r="AI236" s="174"/>
      <c r="AJ236" s="186"/>
      <c r="AK236" s="174">
        <f>(($AK$2+Y236*Лист1!$B$7^2*Лист1!$G$8/100)/(AA236/10^6)+$AK$3/(AE236/10^6))/1000/($Q236*IF(Лист1!$J$19="да",1/1.05,1))</f>
        <v>0.10921906204987938</v>
      </c>
      <c r="AL236" s="24"/>
      <c r="AM236" s="186"/>
      <c r="AN236" s="174">
        <f>(($AK$2+Y236*Лист1!$B$7^2*Лист1!$G$8/100)/(AA236/10^6)+$AK$3/(AE236/10^6))/1000/($Q236*IF(Лист1!$J$19="да",1/1.05,1))</f>
        <v>0.10921906204987938</v>
      </c>
      <c r="AO236" s="24"/>
      <c r="AP236" s="186"/>
      <c r="AQ236" s="174">
        <f>MAX((5/384*($AQ$2+$Y236/100)*$D$17^4/(2.06*10^8*$Z236/10^8))/($D$17/300)*INDEX(Лист1!$L$34:$L$38,MATCH(Лист1!$B$8,Лист1!$I$34:$I$38,0),1),(5/384*($AQ$3)*$D$17^4/(2.06*10^8*$AD236/10^8))/($D$17/200))</f>
        <v>0.17773462695768844</v>
      </c>
      <c r="AR236" s="174"/>
      <c r="AS236" s="175"/>
      <c r="AT236" s="174">
        <f>MAX((5/384*($AT$2+$Y236/100)*$D$17^4/(2.06*10^8*$Z236/10^8))/($D$17/300)*INDEX(Лист1!$L$34:$L$38,MATCH(Лист1!$B$8,Лист1!$I$34:$I$38,0),1),(5/384*($AT$3)*$D$17^4/(2.06*10^8*$AD236/10^8))/($D$17/200))</f>
        <v>0.10579442080814788</v>
      </c>
      <c r="AU236" s="174"/>
      <c r="AV236" s="174">
        <f>IF(OR(MAX(AH236,AQ236)&gt;1,AK236&gt;Лист1!$B$20,N236="-"),999999999,Y236*Лист1!$B$7+0.0001*O236)</f>
        <v>229.22330000000002</v>
      </c>
      <c r="AW236" s="174"/>
      <c r="AX236" s="174">
        <f>IF(OR(MAX(AH236,AT236)&gt;1,AN236&gt;Лист1!$B$20,N236="-"),999999999,Y236*Лист1!$B$7+0.0001*O236)</f>
        <v>229.22330000000002</v>
      </c>
    </row>
    <row r="237" spans="14:50" ht="16.5" thickBot="1" x14ac:dyDescent="0.3">
      <c r="N237" t="s">
        <v>344</v>
      </c>
      <c r="O237">
        <f t="shared" si="12"/>
        <v>234</v>
      </c>
      <c r="P237" s="179" t="s">
        <v>296</v>
      </c>
      <c r="Q237" s="179">
        <v>340</v>
      </c>
      <c r="R237" s="163" t="s">
        <v>251</v>
      </c>
      <c r="S237" s="148">
        <v>200</v>
      </c>
      <c r="T237" s="148">
        <v>200</v>
      </c>
      <c r="X237" s="148">
        <v>27.7</v>
      </c>
      <c r="Y237" s="149">
        <v>21.8</v>
      </c>
      <c r="Z237" s="149">
        <v>1631.8</v>
      </c>
      <c r="AA237" s="150">
        <v>163.19999999999999</v>
      </c>
      <c r="AC237" s="151">
        <v>7.68</v>
      </c>
      <c r="AD237" s="152">
        <v>1160</v>
      </c>
      <c r="AE237" s="150">
        <v>145</v>
      </c>
      <c r="AF237" s="153">
        <v>6.47</v>
      </c>
      <c r="AG237" s="174"/>
      <c r="AH237" s="174">
        <f t="shared" si="13"/>
        <v>0.46367851622874812</v>
      </c>
      <c r="AI237" s="174"/>
      <c r="AJ237" s="186"/>
      <c r="AK237" s="174">
        <f>(($AK$2+Y237*Лист1!$B$7^2*Лист1!$G$8/100)/(AA237/10^6)+$AK$3/(AE237/10^6))/1000/($Q237*IF(Лист1!$J$19="да",1/1.05,1))</f>
        <v>0.14749344463761213</v>
      </c>
      <c r="AL237" s="24"/>
      <c r="AM237" s="186"/>
      <c r="AN237" s="174">
        <f>(($AK$2+Y237*Лист1!$B$7^2*Лист1!$G$8/100)/(AA237/10^6)+$AK$3/(AE237/10^6))/1000/($Q237*IF(Лист1!$J$19="да",1/1.05,1))</f>
        <v>0.14749344463761213</v>
      </c>
      <c r="AO237" s="24"/>
      <c r="AP237" s="186"/>
      <c r="AQ237" s="174">
        <f>MAX((5/384*($AQ$2+$Y237/100)*$D$17^4/(2.06*10^8*$Z237/10^8))/($D$17/300)*INDEX(Лист1!$L$34:$L$38,MATCH(Лист1!$B$8,Лист1!$I$34:$I$38,0),1),(5/384*($AQ$3)*$D$17^4/(2.06*10^8*$AD237/10^8))/($D$17/200))</f>
        <v>0.22685680058064955</v>
      </c>
      <c r="AR237" s="174"/>
      <c r="AS237" s="175"/>
      <c r="AT237" s="174">
        <f>MAX((5/384*($AT$2+$Y237/100)*$D$17^4/(2.06*10^8*$Z237/10^8))/($D$17/300)*INDEX(Лист1!$L$34:$L$38,MATCH(Лист1!$B$8,Лист1!$I$34:$I$38,0),1),(5/384*($AT$3)*$D$17^4/(2.06*10^8*$AD237/10^8))/($D$17/200))</f>
        <v>0.13503380986943428</v>
      </c>
      <c r="AU237" s="174"/>
      <c r="AV237" s="174">
        <f>IF(OR(MAX(AH237,AQ237)&gt;1,AK237&gt;Лист1!$B$20,N237="-"),999999999,Y237*Лист1!$B$7+0.0001*O237)</f>
        <v>999999999</v>
      </c>
      <c r="AW237" s="174"/>
      <c r="AX237" s="174">
        <f>IF(OR(MAX(AH237,AT237)&gt;1,AN237&gt;Лист1!$B$20,N237="-"),999999999,Y237*Лист1!$B$7+0.0001*O237)</f>
        <v>999999999</v>
      </c>
    </row>
    <row r="238" spans="14:50" ht="16.5" thickBot="1" x14ac:dyDescent="0.3">
      <c r="O238">
        <f t="shared" si="12"/>
        <v>235</v>
      </c>
      <c r="P238" s="179" t="s">
        <v>296</v>
      </c>
      <c r="Q238" s="179">
        <v>340</v>
      </c>
      <c r="R238" s="154" t="s">
        <v>252</v>
      </c>
      <c r="S238" s="148">
        <v>200</v>
      </c>
      <c r="T238" s="148">
        <v>200</v>
      </c>
      <c r="X238" s="148">
        <v>34.6</v>
      </c>
      <c r="Y238" s="149">
        <v>27.2</v>
      </c>
      <c r="Z238" s="149">
        <v>2039.7</v>
      </c>
      <c r="AA238" s="150">
        <v>204</v>
      </c>
      <c r="AC238" s="151">
        <v>7.67</v>
      </c>
      <c r="AD238" s="152">
        <v>1450</v>
      </c>
      <c r="AE238" s="150">
        <v>181.2</v>
      </c>
      <c r="AF238" s="153">
        <v>6.46</v>
      </c>
      <c r="AG238" s="174"/>
      <c r="AH238" s="174">
        <f t="shared" si="13"/>
        <v>0.4643962848297214</v>
      </c>
      <c r="AI238" s="174"/>
      <c r="AJ238" s="186"/>
      <c r="AK238" s="174">
        <f>(($AK$2+Y238*Лист1!$B$7^2*Лист1!$G$8/100)/(AA238/10^6)+$AK$3/(AE238/10^6))/1000/($Q238*IF(Лист1!$J$19="да",1/1.05,1))</f>
        <v>0.12151763469486652</v>
      </c>
      <c r="AL238" s="24"/>
      <c r="AM238" s="186"/>
      <c r="AN238" s="174">
        <f>(($AK$2+Y238*Лист1!$B$7^2*Лист1!$G$8/100)/(AA238/10^6)+$AK$3/(AE238/10^6))/1000/($Q238*IF(Лист1!$J$19="да",1/1.05,1))</f>
        <v>0.12151763469486652</v>
      </c>
      <c r="AO238" s="24"/>
      <c r="AP238" s="186"/>
      <c r="AQ238" s="174">
        <f>MAX((5/384*($AQ$2+$Y238/100)*$D$17^4/(2.06*10^8*$Z238/10^8))/($D$17/300)*INDEX(Лист1!$L$34:$L$38,MATCH(Лист1!$B$8,Лист1!$I$34:$I$38,0),1),(5/384*($AQ$3)*$D$17^4/(2.06*10^8*$AD238/10^8))/($D$17/200))</f>
        <v>0.18148544046451964</v>
      </c>
      <c r="AR238" s="174"/>
      <c r="AS238" s="175"/>
      <c r="AT238" s="174">
        <f>MAX((5/384*($AT$2+$Y238/100)*$D$17^4/(2.06*10^8*$Z238/10^8))/($D$17/300)*INDEX(Лист1!$L$34:$L$38,MATCH(Лист1!$B$8,Лист1!$I$34:$I$38,0),1),(5/384*($AT$3)*$D$17^4/(2.06*10^8*$AD238/10^8))/($D$17/200))</f>
        <v>0.1080270478955474</v>
      </c>
      <c r="AU238" s="174"/>
      <c r="AV238" s="174">
        <f>IF(OR(MAX(AH238,AQ238)&gt;1,AK238&gt;Лист1!$B$20,N238="-"),999999999,Y238*Лист1!$B$7+0.0001*O238)</f>
        <v>163.2235</v>
      </c>
      <c r="AW238" s="174"/>
      <c r="AX238" s="174">
        <f>IF(OR(MAX(AH238,AT238)&gt;1,AN238&gt;Лист1!$B$20,N238="-"),999999999,Y238*Лист1!$B$7+0.0001*O238)</f>
        <v>163.2235</v>
      </c>
    </row>
    <row r="239" spans="14:50" ht="16.5" thickBot="1" x14ac:dyDescent="0.3">
      <c r="O239">
        <f t="shared" si="12"/>
        <v>236</v>
      </c>
      <c r="P239" s="179" t="s">
        <v>296</v>
      </c>
      <c r="Q239" s="179">
        <v>340</v>
      </c>
      <c r="R239" s="154" t="s">
        <v>253</v>
      </c>
      <c r="S239" s="148">
        <v>200</v>
      </c>
      <c r="T239" s="148">
        <v>200</v>
      </c>
      <c r="X239" s="148">
        <v>41.4</v>
      </c>
      <c r="Y239" s="149">
        <v>32.5</v>
      </c>
      <c r="Z239" s="149">
        <v>2412.4</v>
      </c>
      <c r="AA239" s="150">
        <v>241.2</v>
      </c>
      <c r="AC239" s="151">
        <v>7.63</v>
      </c>
      <c r="AD239" s="152">
        <v>1712.3</v>
      </c>
      <c r="AE239" s="150">
        <v>214</v>
      </c>
      <c r="AF239" s="153">
        <v>6.43</v>
      </c>
      <c r="AG239" s="174"/>
      <c r="AH239" s="174">
        <f t="shared" si="13"/>
        <v>0.46656298600311047</v>
      </c>
      <c r="AI239" s="174"/>
      <c r="AJ239" s="186"/>
      <c r="AK239" s="174">
        <f>(($AK$2+Y239*Лист1!$B$7^2*Лист1!$G$8/100)/(AA239/10^6)+$AK$3/(AE239/10^6))/1000/($Q239*IF(Лист1!$J$19="да",1/1.05,1))</f>
        <v>0.10575178622783364</v>
      </c>
      <c r="AL239" s="24"/>
      <c r="AM239" s="186"/>
      <c r="AN239" s="174">
        <f>(($AK$2+Y239*Лист1!$B$7^2*Лист1!$G$8/100)/(AA239/10^6)+$AK$3/(AE239/10^6))/1000/($Q239*IF(Лист1!$J$19="да",1/1.05,1))</f>
        <v>0.10575178622783364</v>
      </c>
      <c r="AO239" s="24"/>
      <c r="AP239" s="186"/>
      <c r="AQ239" s="174">
        <f>MAX((5/384*($AQ$2+$Y239/100)*$D$17^4/(2.06*10^8*$Z239/10^8))/($D$17/300)*INDEX(Лист1!$L$34:$L$38,MATCH(Лист1!$B$8,Лист1!$I$34:$I$38,0),1),(5/384*($AQ$3)*$D$17^4/(2.06*10^8*$AD239/10^8))/($D$17/200))</f>
        <v>0.15368445288416369</v>
      </c>
      <c r="AR239" s="174"/>
      <c r="AS239" s="175"/>
      <c r="AT239" s="174">
        <f>MAX((5/384*($AT$2+$Y239/100)*$D$17^4/(2.06*10^8*$Z239/10^8))/($D$17/300)*INDEX(Лист1!$L$34:$L$38,MATCH(Лист1!$B$8,Лист1!$I$34:$I$38,0),1),(5/384*($AT$3)*$D$17^4/(2.06*10^8*$AD239/10^8))/($D$17/200))</f>
        <v>9.1478841002478384E-2</v>
      </c>
      <c r="AU239" s="174"/>
      <c r="AV239" s="174">
        <f>IF(OR(MAX(AH239,AQ239)&gt;1,AK239&gt;Лист1!$B$20,N239="-"),999999999,Y239*Лист1!$B$7+0.0001*O239)</f>
        <v>195.02359999999999</v>
      </c>
      <c r="AW239" s="174"/>
      <c r="AX239" s="174">
        <f>IF(OR(MAX(AH239,AT239)&gt;1,AN239&gt;Лист1!$B$20,N239="-"),999999999,Y239*Лист1!$B$7+0.0001*O239)</f>
        <v>195.02359999999999</v>
      </c>
    </row>
    <row r="240" spans="14:50" ht="16.5" thickBot="1" x14ac:dyDescent="0.3">
      <c r="O240">
        <f t="shared" si="12"/>
        <v>237</v>
      </c>
      <c r="P240" s="179" t="s">
        <v>296</v>
      </c>
      <c r="Q240" s="179">
        <v>340</v>
      </c>
      <c r="R240" s="154" t="s">
        <v>254</v>
      </c>
      <c r="S240" s="148">
        <v>200</v>
      </c>
      <c r="T240" s="148">
        <v>200</v>
      </c>
      <c r="X240" s="148">
        <v>48.2</v>
      </c>
      <c r="Y240" s="149">
        <v>37.799999999999997</v>
      </c>
      <c r="Z240" s="149">
        <v>2767.1</v>
      </c>
      <c r="AA240" s="150">
        <v>276.7</v>
      </c>
      <c r="AC240" s="151">
        <v>7.58</v>
      </c>
      <c r="AD240" s="152">
        <v>1962</v>
      </c>
      <c r="AE240" s="150">
        <v>245.2</v>
      </c>
      <c r="AF240" s="153">
        <v>6.38</v>
      </c>
      <c r="AG240" s="174"/>
      <c r="AH240" s="174">
        <f t="shared" si="13"/>
        <v>0.47021943573667713</v>
      </c>
      <c r="AI240" s="174"/>
      <c r="AJ240" s="186"/>
      <c r="AK240" s="174">
        <f>(($AK$2+Y240*Лист1!$B$7^2*Лист1!$G$8/100)/(AA240/10^6)+$AK$3/(AE240/10^6))/1000/($Q240*IF(Лист1!$J$19="да",1/1.05,1))</f>
        <v>9.4782061496401837E-2</v>
      </c>
      <c r="AL240" s="24"/>
      <c r="AM240" s="186"/>
      <c r="AN240" s="174">
        <f>(($AK$2+Y240*Лист1!$B$7^2*Лист1!$G$8/100)/(AA240/10^6)+$AK$3/(AE240/10^6))/1000/($Q240*IF(Лист1!$J$19="да",1/1.05,1))</f>
        <v>9.4782061496401837E-2</v>
      </c>
      <c r="AO240" s="24"/>
      <c r="AP240" s="186"/>
      <c r="AQ240" s="174">
        <f>MAX((5/384*($AQ$2+$Y240/100)*$D$17^4/(2.06*10^8*$Z240/10^8))/($D$17/300)*INDEX(Лист1!$L$34:$L$38,MATCH(Лист1!$B$8,Лист1!$I$34:$I$38,0),1),(5/384*($AQ$3)*$D$17^4/(2.06*10^8*$AD240/10^8))/($D$17/200))</f>
        <v>0.13412532552168882</v>
      </c>
      <c r="AR240" s="174"/>
      <c r="AS240" s="175"/>
      <c r="AT240" s="174">
        <f>MAX((5/384*($AT$2+$Y240/100)*$D$17^4/(2.06*10^8*$Z240/10^8))/($D$17/300)*INDEX(Лист1!$L$34:$L$38,MATCH(Лист1!$B$8,Лист1!$I$34:$I$38,0),1),(5/384*($AT$3)*$D$17^4/(2.06*10^8*$AD240/10^8))/($D$17/200))</f>
        <v>7.9836503286719554E-2</v>
      </c>
      <c r="AU240" s="174"/>
      <c r="AV240" s="174">
        <f>IF(OR(MAX(AH240,AQ240)&gt;1,AK240&gt;Лист1!$B$20,N240="-"),999999999,Y240*Лист1!$B$7+0.0001*O240)</f>
        <v>226.82369999999997</v>
      </c>
      <c r="AW240" s="174"/>
      <c r="AX240" s="174">
        <f>IF(OR(MAX(AH240,AT240)&gt;1,AN240&gt;Лист1!$B$20,N240="-"),999999999,Y240*Лист1!$B$7+0.0001*O240)</f>
        <v>226.82369999999997</v>
      </c>
    </row>
    <row r="241" spans="14:50" ht="16.5" thickBot="1" x14ac:dyDescent="0.3">
      <c r="O241">
        <f t="shared" si="12"/>
        <v>238</v>
      </c>
      <c r="P241" s="179" t="s">
        <v>296</v>
      </c>
      <c r="Q241" s="179">
        <v>340</v>
      </c>
      <c r="R241" s="154" t="s">
        <v>255</v>
      </c>
      <c r="S241" s="148">
        <v>200</v>
      </c>
      <c r="T241" s="148">
        <v>200</v>
      </c>
      <c r="X241" s="148">
        <v>54.8</v>
      </c>
      <c r="Y241" s="149">
        <v>43</v>
      </c>
      <c r="Z241" s="149">
        <v>3104.3</v>
      </c>
      <c r="AA241" s="150">
        <v>310.39999999999998</v>
      </c>
      <c r="AC241" s="151">
        <v>7.53</v>
      </c>
      <c r="AD241" s="152">
        <v>2199</v>
      </c>
      <c r="AE241" s="150">
        <v>274.89999999999998</v>
      </c>
      <c r="AF241" s="153">
        <v>6.33</v>
      </c>
      <c r="AG241" s="174"/>
      <c r="AH241" s="174">
        <f t="shared" si="13"/>
        <v>0.47393364928909953</v>
      </c>
      <c r="AI241" s="174"/>
      <c r="AJ241" s="186"/>
      <c r="AK241" s="174">
        <f>(($AK$2+Y241*Лист1!$B$7^2*Лист1!$G$8/100)/(AA241/10^6)+$AK$3/(AE241/10^6))/1000/($Q241*IF(Лист1!$J$19="да",1/1.05,1))</f>
        <v>8.6736451110177734E-2</v>
      </c>
      <c r="AL241" s="24"/>
      <c r="AM241" s="186"/>
      <c r="AN241" s="174">
        <f>(($AK$2+Y241*Лист1!$B$7^2*Лист1!$G$8/100)/(AA241/10^6)+$AK$3/(AE241/10^6))/1000/($Q241*IF(Лист1!$J$19="да",1/1.05,1))</f>
        <v>8.6736451110177734E-2</v>
      </c>
      <c r="AO241" s="24"/>
      <c r="AP241" s="186"/>
      <c r="AQ241" s="174">
        <f>MAX((5/384*($AQ$2+$Y241/100)*$D$17^4/(2.06*10^8*$Z241/10^8))/($D$17/300)*INDEX(Лист1!$L$34:$L$38,MATCH(Лист1!$B$8,Лист1!$I$34:$I$38,0),1),(5/384*($AQ$3)*$D$17^4/(2.06*10^8*$AD241/10^8))/($D$17/200))</f>
        <v>0.12402542792975231</v>
      </c>
      <c r="AR241" s="174"/>
      <c r="AS241" s="175"/>
      <c r="AT241" s="174">
        <f>MAX((5/384*($AT$2+$Y241/100)*$D$17^4/(2.06*10^8*$Z241/10^8))/($D$17/300)*INDEX(Лист1!$L$34:$L$38,MATCH(Лист1!$B$8,Лист1!$I$34:$I$38,0),1),(5/384*($AT$3)*$D$17^4/(2.06*10^8*$AD241/10^8))/($D$17/200))</f>
        <v>7.1232023396336414E-2</v>
      </c>
      <c r="AU241" s="174"/>
      <c r="AV241" s="174">
        <f>IF(OR(MAX(AH241,AQ241)&gt;1,AK241&gt;Лист1!$B$20,N241="-"),999999999,Y241*Лист1!$B$7+0.0001*O241)</f>
        <v>258.02379999999999</v>
      </c>
      <c r="AW241" s="174"/>
      <c r="AX241" s="174">
        <f>IF(OR(MAX(AH241,AT241)&gt;1,AN241&gt;Лист1!$B$20,N241="-"),999999999,Y241*Лист1!$B$7+0.0001*O241)</f>
        <v>258.02379999999999</v>
      </c>
    </row>
    <row r="242" spans="14:50" ht="16.5" thickBot="1" x14ac:dyDescent="0.3">
      <c r="N242" t="s">
        <v>344</v>
      </c>
      <c r="O242">
        <f t="shared" si="12"/>
        <v>239</v>
      </c>
      <c r="P242" s="179" t="s">
        <v>296</v>
      </c>
      <c r="Q242" s="179">
        <v>340</v>
      </c>
      <c r="R242" s="154" t="s">
        <v>256</v>
      </c>
      <c r="S242" s="148">
        <v>200</v>
      </c>
      <c r="T242" s="148">
        <v>200</v>
      </c>
      <c r="X242" s="148">
        <v>61.3</v>
      </c>
      <c r="Y242" s="149">
        <v>48.1</v>
      </c>
      <c r="Z242" s="149">
        <v>3424</v>
      </c>
      <c r="AA242" s="150">
        <v>342.3</v>
      </c>
      <c r="AC242" s="151">
        <v>7.48</v>
      </c>
      <c r="AD242" s="152">
        <v>2436</v>
      </c>
      <c r="AE242" s="150">
        <v>303.3</v>
      </c>
      <c r="AF242" s="153">
        <v>6.28</v>
      </c>
      <c r="AG242" s="174"/>
      <c r="AH242" s="174">
        <f t="shared" si="13"/>
        <v>0.4777070063694267</v>
      </c>
      <c r="AI242" s="174"/>
      <c r="AJ242" s="186"/>
      <c r="AK242" s="174">
        <f>(($AK$2+Y242*Лист1!$B$7^2*Лист1!$G$8/100)/(AA242/10^6)+$AK$3/(AE242/10^6))/1000/($Q242*IF(Лист1!$J$19="да",1/1.05,1))</f>
        <v>8.0604585433248332E-2</v>
      </c>
      <c r="AL242" s="24"/>
      <c r="AM242" s="186"/>
      <c r="AN242" s="174">
        <f>(($AK$2+Y242*Лист1!$B$7^2*Лист1!$G$8/100)/(AA242/10^6)+$AK$3/(AE242/10^6))/1000/($Q242*IF(Лист1!$J$19="да",1/1.05,1))</f>
        <v>8.0604585433248332E-2</v>
      </c>
      <c r="AO242" s="24"/>
      <c r="AP242" s="186"/>
      <c r="AQ242" s="174">
        <f>MAX((5/384*($AQ$2+$Y242/100)*$D$17^4/(2.06*10^8*$Z242/10^8))/($D$17/300)*INDEX(Лист1!$L$34:$L$38,MATCH(Лист1!$B$8,Лист1!$I$34:$I$38,0),1),(5/384*($AQ$3)*$D$17^4/(2.06*10^8*$AD242/10^8))/($D$17/200))</f>
        <v>0.11854587974094911</v>
      </c>
      <c r="AR242" s="174"/>
      <c r="AS242" s="175"/>
      <c r="AT242" s="174">
        <f>MAX((5/384*($AT$2+$Y242/100)*$D$17^4/(2.06*10^8*$Z242/10^8))/($D$17/300)*INDEX(Лист1!$L$34:$L$38,MATCH(Лист1!$B$8,Лист1!$I$34:$I$38,0),1),(5/384*($AT$3)*$D$17^4/(2.06*10^8*$AD242/10^8))/($D$17/200))</f>
        <v>6.8304437267489346E-2</v>
      </c>
      <c r="AU242" s="174"/>
      <c r="AV242" s="174">
        <f>IF(OR(MAX(AH242,AQ242)&gt;1,AK242&gt;Лист1!$B$20,N242="-"),999999999,Y242*Лист1!$B$7+0.0001*O242)</f>
        <v>999999999</v>
      </c>
      <c r="AW242" s="174"/>
      <c r="AX242" s="174">
        <f>IF(OR(MAX(AH242,AT242)&gt;1,AN242&gt;Лист1!$B$20,N242="-"),999999999,Y242*Лист1!$B$7+0.0001*O242)</f>
        <v>999999999</v>
      </c>
    </row>
    <row r="243" spans="14:50" ht="16.5" thickBot="1" x14ac:dyDescent="0.3">
      <c r="O243">
        <f t="shared" si="12"/>
        <v>240</v>
      </c>
      <c r="P243" s="179" t="s">
        <v>296</v>
      </c>
      <c r="Q243" s="179">
        <v>340</v>
      </c>
      <c r="R243" s="154" t="s">
        <v>257</v>
      </c>
      <c r="S243" s="148">
        <v>200</v>
      </c>
      <c r="T243" s="148">
        <v>200</v>
      </c>
      <c r="X243" s="148">
        <v>67.7</v>
      </c>
      <c r="Y243" s="149">
        <v>53.1</v>
      </c>
      <c r="Z243" s="149">
        <v>3726.7</v>
      </c>
      <c r="AA243" s="150">
        <v>372.4</v>
      </c>
      <c r="AC243" s="151">
        <v>7.43</v>
      </c>
      <c r="AD243" s="152">
        <v>2211.6999999999998</v>
      </c>
      <c r="AE243" s="150">
        <v>330.4</v>
      </c>
      <c r="AF243" s="153">
        <v>6.23</v>
      </c>
      <c r="AG243" s="174"/>
      <c r="AH243" s="174">
        <f t="shared" si="13"/>
        <v>0.4815409309791332</v>
      </c>
      <c r="AI243" s="174"/>
      <c r="AJ243" s="186"/>
      <c r="AK243" s="174">
        <f>(($AK$2+Y243*Лист1!$B$7^2*Лист1!$G$8/100)/(AA243/10^6)+$AK$3/(AE243/10^6))/1000/($Q243*IF(Лист1!$J$19="да",1/1.05,1))</f>
        <v>7.5816335857508133E-2</v>
      </c>
      <c r="AL243" s="24"/>
      <c r="AM243" s="186"/>
      <c r="AN243" s="174">
        <f>(($AK$2+Y243*Лист1!$B$7^2*Лист1!$G$8/100)/(AA243/10^6)+$AK$3/(AE243/10^6))/1000/($Q243*IF(Лист1!$J$19="да",1/1.05,1))</f>
        <v>7.5816335857508133E-2</v>
      </c>
      <c r="AO243" s="24"/>
      <c r="AP243" s="186"/>
      <c r="AQ243" s="174">
        <f>MAX((5/384*($AQ$2+$Y243/100)*$D$17^4/(2.06*10^8*$Z243/10^8))/($D$17/300)*INDEX(Лист1!$L$34:$L$38,MATCH(Лист1!$B$8,Лист1!$I$34:$I$38,0),1),(5/384*($AQ$3)*$D$17^4/(2.06*10^8*$AD243/10^8))/($D$17/200))</f>
        <v>0.1189826326687858</v>
      </c>
      <c r="AR243" s="174"/>
      <c r="AS243" s="175"/>
      <c r="AT243" s="174">
        <f>MAX((5/384*($AT$2+$Y243/100)*$D$17^4/(2.06*10^8*$Z243/10^8))/($D$17/300)*INDEX(Лист1!$L$34:$L$38,MATCH(Лист1!$B$8,Лист1!$I$34:$I$38,0),1),(5/384*($AT$3)*$D$17^4/(2.06*10^8*$AD243/10^8))/($D$17/200))</f>
        <v>7.0822995636182023E-2</v>
      </c>
      <c r="AU243" s="174"/>
      <c r="AV243" s="174">
        <f>IF(OR(MAX(AH243,AQ243)&gt;1,AK243&gt;Лист1!$B$20,N243="-"),999999999,Y243*Лист1!$B$7+0.0001*O243)</f>
        <v>318.62400000000002</v>
      </c>
      <c r="AW243" s="174"/>
      <c r="AX243" s="174">
        <f>IF(OR(MAX(AH243,AT243)&gt;1,AN243&gt;Лист1!$B$20,N243="-"),999999999,Y243*Лист1!$B$7+0.0001*O243)</f>
        <v>318.62400000000002</v>
      </c>
    </row>
    <row r="244" spans="14:50" ht="16.5" thickBot="1" x14ac:dyDescent="0.3">
      <c r="O244">
        <f t="shared" si="12"/>
        <v>241</v>
      </c>
      <c r="P244" s="179" t="s">
        <v>296</v>
      </c>
      <c r="Q244" s="179">
        <v>340</v>
      </c>
      <c r="R244" s="154" t="s">
        <v>258</v>
      </c>
      <c r="S244" s="148">
        <v>300</v>
      </c>
      <c r="T244" s="148">
        <v>300</v>
      </c>
      <c r="X244" s="148">
        <v>75.8</v>
      </c>
      <c r="Y244" s="149">
        <v>59.5</v>
      </c>
      <c r="Z244" s="149">
        <v>9512</v>
      </c>
      <c r="AA244" s="150">
        <v>634</v>
      </c>
      <c r="AC244" s="151">
        <v>11.2</v>
      </c>
      <c r="AD244" s="152">
        <v>5069</v>
      </c>
      <c r="AE244" s="150">
        <v>510</v>
      </c>
      <c r="AF244" s="153">
        <v>8.1999999999999993</v>
      </c>
      <c r="AG244" s="174"/>
      <c r="AH244" s="174">
        <f t="shared" si="13"/>
        <v>0.36585365853658536</v>
      </c>
      <c r="AI244" s="174"/>
      <c r="AJ244" s="186"/>
      <c r="AK244" s="174">
        <f>(($AK$2+Y244*Лист1!$B$7^2*Лист1!$G$8/100)/(AA244/10^6)+$AK$3/(AE244/10^6))/1000/($Q244*IF(Лист1!$J$19="да",1/1.05,1))</f>
        <v>4.8203321199917611E-2</v>
      </c>
      <c r="AL244" s="24"/>
      <c r="AM244" s="186"/>
      <c r="AN244" s="174">
        <f>(($AK$2+Y244*Лист1!$B$7^2*Лист1!$G$8/100)/(AA244/10^6)+$AK$3/(AE244/10^6))/1000/($Q244*IF(Лист1!$J$19="да",1/1.05,1))</f>
        <v>4.8203321199917611E-2</v>
      </c>
      <c r="AO244" s="24"/>
      <c r="AP244" s="186"/>
      <c r="AQ244" s="174">
        <f>MAX((5/384*($AQ$2+$Y244/100)*$D$17^4/(2.06*10^8*$Z244/10^8))/($D$17/300)*INDEX(Лист1!$L$34:$L$38,MATCH(Лист1!$B$8,Лист1!$I$34:$I$38,0),1),(5/384*($AQ$3)*$D$17^4/(2.06*10^8*$AD244/10^8))/($D$17/200))</f>
        <v>5.1914359572608697E-2</v>
      </c>
      <c r="AR244" s="174"/>
      <c r="AS244" s="175"/>
      <c r="AT244" s="174">
        <f>MAX((5/384*($AT$2+$Y244/100)*$D$17^4/(2.06*10^8*$Z244/10^8))/($D$17/300)*INDEX(Лист1!$L$34:$L$38,MATCH(Лист1!$B$8,Лист1!$I$34:$I$38,0),1),(5/384*($AT$3)*$D$17^4/(2.06*10^8*$AD244/10^8))/($D$17/200))</f>
        <v>3.0901404507505177E-2</v>
      </c>
      <c r="AU244" s="174"/>
      <c r="AV244" s="174">
        <f>IF(OR(MAX(AH244,AQ244)&gt;1,AK244&gt;Лист1!$B$20,N244="-"),999999999,Y244*Лист1!$B$7+0.0001*O244)</f>
        <v>357.02409999999998</v>
      </c>
      <c r="AW244" s="174"/>
      <c r="AX244" s="174">
        <f>IF(OR(MAX(AH244,AT244)&gt;1,AN244&gt;Лист1!$B$20,N244="-"),999999999,Y244*Лист1!$B$7+0.0001*O244)</f>
        <v>357.02409999999998</v>
      </c>
    </row>
    <row r="245" spans="14:50" ht="16.5" thickBot="1" x14ac:dyDescent="0.3">
      <c r="N245" t="s">
        <v>344</v>
      </c>
      <c r="O245">
        <f t="shared" si="12"/>
        <v>242</v>
      </c>
      <c r="P245" s="179" t="s">
        <v>296</v>
      </c>
      <c r="Q245" s="179">
        <v>340</v>
      </c>
      <c r="R245" s="154" t="s">
        <v>259</v>
      </c>
      <c r="S245" s="148">
        <v>300</v>
      </c>
      <c r="T245" s="148">
        <v>300</v>
      </c>
      <c r="X245" s="148">
        <v>84.7</v>
      </c>
      <c r="Y245" s="149">
        <v>66.5</v>
      </c>
      <c r="Z245" s="149">
        <v>10527</v>
      </c>
      <c r="AA245" s="150">
        <v>702</v>
      </c>
      <c r="AC245" s="151">
        <v>11.15</v>
      </c>
      <c r="AD245" s="152">
        <v>5630</v>
      </c>
      <c r="AE245" s="150">
        <v>563</v>
      </c>
      <c r="AF245" s="153">
        <v>8.15</v>
      </c>
      <c r="AG245" s="174"/>
      <c r="AH245" s="174">
        <f t="shared" si="13"/>
        <v>0.36809815950920244</v>
      </c>
      <c r="AI245" s="174"/>
      <c r="AJ245" s="186"/>
      <c r="AK245" s="174">
        <f>(($AK$2+Y245*Лист1!$B$7^2*Лист1!$G$8/100)/(AA245/10^6)+$AK$3/(AE245/10^6))/1000/($Q245*IF(Лист1!$J$19="да",1/1.05,1))</f>
        <v>4.4922029063258165E-2</v>
      </c>
      <c r="AL245" s="24"/>
      <c r="AM245" s="186"/>
      <c r="AN245" s="174">
        <f>(($AK$2+Y245*Лист1!$B$7^2*Лист1!$G$8/100)/(AA245/10^6)+$AK$3/(AE245/10^6))/1000/($Q245*IF(Лист1!$J$19="да",1/1.05,1))</f>
        <v>4.4922029063258165E-2</v>
      </c>
      <c r="AO245" s="24"/>
      <c r="AP245" s="186"/>
      <c r="AQ245" s="174">
        <f>MAX((5/384*($AQ$2+$Y245/100)*$D$17^4/(2.06*10^8*$Z245/10^8))/($D$17/300)*INDEX(Лист1!$L$34:$L$38,MATCH(Лист1!$B$8,Лист1!$I$34:$I$38,0),1),(5/384*($AQ$3)*$D$17^4/(2.06*10^8*$AD245/10^8))/($D$17/200))</f>
        <v>4.6741365661377175E-2</v>
      </c>
      <c r="AR245" s="174"/>
      <c r="AS245" s="175"/>
      <c r="AT245" s="174">
        <f>MAX((5/384*($AT$2+$Y245/100)*$D$17^4/(2.06*10^8*$Z245/10^8))/($D$17/300)*INDEX(Лист1!$L$34:$L$38,MATCH(Лист1!$B$8,Лист1!$I$34:$I$38,0),1),(5/384*($AT$3)*$D$17^4/(2.06*10^8*$AD245/10^8))/($D$17/200))</f>
        <v>2.9375745309564587E-2</v>
      </c>
      <c r="AU245" s="174"/>
      <c r="AV245" s="174">
        <f>IF(OR(MAX(AH245,AQ245)&gt;1,AK245&gt;Лист1!$B$20,N245="-"),999999999,Y245*Лист1!$B$7+0.0001*O245)</f>
        <v>999999999</v>
      </c>
      <c r="AW245" s="174"/>
      <c r="AX245" s="174">
        <f>IF(OR(MAX(AH245,AT245)&gt;1,AN245&gt;Лист1!$B$20,N245="-"),999999999,Y245*Лист1!$B$7+0.0001*O245)</f>
        <v>999999999</v>
      </c>
    </row>
    <row r="246" spans="14:50" ht="16.5" thickBot="1" x14ac:dyDescent="0.3">
      <c r="O246">
        <f t="shared" si="12"/>
        <v>243</v>
      </c>
      <c r="P246" s="179" t="s">
        <v>296</v>
      </c>
      <c r="Q246" s="179">
        <v>340</v>
      </c>
      <c r="R246" s="154" t="s">
        <v>260</v>
      </c>
      <c r="S246" s="148">
        <v>300</v>
      </c>
      <c r="T246" s="148">
        <v>300</v>
      </c>
      <c r="X246" s="148">
        <v>93.4</v>
      </c>
      <c r="Y246" s="149">
        <v>73.3</v>
      </c>
      <c r="Z246" s="149">
        <v>11505</v>
      </c>
      <c r="AA246" s="150">
        <v>767</v>
      </c>
      <c r="AC246" s="151">
        <v>11.1</v>
      </c>
      <c r="AD246" s="152">
        <v>6143</v>
      </c>
      <c r="AE246" s="150">
        <v>614</v>
      </c>
      <c r="AF246" s="153">
        <v>8.11</v>
      </c>
      <c r="AG246" s="174"/>
      <c r="AH246" s="174">
        <f t="shared" si="13"/>
        <v>0.3699136868064119</v>
      </c>
      <c r="AI246" s="174"/>
      <c r="AJ246" s="186"/>
      <c r="AK246" s="174">
        <f>(($AK$2+Y246*Лист1!$B$7^2*Лист1!$G$8/100)/(AA246/10^6)+$AK$3/(AE246/10^6))/1000/($Q246*IF(Лист1!$J$19="да",1/1.05,1))</f>
        <v>4.2326629841469718E-2</v>
      </c>
      <c r="AL246" s="24"/>
      <c r="AM246" s="186"/>
      <c r="AN246" s="174">
        <f>(($AK$2+Y246*Лист1!$B$7^2*Лист1!$G$8/100)/(AA246/10^6)+$AK$3/(AE246/10^6))/1000/($Q246*IF(Лист1!$J$19="да",1/1.05,1))</f>
        <v>4.2326629841469718E-2</v>
      </c>
      <c r="AO246" s="24"/>
      <c r="AP246" s="186"/>
      <c r="AQ246" s="174">
        <f>MAX((5/384*($AQ$2+$Y246/100)*$D$17^4/(2.06*10^8*$Z246/10^8))/($D$17/300)*INDEX(Лист1!$L$34:$L$38,MATCH(Лист1!$B$8,Лист1!$I$34:$I$38,0),1),(5/384*($AQ$3)*$D$17^4/(2.06*10^8*$AD246/10^8))/($D$17/200))</f>
        <v>4.4251813268186481E-2</v>
      </c>
      <c r="AR246" s="174"/>
      <c r="AS246" s="175"/>
      <c r="AT246" s="174">
        <f>MAX((5/384*($AT$2+$Y246/100)*$D$17^4/(2.06*10^8*$Z246/10^8))/($D$17/300)*INDEX(Лист1!$L$34:$L$38,MATCH(Лист1!$B$8,Лист1!$I$34:$I$38,0),1),(5/384*($AT$3)*$D$17^4/(2.06*10^8*$AD246/10^8))/($D$17/200))</f>
        <v>2.9299470892773505E-2</v>
      </c>
      <c r="AU246" s="174"/>
      <c r="AV246" s="174">
        <f>IF(OR(MAX(AH246,AQ246)&gt;1,AK246&gt;Лист1!$B$20,N246="-"),999999999,Y246*Лист1!$B$7+0.0001*O246)</f>
        <v>439.82429999999994</v>
      </c>
      <c r="AW246" s="174"/>
      <c r="AX246" s="174">
        <f>IF(OR(MAX(AH246,AT246)&gt;1,AN246&gt;Лист1!$B$20,N246="-"),999999999,Y246*Лист1!$B$7+0.0001*O246)</f>
        <v>439.82429999999994</v>
      </c>
    </row>
    <row r="247" spans="14:50" ht="16.5" thickBot="1" x14ac:dyDescent="0.3">
      <c r="N247" t="s">
        <v>344</v>
      </c>
      <c r="O247">
        <f t="shared" si="12"/>
        <v>244</v>
      </c>
      <c r="P247" s="179" t="s">
        <v>296</v>
      </c>
      <c r="Q247" s="179">
        <v>340</v>
      </c>
      <c r="R247" s="154" t="s">
        <v>261</v>
      </c>
      <c r="S247" s="148">
        <v>300</v>
      </c>
      <c r="T247" s="148">
        <v>300</v>
      </c>
      <c r="X247" s="148">
        <v>102</v>
      </c>
      <c r="Y247" s="149">
        <v>80.099999999999994</v>
      </c>
      <c r="Z247" s="149">
        <v>12446</v>
      </c>
      <c r="AA247" s="150">
        <v>830</v>
      </c>
      <c r="AC247" s="151">
        <v>11.05</v>
      </c>
      <c r="AD247" s="152">
        <v>6634</v>
      </c>
      <c r="AE247" s="150">
        <v>663</v>
      </c>
      <c r="AF247" s="153">
        <v>8.06</v>
      </c>
      <c r="AG247" s="174"/>
      <c r="AH247" s="174">
        <f t="shared" si="13"/>
        <v>0.37220843672456572</v>
      </c>
      <c r="AI247" s="174"/>
      <c r="AJ247" s="186"/>
      <c r="AK247" s="174">
        <f>(($AK$2+Y247*Лист1!$B$7^2*Лист1!$G$8/100)/(AA247/10^6)+$AK$3/(AE247/10^6))/1000/($Q247*IF(Лист1!$J$19="да",1/1.05,1))</f>
        <v>4.0239711311748631E-2</v>
      </c>
      <c r="AL247" s="24"/>
      <c r="AM247" s="186"/>
      <c r="AN247" s="174">
        <f>(($AK$2+Y247*Лист1!$B$7^2*Лист1!$G$8/100)/(AA247/10^6)+$AK$3/(AE247/10^6))/1000/($Q247*IF(Лист1!$J$19="да",1/1.05,1))</f>
        <v>4.0239711311748631E-2</v>
      </c>
      <c r="AO247" s="24"/>
      <c r="AP247" s="186"/>
      <c r="AQ247" s="174">
        <f>MAX((5/384*($AQ$2+$Y247/100)*$D$17^4/(2.06*10^8*$Z247/10^8))/($D$17/300)*INDEX(Лист1!$L$34:$L$38,MATCH(Лист1!$B$8,Лист1!$I$34:$I$38,0),1),(5/384*($AQ$3)*$D$17^4/(2.06*10^8*$AD247/10^8))/($D$17/200))</f>
        <v>4.3143905945529352E-2</v>
      </c>
      <c r="AR247" s="174"/>
      <c r="AS247" s="175"/>
      <c r="AT247" s="174">
        <f>MAX((5/384*($AT$2+$Y247/100)*$D$17^4/(2.06*10^8*$Z247/10^8))/($D$17/300)*INDEX(Лист1!$L$34:$L$38,MATCH(Лист1!$B$8,Лист1!$I$34:$I$38,0),1),(5/384*($AT$3)*$D$17^4/(2.06*10^8*$AD247/10^8))/($D$17/200))</f>
        <v>2.9322059647190427E-2</v>
      </c>
      <c r="AU247" s="174"/>
      <c r="AV247" s="174">
        <f>IF(OR(MAX(AH247,AQ247)&gt;1,AK247&gt;Лист1!$B$20,N247="-"),999999999,Y247*Лист1!$B$7+0.0001*O247)</f>
        <v>999999999</v>
      </c>
      <c r="AW247" s="174"/>
      <c r="AX247" s="174">
        <f>IF(OR(MAX(AH247,AT247)&gt;1,AN247&gt;Лист1!$B$20,N247="-"),999999999,Y247*Лист1!$B$7+0.0001*O247)</f>
        <v>999999999</v>
      </c>
    </row>
    <row r="248" spans="14:50" ht="16.5" thickBot="1" x14ac:dyDescent="0.3">
      <c r="O248">
        <f t="shared" si="12"/>
        <v>245</v>
      </c>
      <c r="P248" s="179" t="s">
        <v>296</v>
      </c>
      <c r="Q248" s="179">
        <v>340</v>
      </c>
      <c r="R248" s="154" t="s">
        <v>262</v>
      </c>
      <c r="S248" s="148">
        <v>300</v>
      </c>
      <c r="T248" s="148">
        <v>300</v>
      </c>
      <c r="X248" s="148">
        <v>111</v>
      </c>
      <c r="Y248" s="149">
        <v>86.8</v>
      </c>
      <c r="Z248" s="149">
        <v>13351</v>
      </c>
      <c r="AA248" s="150">
        <v>890</v>
      </c>
      <c r="AC248" s="151">
        <v>11</v>
      </c>
      <c r="AD248" s="152">
        <v>7104</v>
      </c>
      <c r="AE248" s="150">
        <v>710</v>
      </c>
      <c r="AF248" s="153">
        <v>8.01</v>
      </c>
      <c r="AG248" s="174"/>
      <c r="AH248" s="174">
        <f t="shared" si="13"/>
        <v>0.37453183520599254</v>
      </c>
      <c r="AI248" s="174"/>
      <c r="AJ248" s="186"/>
      <c r="AK248" s="174">
        <f>(($AK$2+Y248*Лист1!$B$7^2*Лист1!$G$8/100)/(AA248/10^6)+$AK$3/(AE248/10^6))/1000/($Q248*IF(Лист1!$J$19="да",1/1.05,1))</f>
        <v>3.8546729824864054E-2</v>
      </c>
      <c r="AL248" s="24"/>
      <c r="AM248" s="186"/>
      <c r="AN248" s="174">
        <f>(($AK$2+Y248*Лист1!$B$7^2*Лист1!$G$8/100)/(AA248/10^6)+$AK$3/(AE248/10^6))/1000/($Q248*IF(Лист1!$J$19="да",1/1.05,1))</f>
        <v>3.8546729824864054E-2</v>
      </c>
      <c r="AO248" s="24"/>
      <c r="AP248" s="186"/>
      <c r="AQ248" s="174">
        <f>MAX((5/384*($AQ$2+$Y248/100)*$D$17^4/(2.06*10^8*$Z248/10^8))/($D$17/300)*INDEX(Лист1!$L$34:$L$38,MATCH(Лист1!$B$8,Лист1!$I$34:$I$38,0),1),(5/384*($AQ$3)*$D$17^4/(2.06*10^8*$AD248/10^8))/($D$17/200))</f>
        <v>4.2274841417645891E-2</v>
      </c>
      <c r="AR248" s="174"/>
      <c r="AS248" s="175"/>
      <c r="AT248" s="174">
        <f>MAX((5/384*($AT$2+$Y248/100)*$D$17^4/(2.06*10^8*$Z248/10^8))/($D$17/300)*INDEX(Лист1!$L$34:$L$38,MATCH(Лист1!$B$8,Лист1!$I$34:$I$38,0),1),(5/384*($AT$3)*$D$17^4/(2.06*10^8*$AD248/10^8))/($D$17/200))</f>
        <v>2.93899115225724E-2</v>
      </c>
      <c r="AU248" s="174"/>
      <c r="AV248" s="174">
        <f>IF(OR(MAX(AH248,AQ248)&gt;1,AK248&gt;Лист1!$B$20,N248="-"),999999999,Y248*Лист1!$B$7+0.0001*O248)</f>
        <v>520.82449999999994</v>
      </c>
      <c r="AW248" s="174"/>
      <c r="AX248" s="174">
        <f>IF(OR(MAX(AH248,AT248)&gt;1,AN248&gt;Лист1!$B$20,N248="-"),999999999,Y248*Лист1!$B$7+0.0001*O248)</f>
        <v>520.82449999999994</v>
      </c>
    </row>
    <row r="249" spans="14:50" ht="16.5" thickBot="1" x14ac:dyDescent="0.3">
      <c r="N249" t="s">
        <v>344</v>
      </c>
      <c r="O249">
        <f t="shared" si="12"/>
        <v>246</v>
      </c>
      <c r="P249" s="179" t="s">
        <v>296</v>
      </c>
      <c r="Q249" s="179">
        <v>340</v>
      </c>
      <c r="R249" s="154" t="s">
        <v>263</v>
      </c>
      <c r="S249" s="148">
        <v>300</v>
      </c>
      <c r="T249" s="148">
        <v>300</v>
      </c>
      <c r="X249" s="148">
        <v>119</v>
      </c>
      <c r="Y249" s="149">
        <v>93.4</v>
      </c>
      <c r="Z249" s="149">
        <v>12482</v>
      </c>
      <c r="AA249" s="150">
        <v>945</v>
      </c>
      <c r="AC249" s="151">
        <v>10.95</v>
      </c>
      <c r="AD249" s="152">
        <v>7553</v>
      </c>
      <c r="AE249" s="150">
        <v>755</v>
      </c>
      <c r="AF249" s="153">
        <v>7.96</v>
      </c>
      <c r="AG249" s="174"/>
      <c r="AH249" s="174">
        <f t="shared" si="13"/>
        <v>0.37688442211055273</v>
      </c>
      <c r="AI249" s="174"/>
      <c r="AJ249" s="186"/>
      <c r="AK249" s="174">
        <f>(($AK$2+Y249*Лист1!$B$7^2*Лист1!$G$8/100)/(AA249/10^6)+$AK$3/(AE249/10^6))/1000/($Q249*IF(Лист1!$J$19="да",1/1.05,1))</f>
        <v>3.7202459382296056E-2</v>
      </c>
      <c r="AL249" s="24"/>
      <c r="AM249" s="186"/>
      <c r="AN249" s="174">
        <f>(($AK$2+Y249*Лист1!$B$7^2*Лист1!$G$8/100)/(AA249/10^6)+$AK$3/(AE249/10^6))/1000/($Q249*IF(Лист1!$J$19="да",1/1.05,1))</f>
        <v>3.7202459382296056E-2</v>
      </c>
      <c r="AO249" s="24"/>
      <c r="AP249" s="186"/>
      <c r="AQ249" s="174">
        <f>MAX((5/384*($AQ$2+$Y249/100)*$D$17^4/(2.06*10^8*$Z249/10^8))/($D$17/300)*INDEX(Лист1!$L$34:$L$38,MATCH(Лист1!$B$8,Лист1!$I$34:$I$38,0),1),(5/384*($AQ$3)*$D$17^4/(2.06*10^8*$AD249/10^8))/($D$17/200))</f>
        <v>4.7383766604492998E-2</v>
      </c>
      <c r="AR249" s="174"/>
      <c r="AS249" s="175"/>
      <c r="AT249" s="174">
        <f>MAX((5/384*($AT$2+$Y249/100)*$D$17^4/(2.06*10^8*$Z249/10^8))/($D$17/300)*INDEX(Лист1!$L$34:$L$38,MATCH(Лист1!$B$8,Лист1!$I$34:$I$38,0),1),(5/384*($AT$3)*$D$17^4/(2.06*10^8*$AD249/10^8))/($D$17/200))</f>
        <v>3.3601784628116922E-2</v>
      </c>
      <c r="AU249" s="174"/>
      <c r="AV249" s="174">
        <f>IF(OR(MAX(AH249,AQ249)&gt;1,AK249&gt;Лист1!$B$20,N249="-"),999999999,Y249*Лист1!$B$7+0.0001*O249)</f>
        <v>999999999</v>
      </c>
      <c r="AW249" s="174"/>
      <c r="AX249" s="174">
        <f>IF(OR(MAX(AH249,AT249)&gt;1,AN249&gt;Лист1!$B$20,N249="-"),999999999,Y249*Лист1!$B$7+0.0001*O249)</f>
        <v>999999999</v>
      </c>
    </row>
    <row r="250" spans="14:50" ht="16.5" thickBot="1" x14ac:dyDescent="0.3">
      <c r="N250" t="s">
        <v>344</v>
      </c>
      <c r="O250">
        <f t="shared" ref="O250:O313" si="14">O249+1</f>
        <v>247</v>
      </c>
      <c r="P250" s="179" t="s">
        <v>296</v>
      </c>
      <c r="Q250" s="179">
        <v>340</v>
      </c>
      <c r="R250" s="154" t="s">
        <v>264</v>
      </c>
      <c r="S250" s="148">
        <v>300</v>
      </c>
      <c r="T250" s="148">
        <v>300</v>
      </c>
      <c r="X250" s="148">
        <v>127</v>
      </c>
      <c r="Y250" s="149">
        <v>99.8</v>
      </c>
      <c r="Z250" s="149">
        <v>15054</v>
      </c>
      <c r="AA250" s="150">
        <v>1004</v>
      </c>
      <c r="AC250" s="151">
        <v>10.9</v>
      </c>
      <c r="AD250" s="152">
        <v>7983</v>
      </c>
      <c r="AE250" s="150">
        <v>798</v>
      </c>
      <c r="AF250" s="153">
        <v>7.92</v>
      </c>
      <c r="AG250" s="174"/>
      <c r="AH250" s="174">
        <f t="shared" si="13"/>
        <v>0.37878787878787884</v>
      </c>
      <c r="AI250" s="174"/>
      <c r="AJ250" s="186"/>
      <c r="AK250" s="174">
        <f>(($AK$2+Y250*Лист1!$B$7^2*Лист1!$G$8/100)/(AA250/10^6)+$AK$3/(AE250/10^6))/1000/($Q250*IF(Лист1!$J$19="да",1/1.05,1))</f>
        <v>3.5942391387132885E-2</v>
      </c>
      <c r="AL250" s="24"/>
      <c r="AM250" s="186"/>
      <c r="AN250" s="174">
        <f>(($AK$2+Y250*Лист1!$B$7^2*Лист1!$G$8/100)/(AA250/10^6)+$AK$3/(AE250/10^6))/1000/($Q250*IF(Лист1!$J$19="да",1/1.05,1))</f>
        <v>3.5942391387132885E-2</v>
      </c>
      <c r="AO250" s="24"/>
      <c r="AP250" s="186"/>
      <c r="AQ250" s="174">
        <f>MAX((5/384*($AQ$2+$Y250/100)*$D$17^4/(2.06*10^8*$Z250/10^8))/($D$17/300)*INDEX(Лист1!$L$34:$L$38,MATCH(Лист1!$B$8,Лист1!$I$34:$I$38,0),1),(5/384*($AQ$3)*$D$17^4/(2.06*10^8*$AD250/10^8))/($D$17/200))</f>
        <v>4.1029478343981088E-2</v>
      </c>
      <c r="AR250" s="174"/>
      <c r="AS250" s="175"/>
      <c r="AT250" s="174">
        <f>MAX((5/384*($AT$2+$Y250/100)*$D$17^4/(2.06*10^8*$Z250/10^8))/($D$17/300)*INDEX(Лист1!$L$34:$L$38,MATCH(Лист1!$B$8,Лист1!$I$34:$I$38,0),1),(5/384*($AT$3)*$D$17^4/(2.06*10^8*$AD250/10^8))/($D$17/200))</f>
        <v>2.9602170051890864E-2</v>
      </c>
      <c r="AU250" s="174"/>
      <c r="AV250" s="174">
        <f>IF(OR(MAX(AH250,AQ250)&gt;1,AK250&gt;Лист1!$B$20,N250="-"),999999999,Y250*Лист1!$B$7+0.0001*O250)</f>
        <v>999999999</v>
      </c>
      <c r="AW250" s="174"/>
      <c r="AX250" s="174">
        <f>IF(OR(MAX(AH250,AT250)&gt;1,AN250&gt;Лист1!$B$20,N250="-"),999999999,Y250*Лист1!$B$7+0.0001*O250)</f>
        <v>999999999</v>
      </c>
    </row>
    <row r="251" spans="14:50" ht="16.5" thickBot="1" x14ac:dyDescent="0.3">
      <c r="N251" t="s">
        <v>344</v>
      </c>
      <c r="O251">
        <f t="shared" si="14"/>
        <v>248</v>
      </c>
      <c r="P251" s="179" t="s">
        <v>296</v>
      </c>
      <c r="Q251" s="179">
        <v>340</v>
      </c>
      <c r="R251" s="154" t="s">
        <v>265</v>
      </c>
      <c r="S251" s="148">
        <v>320</v>
      </c>
      <c r="T251" s="148">
        <v>320</v>
      </c>
      <c r="X251" s="148">
        <v>75.8</v>
      </c>
      <c r="Y251" s="149">
        <v>59.5</v>
      </c>
      <c r="Z251" s="149">
        <v>10341</v>
      </c>
      <c r="AA251" s="150">
        <v>646</v>
      </c>
      <c r="AC251" s="151">
        <v>11.7</v>
      </c>
      <c r="AD251" s="152">
        <v>4248</v>
      </c>
      <c r="AE251" s="150">
        <v>472</v>
      </c>
      <c r="AF251" s="153">
        <v>7.49</v>
      </c>
      <c r="AG251" s="174"/>
      <c r="AH251" s="174">
        <f t="shared" si="13"/>
        <v>0.40053404539385845</v>
      </c>
      <c r="AI251" s="174"/>
      <c r="AJ251" s="186"/>
      <c r="AK251" s="174">
        <f>(($AK$2+Y251*Лист1!$B$7^2*Лист1!$G$8/100)/(AA251/10^6)+$AK$3/(AE251/10^6))/1000/($Q251*IF(Лист1!$J$19="да",1/1.05,1))</f>
        <v>4.9786026509574838E-2</v>
      </c>
      <c r="AL251" s="24"/>
      <c r="AM251" s="186"/>
      <c r="AN251" s="174">
        <f>(($AK$2+Y251*Лист1!$B$7^2*Лист1!$G$8/100)/(AA251/10^6)+$AK$3/(AE251/10^6))/1000/($Q251*IF(Лист1!$J$19="да",1/1.05,1))</f>
        <v>4.9786026509574838E-2</v>
      </c>
      <c r="AO251" s="24"/>
      <c r="AP251" s="186"/>
      <c r="AQ251" s="174">
        <f>MAX((5/384*($AQ$2+$Y251/100)*$D$17^4/(2.06*10^8*$Z251/10^8))/($D$17/300)*INDEX(Лист1!$L$34:$L$38,MATCH(Лист1!$B$8,Лист1!$I$34:$I$38,0),1),(5/384*($AQ$3)*$D$17^4/(2.06*10^8*$AD251/10^8))/($D$17/200))</f>
        <v>6.1947713906203745E-2</v>
      </c>
      <c r="AR251" s="174"/>
      <c r="AS251" s="175"/>
      <c r="AT251" s="174">
        <f>MAX((5/384*($AT$2+$Y251/100)*$D$17^4/(2.06*10^8*$Z251/10^8))/($D$17/300)*INDEX(Лист1!$L$34:$L$38,MATCH(Лист1!$B$8,Лист1!$I$34:$I$38,0),1),(5/384*($AT$3)*$D$17^4/(2.06*10^8*$AD251/10^8))/($D$17/200))</f>
        <v>3.6873639229883182E-2</v>
      </c>
      <c r="AU251" s="174"/>
      <c r="AV251" s="174">
        <f>IF(OR(MAX(AH251,AQ251)&gt;1,AK251&gt;Лист1!$B$20,N251="-"),999999999,Y251*Лист1!$B$7+0.0001*O251)</f>
        <v>999999999</v>
      </c>
      <c r="AW251" s="174"/>
      <c r="AX251" s="174">
        <f>IF(OR(MAX(AH251,AT251)&gt;1,AN251&gt;Лист1!$B$20,N251="-"),999999999,Y251*Лист1!$B$7+0.0001*O251)</f>
        <v>999999999</v>
      </c>
    </row>
    <row r="252" spans="14:50" ht="16.5" thickBot="1" x14ac:dyDescent="0.3">
      <c r="N252" t="s">
        <v>344</v>
      </c>
      <c r="O252">
        <f t="shared" si="14"/>
        <v>249</v>
      </c>
      <c r="P252" s="179" t="s">
        <v>296</v>
      </c>
      <c r="Q252" s="179">
        <v>340</v>
      </c>
      <c r="R252" s="154" t="s">
        <v>266</v>
      </c>
      <c r="S252" s="148">
        <v>320</v>
      </c>
      <c r="T252" s="148">
        <v>320</v>
      </c>
      <c r="X252" s="148">
        <v>93.4</v>
      </c>
      <c r="Y252" s="149">
        <v>73.3</v>
      </c>
      <c r="Z252" s="149">
        <v>12506</v>
      </c>
      <c r="AA252" s="150">
        <v>782</v>
      </c>
      <c r="AC252" s="151">
        <v>11.6</v>
      </c>
      <c r="AD252" s="152">
        <v>5111</v>
      </c>
      <c r="AE252" s="150">
        <v>568</v>
      </c>
      <c r="AF252" s="153">
        <v>7.4</v>
      </c>
      <c r="AG252" s="174"/>
      <c r="AH252" s="174">
        <f t="shared" si="13"/>
        <v>0.40540540540540543</v>
      </c>
      <c r="AI252" s="174"/>
      <c r="AJ252" s="186"/>
      <c r="AK252" s="174">
        <f>(($AK$2+Y252*Лист1!$B$7^2*Лист1!$G$8/100)/(AA252/10^6)+$AK$3/(AE252/10^6))/1000/($Q252*IF(Лист1!$J$19="да",1/1.05,1))</f>
        <v>4.3595615640541034E-2</v>
      </c>
      <c r="AL252" s="24"/>
      <c r="AM252" s="186"/>
      <c r="AN252" s="174">
        <f>(($AK$2+Y252*Лист1!$B$7^2*Лист1!$G$8/100)/(AA252/10^6)+$AK$3/(AE252/10^6))/1000/($Q252*IF(Лист1!$J$19="да",1/1.05,1))</f>
        <v>4.3595615640541034E-2</v>
      </c>
      <c r="AO252" s="24"/>
      <c r="AP252" s="186"/>
      <c r="AQ252" s="174">
        <f>MAX((5/384*($AQ$2+$Y252/100)*$D$17^4/(2.06*10^8*$Z252/10^8))/($D$17/300)*INDEX(Лист1!$L$34:$L$38,MATCH(Лист1!$B$8,Лист1!$I$34:$I$38,0),1),(5/384*($AQ$3)*$D$17^4/(2.06*10^8*$AD252/10^8))/($D$17/200))</f>
        <v>5.1487749691558109E-2</v>
      </c>
      <c r="AR252" s="174"/>
      <c r="AS252" s="175"/>
      <c r="AT252" s="174">
        <f>MAX((5/384*($AT$2+$Y252/100)*$D$17^4/(2.06*10^8*$Z252/10^8))/($D$17/300)*INDEX(Лист1!$L$34:$L$38,MATCH(Лист1!$B$8,Лист1!$I$34:$I$38,0),1),(5/384*($AT$3)*$D$17^4/(2.06*10^8*$AD252/10^8))/($D$17/200))</f>
        <v>3.0647470054498874E-2</v>
      </c>
      <c r="AU252" s="174"/>
      <c r="AV252" s="174">
        <f>IF(OR(MAX(AH252,AQ252)&gt;1,AK252&gt;Лист1!$B$20,N252="-"),999999999,Y252*Лист1!$B$7+0.0001*O252)</f>
        <v>999999999</v>
      </c>
      <c r="AW252" s="174"/>
      <c r="AX252" s="174">
        <f>IF(OR(MAX(AH252,AT252)&gt;1,AN252&gt;Лист1!$B$20,N252="-"),999999999,Y252*Лист1!$B$7+0.0001*O252)</f>
        <v>999999999</v>
      </c>
    </row>
    <row r="253" spans="14:50" ht="16.5" thickBot="1" x14ac:dyDescent="0.3">
      <c r="N253" t="s">
        <v>344</v>
      </c>
      <c r="O253">
        <f t="shared" si="14"/>
        <v>250</v>
      </c>
      <c r="P253" s="179" t="s">
        <v>296</v>
      </c>
      <c r="Q253" s="179">
        <v>340</v>
      </c>
      <c r="R253" s="154" t="s">
        <v>267</v>
      </c>
      <c r="S253" s="148">
        <v>320</v>
      </c>
      <c r="T253" s="148">
        <v>320</v>
      </c>
      <c r="X253" s="148">
        <v>111</v>
      </c>
      <c r="Y253" s="149">
        <v>86.8</v>
      </c>
      <c r="Z253" s="149">
        <v>14511</v>
      </c>
      <c r="AA253" s="150">
        <v>907</v>
      </c>
      <c r="AC253" s="151">
        <v>11.5</v>
      </c>
      <c r="AD253" s="152">
        <v>5899</v>
      </c>
      <c r="AE253" s="150">
        <v>655</v>
      </c>
      <c r="AF253" s="153">
        <v>7.31</v>
      </c>
      <c r="AG253" s="174"/>
      <c r="AH253" s="174">
        <f t="shared" si="13"/>
        <v>0.41039671682626538</v>
      </c>
      <c r="AI253" s="174"/>
      <c r="AJ253" s="186"/>
      <c r="AK253" s="174">
        <f>(($AK$2+Y253*Лист1!$B$7^2*Лист1!$G$8/100)/(AA253/10^6)+$AK$3/(AE253/10^6))/1000/($Q253*IF(Лист1!$J$19="да",1/1.05,1))</f>
        <v>3.9669486340108417E-2</v>
      </c>
      <c r="AL253" s="24"/>
      <c r="AM253" s="186"/>
      <c r="AN253" s="174">
        <f>(($AK$2+Y253*Лист1!$B$7^2*Лист1!$G$8/100)/(AA253/10^6)+$AK$3/(AE253/10^6))/1000/($Q253*IF(Лист1!$J$19="да",1/1.05,1))</f>
        <v>3.9669486340108417E-2</v>
      </c>
      <c r="AO253" s="24"/>
      <c r="AP253" s="186"/>
      <c r="AQ253" s="174">
        <f>MAX((5/384*($AQ$2+$Y253/100)*$D$17^4/(2.06*10^8*$Z253/10^8))/($D$17/300)*INDEX(Лист1!$L$34:$L$38,MATCH(Лист1!$B$8,Лист1!$I$34:$I$38,0),1),(5/384*($AQ$3)*$D$17^4/(2.06*10^8*$AD253/10^8))/($D$17/200))</f>
        <v>4.4609915015011603E-2</v>
      </c>
      <c r="AR253" s="174"/>
      <c r="AS253" s="175"/>
      <c r="AT253" s="174">
        <f>MAX((5/384*($AT$2+$Y253/100)*$D$17^4/(2.06*10^8*$Z253/10^8))/($D$17/300)*INDEX(Лист1!$L$34:$L$38,MATCH(Лист1!$B$8,Лист1!$I$34:$I$38,0),1),(5/384*($AT$3)*$D$17^4/(2.06*10^8*$AD253/10^8))/($D$17/200))</f>
        <v>2.7040500912264082E-2</v>
      </c>
      <c r="AU253" s="174"/>
      <c r="AV253" s="174">
        <f>IF(OR(MAX(AH253,AQ253)&gt;1,AK253&gt;Лист1!$B$20,N253="-"),999999999,Y253*Лист1!$B$7+0.0001*O253)</f>
        <v>999999999</v>
      </c>
      <c r="AW253" s="174"/>
      <c r="AX253" s="174">
        <f>IF(OR(MAX(AH253,AT253)&gt;1,AN253&gt;Лист1!$B$20,N253="-"),999999999,Y253*Лист1!$B$7+0.0001*O253)</f>
        <v>999999999</v>
      </c>
    </row>
    <row r="254" spans="14:50" ht="16.5" thickBot="1" x14ac:dyDescent="0.3">
      <c r="N254" t="s">
        <v>344</v>
      </c>
      <c r="O254">
        <f t="shared" si="14"/>
        <v>251</v>
      </c>
      <c r="P254" s="179" t="s">
        <v>296</v>
      </c>
      <c r="Q254" s="179">
        <v>340</v>
      </c>
      <c r="R254" s="154" t="s">
        <v>268</v>
      </c>
      <c r="S254" s="148">
        <v>320</v>
      </c>
      <c r="T254" s="148">
        <v>320</v>
      </c>
      <c r="X254" s="148">
        <v>127</v>
      </c>
      <c r="Y254" s="149">
        <v>99.8</v>
      </c>
      <c r="Z254" s="149">
        <v>16359</v>
      </c>
      <c r="AA254" s="150">
        <v>1022</v>
      </c>
      <c r="AC254" s="151">
        <v>11.3</v>
      </c>
      <c r="AD254" s="152">
        <v>6617</v>
      </c>
      <c r="AE254" s="150">
        <v>735</v>
      </c>
      <c r="AF254" s="153">
        <v>7.21</v>
      </c>
      <c r="AG254" s="174"/>
      <c r="AH254" s="174">
        <f t="shared" si="13"/>
        <v>0.41608876560332875</v>
      </c>
      <c r="AI254" s="174"/>
      <c r="AJ254" s="186"/>
      <c r="AK254" s="174">
        <f>(($AK$2+Y254*Лист1!$B$7^2*Лист1!$G$8/100)/(AA254/10^6)+$AK$3/(AE254/10^6))/1000/($Q254*IF(Лист1!$J$19="да",1/1.05,1))</f>
        <v>3.6960929809174724E-2</v>
      </c>
      <c r="AL254" s="24"/>
      <c r="AM254" s="186"/>
      <c r="AN254" s="174">
        <f>(($AK$2+Y254*Лист1!$B$7^2*Лист1!$G$8/100)/(AA254/10^6)+$AK$3/(AE254/10^6))/1000/($Q254*IF(Лист1!$J$19="да",1/1.05,1))</f>
        <v>3.6960929809174724E-2</v>
      </c>
      <c r="AO254" s="24"/>
      <c r="AP254" s="186"/>
      <c r="AQ254" s="174">
        <f>MAX((5/384*($AQ$2+$Y254/100)*$D$17^4/(2.06*10^8*$Z254/10^8))/($D$17/300)*INDEX(Лист1!$L$34:$L$38,MATCH(Лист1!$B$8,Лист1!$I$34:$I$38,0),1),(5/384*($AQ$3)*$D$17^4/(2.06*10^8*$AD254/10^8))/($D$17/200))</f>
        <v>3.976936507081056E-2</v>
      </c>
      <c r="AR254" s="174"/>
      <c r="AS254" s="175"/>
      <c r="AT254" s="174">
        <f>MAX((5/384*($AT$2+$Y254/100)*$D$17^4/(2.06*10^8*$Z254/10^8))/($D$17/300)*INDEX(Лист1!$L$34:$L$38,MATCH(Лист1!$B$8,Лист1!$I$34:$I$38,0),1),(5/384*($AT$3)*$D$17^4/(2.06*10^8*$AD254/10^8))/($D$17/200))</f>
        <v>2.7240727914980445E-2</v>
      </c>
      <c r="AU254" s="174"/>
      <c r="AV254" s="174">
        <f>IF(OR(MAX(AH254,AQ254)&gt;1,AK254&gt;Лист1!$B$20,N254="-"),999999999,Y254*Лист1!$B$7+0.0001*O254)</f>
        <v>999999999</v>
      </c>
      <c r="AW254" s="174"/>
      <c r="AX254" s="174">
        <f>IF(OR(MAX(AH254,AT254)&gt;1,AN254&gt;Лист1!$B$20,N254="-"),999999999,Y254*Лист1!$B$7+0.0001*O254)</f>
        <v>999999999</v>
      </c>
    </row>
    <row r="255" spans="14:50" ht="16.5" thickBot="1" x14ac:dyDescent="0.3">
      <c r="N255" t="s">
        <v>344</v>
      </c>
      <c r="O255">
        <f t="shared" si="14"/>
        <v>252</v>
      </c>
      <c r="P255" s="179" t="s">
        <v>296</v>
      </c>
      <c r="Q255" s="179">
        <v>340</v>
      </c>
      <c r="R255" s="154" t="s">
        <v>269</v>
      </c>
      <c r="S255" s="148">
        <v>340</v>
      </c>
      <c r="T255" s="148">
        <v>340</v>
      </c>
      <c r="X255" s="148">
        <v>84.7</v>
      </c>
      <c r="Y255" s="149">
        <v>66.5</v>
      </c>
      <c r="Z255" s="149">
        <v>12306</v>
      </c>
      <c r="AA255" s="150">
        <v>724</v>
      </c>
      <c r="AC255" s="151">
        <v>12.1</v>
      </c>
      <c r="AD255" s="152">
        <v>3793</v>
      </c>
      <c r="AE255" s="150">
        <v>474</v>
      </c>
      <c r="AF255" s="153">
        <v>6.69</v>
      </c>
      <c r="AG255" s="174"/>
      <c r="AH255" s="174">
        <f t="shared" si="13"/>
        <v>0.44843049327354256</v>
      </c>
      <c r="AI255" s="174"/>
      <c r="AJ255" s="186"/>
      <c r="AK255" s="174">
        <f>(($AK$2+Y255*Лист1!$B$7^2*Лист1!$G$8/100)/(AA255/10^6)+$AK$3/(AE255/10^6))/1000/($Q255*IF(Лист1!$J$19="да",1/1.05,1))</f>
        <v>4.8499371320583538E-2</v>
      </c>
      <c r="AL255" s="24"/>
      <c r="AM255" s="186"/>
      <c r="AN255" s="174">
        <f>(($AK$2+Y255*Лист1!$B$7^2*Лист1!$G$8/100)/(AA255/10^6)+$AK$3/(AE255/10^6))/1000/($Q255*IF(Лист1!$J$19="да",1/1.05,1))</f>
        <v>4.8499371320583538E-2</v>
      </c>
      <c r="AO255" s="24"/>
      <c r="AP255" s="186"/>
      <c r="AQ255" s="174">
        <f>MAX((5/384*($AQ$2+$Y255/100)*$D$17^4/(2.06*10^8*$Z255/10^8))/($D$17/300)*INDEX(Лист1!$L$34:$L$38,MATCH(Лист1!$B$8,Лист1!$I$34:$I$38,0),1),(5/384*($AQ$3)*$D$17^4/(2.06*10^8*$AD255/10^8))/($D$17/200))</f>
        <v>6.9378826436475999E-2</v>
      </c>
      <c r="AR255" s="174"/>
      <c r="AS255" s="175"/>
      <c r="AT255" s="174">
        <f>MAX((5/384*($AT$2+$Y255/100)*$D$17^4/(2.06*10^8*$Z255/10^8))/($D$17/300)*INDEX(Лист1!$L$34:$L$38,MATCH(Лист1!$B$8,Лист1!$I$34:$I$38,0),1),(5/384*($AT$3)*$D$17^4/(2.06*10^8*$AD255/10^8))/($D$17/200))</f>
        <v>4.1296920497902387E-2</v>
      </c>
      <c r="AU255" s="174"/>
      <c r="AV255" s="174">
        <f>IF(OR(MAX(AH255,AQ255)&gt;1,AK255&gt;Лист1!$B$20,N255="-"),999999999,Y255*Лист1!$B$7+0.0001*O255)</f>
        <v>999999999</v>
      </c>
      <c r="AW255" s="174"/>
      <c r="AX255" s="174">
        <f>IF(OR(MAX(AH255,AT255)&gt;1,AN255&gt;Лист1!$B$20,N255="-"),999999999,Y255*Лист1!$B$7+0.0001*O255)</f>
        <v>999999999</v>
      </c>
    </row>
    <row r="256" spans="14:50" ht="16.5" thickBot="1" x14ac:dyDescent="0.3">
      <c r="N256" t="s">
        <v>344</v>
      </c>
      <c r="O256">
        <f t="shared" si="14"/>
        <v>253</v>
      </c>
      <c r="P256" s="179" t="s">
        <v>296</v>
      </c>
      <c r="Q256" s="179">
        <v>340</v>
      </c>
      <c r="R256" s="154" t="s">
        <v>270</v>
      </c>
      <c r="S256" s="148">
        <v>340</v>
      </c>
      <c r="T256" s="148">
        <v>340</v>
      </c>
      <c r="X256" s="148">
        <v>93.4</v>
      </c>
      <c r="Y256" s="149">
        <v>73.3</v>
      </c>
      <c r="Z256" s="149">
        <v>13446</v>
      </c>
      <c r="AA256" s="150">
        <v>791</v>
      </c>
      <c r="AC256" s="151">
        <v>12</v>
      </c>
      <c r="AD256" s="152">
        <v>4130</v>
      </c>
      <c r="AE256" s="150">
        <v>516</v>
      </c>
      <c r="AF256" s="153">
        <v>6.65</v>
      </c>
      <c r="AG256" s="174"/>
      <c r="AH256" s="174">
        <f t="shared" si="13"/>
        <v>0.45112781954887216</v>
      </c>
      <c r="AI256" s="174"/>
      <c r="AJ256" s="186"/>
      <c r="AK256" s="174">
        <f>(($AK$2+Y256*Лист1!$B$7^2*Лист1!$G$8/100)/(AA256/10^6)+$AK$3/(AE256/10^6))/1000/($Q256*IF(Лист1!$J$19="да",1/1.05,1))</f>
        <v>4.5618139398719428E-2</v>
      </c>
      <c r="AL256" s="24"/>
      <c r="AM256" s="186"/>
      <c r="AN256" s="174">
        <f>(($AK$2+Y256*Лист1!$B$7^2*Лист1!$G$8/100)/(AA256/10^6)+$AK$3/(AE256/10^6))/1000/($Q256*IF(Лист1!$J$19="да",1/1.05,1))</f>
        <v>4.5618139398719428E-2</v>
      </c>
      <c r="AO256" s="24"/>
      <c r="AP256" s="186"/>
      <c r="AQ256" s="174">
        <f>MAX((5/384*($AQ$2+$Y256/100)*$D$17^4/(2.06*10^8*$Z256/10^8))/($D$17/300)*INDEX(Лист1!$L$34:$L$38,MATCH(Лист1!$B$8,Лист1!$I$34:$I$38,0),1),(5/384*($AQ$3)*$D$17^4/(2.06*10^8*$AD256/10^8))/($D$17/200))</f>
        <v>6.3717648589238132E-2</v>
      </c>
      <c r="AR256" s="174"/>
      <c r="AS256" s="175"/>
      <c r="AT256" s="174">
        <f>MAX((5/384*($AT$2+$Y256/100)*$D$17^4/(2.06*10^8*$Z256/10^8))/($D$17/300)*INDEX(Лист1!$L$34:$L$38,MATCH(Лист1!$B$8,Лист1!$I$34:$I$38,0),1),(5/384*($AT$3)*$D$17^4/(2.06*10^8*$AD256/10^8))/($D$17/200))</f>
        <v>3.7927171779308412E-2</v>
      </c>
      <c r="AU256" s="174"/>
      <c r="AV256" s="174">
        <f>IF(OR(MAX(AH256,AQ256)&gt;1,AK256&gt;Лист1!$B$20,N256="-"),999999999,Y256*Лист1!$B$7+0.0001*O256)</f>
        <v>999999999</v>
      </c>
      <c r="AW256" s="174"/>
      <c r="AX256" s="174">
        <f>IF(OR(MAX(AH256,AT256)&gt;1,AN256&gt;Лист1!$B$20,N256="-"),999999999,Y256*Лист1!$B$7+0.0001*O256)</f>
        <v>999999999</v>
      </c>
    </row>
    <row r="257" spans="14:50" ht="16.5" thickBot="1" x14ac:dyDescent="0.3">
      <c r="N257" t="s">
        <v>344</v>
      </c>
      <c r="O257">
        <f t="shared" si="14"/>
        <v>254</v>
      </c>
      <c r="P257" s="179" t="s">
        <v>296</v>
      </c>
      <c r="Q257" s="179">
        <v>340</v>
      </c>
      <c r="R257" s="154" t="s">
        <v>271</v>
      </c>
      <c r="S257" s="148">
        <v>340</v>
      </c>
      <c r="T257" s="148">
        <v>340</v>
      </c>
      <c r="X257" s="148">
        <v>111</v>
      </c>
      <c r="Y257" s="149">
        <v>86.8</v>
      </c>
      <c r="Z257" s="149">
        <v>15596</v>
      </c>
      <c r="AA257" s="150">
        <v>917</v>
      </c>
      <c r="AC257" s="151">
        <v>11.9</v>
      </c>
      <c r="AD257" s="152">
        <v>4755</v>
      </c>
      <c r="AE257" s="150">
        <v>594</v>
      </c>
      <c r="AF257" s="153">
        <v>6.56</v>
      </c>
      <c r="AG257" s="174"/>
      <c r="AH257" s="174">
        <f t="shared" si="13"/>
        <v>0.45731707317073172</v>
      </c>
      <c r="AI257" s="174"/>
      <c r="AJ257" s="186"/>
      <c r="AK257" s="174">
        <f>(($AK$2+Y257*Лист1!$B$7^2*Лист1!$G$8/100)/(AA257/10^6)+$AK$3/(AE257/10^6))/1000/($Q257*IF(Лист1!$J$19="да",1/1.05,1))</f>
        <v>4.1449064545085894E-2</v>
      </c>
      <c r="AL257" s="24"/>
      <c r="AM257" s="186"/>
      <c r="AN257" s="174">
        <f>(($AK$2+Y257*Лист1!$B$7^2*Лист1!$G$8/100)/(AA257/10^6)+$AK$3/(AE257/10^6))/1000/($Q257*IF(Лист1!$J$19="да",1/1.05,1))</f>
        <v>4.1449064545085894E-2</v>
      </c>
      <c r="AO257" s="24"/>
      <c r="AP257" s="186"/>
      <c r="AQ257" s="174">
        <f>MAX((5/384*($AQ$2+$Y257/100)*$D$17^4/(2.06*10^8*$Z257/10^8))/($D$17/300)*INDEX(Лист1!$L$34:$L$38,MATCH(Лист1!$B$8,Лист1!$I$34:$I$38,0),1),(5/384*($AQ$3)*$D$17^4/(2.06*10^8*$AD257/10^8))/($D$17/200))</f>
        <v>5.534256333828675E-2</v>
      </c>
      <c r="AR257" s="174"/>
      <c r="AS257" s="175"/>
      <c r="AT257" s="174">
        <f>MAX((5/384*($AT$2+$Y257/100)*$D$17^4/(2.06*10^8*$Z257/10^8))/($D$17/300)*INDEX(Лист1!$L$34:$L$38,MATCH(Лист1!$B$8,Лист1!$I$34:$I$38,0),1),(5/384*($AT$3)*$D$17^4/(2.06*10^8*$AD257/10^8))/($D$17/200))</f>
        <v>3.2942001987075448E-2</v>
      </c>
      <c r="AU257" s="174"/>
      <c r="AV257" s="174">
        <f>IF(OR(MAX(AH257,AQ257)&gt;1,AK257&gt;Лист1!$B$20,N257="-"),999999999,Y257*Лист1!$B$7+0.0001*O257)</f>
        <v>999999999</v>
      </c>
      <c r="AW257" s="174"/>
      <c r="AX257" s="174">
        <f>IF(OR(MAX(AH257,AT257)&gt;1,AN257&gt;Лист1!$B$20,N257="-"),999999999,Y257*Лист1!$B$7+0.0001*O257)</f>
        <v>999999999</v>
      </c>
    </row>
    <row r="258" spans="14:50" ht="16.5" thickBot="1" x14ac:dyDescent="0.3">
      <c r="N258" t="s">
        <v>344</v>
      </c>
      <c r="O258">
        <f t="shared" si="14"/>
        <v>255</v>
      </c>
      <c r="P258" s="179" t="s">
        <v>296</v>
      </c>
      <c r="Q258" s="179">
        <v>340</v>
      </c>
      <c r="R258" s="154" t="s">
        <v>272</v>
      </c>
      <c r="S258" s="148">
        <v>340</v>
      </c>
      <c r="T258" s="148">
        <v>340</v>
      </c>
      <c r="X258" s="148">
        <v>127</v>
      </c>
      <c r="Y258" s="149">
        <v>99.8</v>
      </c>
      <c r="Z258" s="149">
        <v>17576</v>
      </c>
      <c r="AA258" s="150">
        <v>1034</v>
      </c>
      <c r="AC258" s="151">
        <v>11.8</v>
      </c>
      <c r="AD258" s="152">
        <v>5319</v>
      </c>
      <c r="AE258" s="150">
        <v>655</v>
      </c>
      <c r="AF258" s="153">
        <v>6.47</v>
      </c>
      <c r="AG258" s="174"/>
      <c r="AH258" s="174">
        <f t="shared" si="13"/>
        <v>0.46367851622874812</v>
      </c>
      <c r="AI258" s="174"/>
      <c r="AJ258" s="186"/>
      <c r="AK258" s="174">
        <f>(($AK$2+Y258*Лист1!$B$7^2*Лист1!$G$8/100)/(AA258/10^6)+$AK$3/(AE258/10^6))/1000/($Q258*IF(Лист1!$J$19="да",1/1.05,1))</f>
        <v>3.8852961900856832E-2</v>
      </c>
      <c r="AL258" s="24"/>
      <c r="AM258" s="186"/>
      <c r="AN258" s="174">
        <f>(($AK$2+Y258*Лист1!$B$7^2*Лист1!$G$8/100)/(AA258/10^6)+$AK$3/(AE258/10^6))/1000/($Q258*IF(Лист1!$J$19="да",1/1.05,1))</f>
        <v>3.8852961900856832E-2</v>
      </c>
      <c r="AO258" s="24"/>
      <c r="AP258" s="186"/>
      <c r="AQ258" s="174">
        <f>MAX((5/384*($AQ$2+$Y258/100)*$D$17^4/(2.06*10^8*$Z258/10^8))/($D$17/300)*INDEX(Лист1!$L$34:$L$38,MATCH(Лист1!$B$8,Лист1!$I$34:$I$38,0),1),(5/384*($AQ$3)*$D$17^4/(2.06*10^8*$AD258/10^8))/($D$17/200))</f>
        <v>4.94743163514859E-2</v>
      </c>
      <c r="AR258" s="174"/>
      <c r="AS258" s="175"/>
      <c r="AT258" s="174">
        <f>MAX((5/384*($AT$2+$Y258/100)*$D$17^4/(2.06*10^8*$Z258/10^8))/($D$17/300)*INDEX(Лист1!$L$34:$L$38,MATCH(Лист1!$B$8,Лист1!$I$34:$I$38,0),1),(5/384*($AT$3)*$D$17^4/(2.06*10^8*$AD258/10^8))/($D$17/200))</f>
        <v>2.9448997828265419E-2</v>
      </c>
      <c r="AU258" s="174"/>
      <c r="AV258" s="174">
        <f>IF(OR(MAX(AH258,AQ258)&gt;1,AK258&gt;Лист1!$B$20,N258="-"),999999999,Y258*Лист1!$B$7+0.0001*O258)</f>
        <v>999999999</v>
      </c>
      <c r="AW258" s="174"/>
      <c r="AX258" s="174">
        <f>IF(OR(MAX(AH258,AT258)&gt;1,AN258&gt;Лист1!$B$20,N258="-"),999999999,Y258*Лист1!$B$7+0.0001*O258)</f>
        <v>999999999</v>
      </c>
    </row>
    <row r="259" spans="14:50" ht="16.5" thickBot="1" x14ac:dyDescent="0.3">
      <c r="N259" t="s">
        <v>344</v>
      </c>
      <c r="O259">
        <f t="shared" si="14"/>
        <v>256</v>
      </c>
      <c r="P259" s="179" t="s">
        <v>296</v>
      </c>
      <c r="Q259" s="179">
        <v>340</v>
      </c>
      <c r="R259" s="154" t="s">
        <v>273</v>
      </c>
      <c r="S259" s="148">
        <v>340</v>
      </c>
      <c r="T259" s="148">
        <v>340</v>
      </c>
      <c r="X259" s="148">
        <v>113</v>
      </c>
      <c r="Y259" s="149">
        <v>89</v>
      </c>
      <c r="Z259" s="149">
        <v>18892</v>
      </c>
      <c r="AA259" s="150">
        <v>1111</v>
      </c>
      <c r="AC259" s="151">
        <v>12.9</v>
      </c>
      <c r="AD259" s="152">
        <v>12510</v>
      </c>
      <c r="AE259" s="150">
        <v>962</v>
      </c>
      <c r="AF259" s="153">
        <v>10.5</v>
      </c>
      <c r="AG259" s="174"/>
      <c r="AH259" s="174">
        <f t="shared" si="13"/>
        <v>0.28571428571428575</v>
      </c>
      <c r="AI259" s="174"/>
      <c r="AJ259" s="186"/>
      <c r="AK259" s="174">
        <f>(($AK$2+Y259*Лист1!$B$7^2*Лист1!$G$8/100)/(AA259/10^6)+$AK$3/(AE259/10^6))/1000/($Q259*IF(Лист1!$J$19="да",1/1.05,1))</f>
        <v>3.0008684516891294E-2</v>
      </c>
      <c r="AL259" s="24"/>
      <c r="AM259" s="186"/>
      <c r="AN259" s="174">
        <f>(($AK$2+Y259*Лист1!$B$7^2*Лист1!$G$8/100)/(AA259/10^6)+$AK$3/(AE259/10^6))/1000/($Q259*IF(Лист1!$J$19="да",1/1.05,1))</f>
        <v>3.0008684516891294E-2</v>
      </c>
      <c r="AO259" s="24"/>
      <c r="AP259" s="186"/>
      <c r="AQ259" s="174">
        <f>MAX((5/384*($AQ$2+$Y259/100)*$D$17^4/(2.06*10^8*$Z259/10^8))/($D$17/300)*INDEX(Лист1!$L$34:$L$38,MATCH(Лист1!$B$8,Лист1!$I$34:$I$38,0),1),(5/384*($AQ$3)*$D$17^4/(2.06*10^8*$AD259/10^8))/($D$17/200))</f>
        <v>3.0352653509267809E-2</v>
      </c>
      <c r="AR259" s="174"/>
      <c r="AS259" s="175"/>
      <c r="AT259" s="174">
        <f>MAX((5/384*($AT$2+$Y259/100)*$D$17^4/(2.06*10^8*$Z259/10^8))/($D$17/300)*INDEX(Лист1!$L$34:$L$38,MATCH(Лист1!$B$8,Лист1!$I$34:$I$38,0),1),(5/384*($AT$3)*$D$17^4/(2.06*10^8*$AD259/10^8))/($D$17/200))</f>
        <v>2.1246857456487467E-2</v>
      </c>
      <c r="AU259" s="174"/>
      <c r="AV259" s="174">
        <f>IF(OR(MAX(AH259,AQ259)&gt;1,AK259&gt;Лист1!$B$20,N259="-"),999999999,Y259*Лист1!$B$7+0.0001*O259)</f>
        <v>999999999</v>
      </c>
      <c r="AW259" s="174"/>
      <c r="AX259" s="174">
        <f>IF(OR(MAX(AH259,AT259)&gt;1,AN259&gt;Лист1!$B$20,N259="-"),999999999,Y259*Лист1!$B$7+0.0001*O259)</f>
        <v>999999999</v>
      </c>
    </row>
    <row r="260" spans="14:50" ht="16.5" thickBot="1" x14ac:dyDescent="0.3">
      <c r="N260" t="s">
        <v>344</v>
      </c>
      <c r="O260">
        <f t="shared" si="14"/>
        <v>257</v>
      </c>
      <c r="P260" s="179" t="s">
        <v>296</v>
      </c>
      <c r="Q260" s="179">
        <v>340</v>
      </c>
      <c r="R260" s="154" t="s">
        <v>274</v>
      </c>
      <c r="S260" s="148">
        <v>340</v>
      </c>
      <c r="T260" s="148">
        <v>340</v>
      </c>
      <c r="X260" s="148">
        <v>135</v>
      </c>
      <c r="Y260" s="149">
        <v>106</v>
      </c>
      <c r="Z260" s="149">
        <v>22054</v>
      </c>
      <c r="AA260" s="150">
        <v>1297</v>
      </c>
      <c r="AC260" s="151">
        <v>12.8</v>
      </c>
      <c r="AD260" s="152">
        <v>14577</v>
      </c>
      <c r="AE260" s="150">
        <v>1121</v>
      </c>
      <c r="AF260" s="153">
        <v>10.4</v>
      </c>
      <c r="AG260" s="174"/>
      <c r="AH260" s="174">
        <f t="shared" si="13"/>
        <v>0.28846153846153849</v>
      </c>
      <c r="AI260" s="174"/>
      <c r="AJ260" s="186"/>
      <c r="AK260" s="174">
        <f>(($AK$2+Y260*Лист1!$B$7^2*Лист1!$G$8/100)/(AA260/10^6)+$AK$3/(AE260/10^6))/1000/($Q260*IF(Лист1!$J$19="да",1/1.05,1))</f>
        <v>2.7460795357477839E-2</v>
      </c>
      <c r="AL260" s="24"/>
      <c r="AM260" s="186"/>
      <c r="AN260" s="174">
        <f>(($AK$2+Y260*Лист1!$B$7^2*Лист1!$G$8/100)/(AA260/10^6)+$AK$3/(AE260/10^6))/1000/($Q260*IF(Лист1!$J$19="да",1/1.05,1))</f>
        <v>2.7460795357477839E-2</v>
      </c>
      <c r="AO260" s="24"/>
      <c r="AP260" s="186"/>
      <c r="AQ260" s="174">
        <f>MAX((5/384*($AQ$2+$Y260/100)*$D$17^4/(2.06*10^8*$Z260/10^8))/($D$17/300)*INDEX(Лист1!$L$34:$L$38,MATCH(Лист1!$B$8,Лист1!$I$34:$I$38,0),1),(5/384*($AQ$3)*$D$17^4/(2.06*10^8*$AD260/10^8))/($D$17/200))</f>
        <v>2.9158074928177177E-2</v>
      </c>
      <c r="AR260" s="174"/>
      <c r="AS260" s="175"/>
      <c r="AT260" s="174">
        <f>MAX((5/384*($AT$2+$Y260/100)*$D$17^4/(2.06*10^8*$Z260/10^8))/($D$17/300)*INDEX(Лист1!$L$34:$L$38,MATCH(Лист1!$B$8,Лист1!$I$34:$I$38,0),1),(5/384*($AT$3)*$D$17^4/(2.06*10^8*$AD260/10^8))/($D$17/200))</f>
        <v>2.1357825584333603E-2</v>
      </c>
      <c r="AU260" s="174"/>
      <c r="AV260" s="174">
        <f>IF(OR(MAX(AH260,AQ260)&gt;1,AK260&gt;Лист1!$B$20,N260="-"),999999999,Y260*Лист1!$B$7+0.0001*O260)</f>
        <v>999999999</v>
      </c>
      <c r="AW260" s="174"/>
      <c r="AX260" s="174">
        <f>IF(OR(MAX(AH260,AT260)&gt;1,AN260&gt;Лист1!$B$20,N260="-"),999999999,Y260*Лист1!$B$7+0.0001*O260)</f>
        <v>999999999</v>
      </c>
    </row>
    <row r="261" spans="14:50" ht="16.5" thickBot="1" x14ac:dyDescent="0.3">
      <c r="N261" t="s">
        <v>344</v>
      </c>
      <c r="O261">
        <f t="shared" si="14"/>
        <v>258</v>
      </c>
      <c r="P261" s="179" t="s">
        <v>296</v>
      </c>
      <c r="Q261" s="179">
        <v>340</v>
      </c>
      <c r="R261" s="154" t="s">
        <v>275</v>
      </c>
      <c r="S261" s="148">
        <v>340</v>
      </c>
      <c r="T261" s="148">
        <v>340</v>
      </c>
      <c r="X261" s="148">
        <v>155</v>
      </c>
      <c r="Y261" s="149">
        <v>122</v>
      </c>
      <c r="Z261" s="149">
        <v>25020</v>
      </c>
      <c r="AA261" s="150">
        <v>1472</v>
      </c>
      <c r="AC261" s="151">
        <v>12.7</v>
      </c>
      <c r="AD261" s="152">
        <v>16508</v>
      </c>
      <c r="AE261" s="150">
        <v>1269</v>
      </c>
      <c r="AF261" s="153">
        <v>10.3</v>
      </c>
      <c r="AG261" s="174"/>
      <c r="AH261" s="174">
        <f t="shared" ref="AH261:AH324" si="15">MAX($D$18*100/$AC261,$D$17*100/$AF261)/200</f>
        <v>0.29126213592233008</v>
      </c>
      <c r="AI261" s="174"/>
      <c r="AJ261" s="186"/>
      <c r="AK261" s="174">
        <f>(($AK$2+Y261*Лист1!$B$7^2*Лист1!$G$8/100)/(AA261/10^6)+$AK$3/(AE261/10^6))/1000/($Q261*IF(Лист1!$J$19="да",1/1.05,1))</f>
        <v>2.5660413123371171E-2</v>
      </c>
      <c r="AL261" s="24"/>
      <c r="AM261" s="186"/>
      <c r="AN261" s="174">
        <f>(($AK$2+Y261*Лист1!$B$7^2*Лист1!$G$8/100)/(AA261/10^6)+$AK$3/(AE261/10^6))/1000/($Q261*IF(Лист1!$J$19="да",1/1.05,1))</f>
        <v>2.5660413123371171E-2</v>
      </c>
      <c r="AO261" s="24"/>
      <c r="AP261" s="186"/>
      <c r="AQ261" s="174">
        <f>MAX((5/384*($AQ$2+$Y261/100)*$D$17^4/(2.06*10^8*$Z261/10^8))/($D$17/300)*INDEX(Лист1!$L$34:$L$38,MATCH(Лист1!$B$8,Лист1!$I$34:$I$38,0),1),(5/384*($AQ$3)*$D$17^4/(2.06*10^8*$AD261/10^8))/($D$17/200))</f>
        <v>2.8320789969965777E-2</v>
      </c>
      <c r="AR261" s="174"/>
      <c r="AS261" s="175"/>
      <c r="AT261" s="174">
        <f>MAX((5/384*($AT$2+$Y261/100)*$D$17^4/(2.06*10^8*$Z261/10^8))/($D$17/300)*INDEX(Лист1!$L$34:$L$38,MATCH(Лист1!$B$8,Лист1!$I$34:$I$38,0),1),(5/384*($AT$3)*$D$17^4/(2.06*10^8*$AD261/10^8))/($D$17/200))</f>
        <v>2.144522246280646E-2</v>
      </c>
      <c r="AU261" s="174"/>
      <c r="AV261" s="174">
        <f>IF(OR(MAX(AH261,AQ261)&gt;1,AK261&gt;Лист1!$B$20,N261="-"),999999999,Y261*Лист1!$B$7+0.0001*O261)</f>
        <v>999999999</v>
      </c>
      <c r="AW261" s="174"/>
      <c r="AX261" s="174">
        <f>IF(OR(MAX(AH261,AT261)&gt;1,AN261&gt;Лист1!$B$20,N261="-"),999999999,Y261*Лист1!$B$7+0.0001*O261)</f>
        <v>999999999</v>
      </c>
    </row>
    <row r="262" spans="14:50" ht="16.5" thickBot="1" x14ac:dyDescent="0.3">
      <c r="N262" t="s">
        <v>344</v>
      </c>
      <c r="O262">
        <f t="shared" si="14"/>
        <v>259</v>
      </c>
      <c r="P262" s="179" t="s">
        <v>296</v>
      </c>
      <c r="Q262" s="179">
        <v>340</v>
      </c>
      <c r="R262" s="154" t="s">
        <v>276</v>
      </c>
      <c r="S262" s="148">
        <v>380</v>
      </c>
      <c r="T262" s="148">
        <v>380</v>
      </c>
      <c r="X262" s="148">
        <v>113</v>
      </c>
      <c r="Y262" s="149">
        <v>89</v>
      </c>
      <c r="Z262" s="149">
        <v>21925</v>
      </c>
      <c r="AA262" s="150">
        <v>1154</v>
      </c>
      <c r="AC262" s="151">
        <v>13.9</v>
      </c>
      <c r="AD262" s="152">
        <v>9416</v>
      </c>
      <c r="AE262" s="150">
        <v>856</v>
      </c>
      <c r="AF262" s="153">
        <v>9.11</v>
      </c>
      <c r="AG262" s="174"/>
      <c r="AH262" s="174">
        <f t="shared" si="15"/>
        <v>0.3293084522502745</v>
      </c>
      <c r="AI262" s="174"/>
      <c r="AJ262" s="186"/>
      <c r="AK262" s="174">
        <f>(($AK$2+Y262*Лист1!$B$7^2*Лист1!$G$8/100)/(AA262/10^6)+$AK$3/(AE262/10^6))/1000/($Q262*IF(Лист1!$J$19="да",1/1.05,1))</f>
        <v>3.1026459352852524E-2</v>
      </c>
      <c r="AL262" s="24"/>
      <c r="AM262" s="186"/>
      <c r="AN262" s="174">
        <f>(($AK$2+Y262*Лист1!$B$7^2*Лист1!$G$8/100)/(AA262/10^6)+$AK$3/(AE262/10^6))/1000/($Q262*IF(Лист1!$J$19="да",1/1.05,1))</f>
        <v>3.1026459352852524E-2</v>
      </c>
      <c r="AO262" s="24"/>
      <c r="AP262" s="186"/>
      <c r="AQ262" s="174">
        <f>MAX((5/384*($AQ$2+$Y262/100)*$D$17^4/(2.06*10^8*$Z262/10^8))/($D$17/300)*INDEX(Лист1!$L$34:$L$38,MATCH(Лист1!$B$8,Лист1!$I$34:$I$38,0),1),(5/384*($AQ$3)*$D$17^4/(2.06*10^8*$AD262/10^8))/($D$17/200))</f>
        <v>2.7947524285636523E-2</v>
      </c>
      <c r="AR262" s="174"/>
      <c r="AS262" s="175"/>
      <c r="AT262" s="174">
        <f>MAX((5/384*($AT$2+$Y262/100)*$D$17^4/(2.06*10^8*$Z262/10^8))/($D$17/300)*INDEX(Лист1!$L$34:$L$38,MATCH(Лист1!$B$8,Лист1!$I$34:$I$38,0),1),(5/384*($AT$3)*$D$17^4/(2.06*10^8*$AD262/10^8))/($D$17/200))</f>
        <v>1.8307668463761056E-2</v>
      </c>
      <c r="AU262" s="174"/>
      <c r="AV262" s="174">
        <f>IF(OR(MAX(AH262,AQ262)&gt;1,AK262&gt;Лист1!$B$20,N262="-"),999999999,Y262*Лист1!$B$7+0.0001*O262)</f>
        <v>999999999</v>
      </c>
      <c r="AW262" s="174"/>
      <c r="AX262" s="174">
        <f>IF(OR(MAX(AH262,AT262)&gt;1,AN262&gt;Лист1!$B$20,N262="-"),999999999,Y262*Лист1!$B$7+0.0001*O262)</f>
        <v>999999999</v>
      </c>
    </row>
    <row r="263" spans="14:50" ht="16.5" thickBot="1" x14ac:dyDescent="0.3">
      <c r="N263" t="s">
        <v>344</v>
      </c>
      <c r="O263">
        <f t="shared" si="14"/>
        <v>260</v>
      </c>
      <c r="P263" s="179" t="s">
        <v>296</v>
      </c>
      <c r="Q263" s="179">
        <v>340</v>
      </c>
      <c r="R263" s="154" t="s">
        <v>277</v>
      </c>
      <c r="S263" s="148">
        <v>380</v>
      </c>
      <c r="T263" s="148">
        <v>380</v>
      </c>
      <c r="X263" s="148">
        <v>135</v>
      </c>
      <c r="Y263" s="149">
        <v>106</v>
      </c>
      <c r="Z263" s="149">
        <v>25594</v>
      </c>
      <c r="AA263" s="150">
        <v>1347</v>
      </c>
      <c r="AC263" s="151">
        <v>13.8</v>
      </c>
      <c r="AD263" s="152">
        <v>10948</v>
      </c>
      <c r="AE263" s="150">
        <v>995</v>
      </c>
      <c r="AF263" s="153">
        <v>9.02</v>
      </c>
      <c r="AG263" s="174"/>
      <c r="AH263" s="174">
        <f t="shared" si="15"/>
        <v>0.33259423503325941</v>
      </c>
      <c r="AI263" s="174"/>
      <c r="AJ263" s="186"/>
      <c r="AK263" s="174">
        <f>(($AK$2+Y263*Лист1!$B$7^2*Лист1!$G$8/100)/(AA263/10^6)+$AK$3/(AE263/10^6))/1000/($Q263*IF(Лист1!$J$19="да",1/1.05,1))</f>
        <v>2.8304712757536744E-2</v>
      </c>
      <c r="AL263" s="24"/>
      <c r="AM263" s="186"/>
      <c r="AN263" s="174">
        <f>(($AK$2+Y263*Лист1!$B$7^2*Лист1!$G$8/100)/(AA263/10^6)+$AK$3/(AE263/10^6))/1000/($Q263*IF(Лист1!$J$19="да",1/1.05,1))</f>
        <v>2.8304712757536744E-2</v>
      </c>
      <c r="AO263" s="24"/>
      <c r="AP263" s="186"/>
      <c r="AQ263" s="174">
        <f>MAX((5/384*($AQ$2+$Y263/100)*$D$17^4/(2.06*10^8*$Z263/10^8))/($D$17/300)*INDEX(Лист1!$L$34:$L$38,MATCH(Лист1!$B$8,Лист1!$I$34:$I$38,0),1),(5/384*($AQ$3)*$D$17^4/(2.06*10^8*$AD263/10^8))/($D$17/200))</f>
        <v>2.5125114654451022E-2</v>
      </c>
      <c r="AR263" s="174"/>
      <c r="AS263" s="175"/>
      <c r="AT263" s="174">
        <f>MAX((5/384*($AT$2+$Y263/100)*$D$17^4/(2.06*10^8*$Z263/10^8))/($D$17/300)*INDEX(Лист1!$L$34:$L$38,MATCH(Лист1!$B$8,Лист1!$I$34:$I$38,0),1),(5/384*($AT$3)*$D$17^4/(2.06*10^8*$AD263/10^8))/($D$17/200))</f>
        <v>1.8403746402941835E-2</v>
      </c>
      <c r="AU263" s="174"/>
      <c r="AV263" s="174">
        <f>IF(OR(MAX(AH263,AQ263)&gt;1,AK263&gt;Лист1!$B$20,N263="-"),999999999,Y263*Лист1!$B$7+0.0001*O263)</f>
        <v>999999999</v>
      </c>
      <c r="AW263" s="174"/>
      <c r="AX263" s="174">
        <f>IF(OR(MAX(AH263,AT263)&gt;1,AN263&gt;Лист1!$B$20,N263="-"),999999999,Y263*Лист1!$B$7+0.0001*O263)</f>
        <v>999999999</v>
      </c>
    </row>
    <row r="264" spans="14:50" ht="16.5" thickBot="1" x14ac:dyDescent="0.3">
      <c r="N264" t="s">
        <v>344</v>
      </c>
      <c r="O264">
        <f t="shared" si="14"/>
        <v>261</v>
      </c>
      <c r="P264" s="179" t="s">
        <v>296</v>
      </c>
      <c r="Q264" s="179">
        <v>340</v>
      </c>
      <c r="R264" s="154" t="s">
        <v>278</v>
      </c>
      <c r="S264" s="148">
        <v>380</v>
      </c>
      <c r="T264" s="148">
        <v>380</v>
      </c>
      <c r="X264" s="148">
        <v>155</v>
      </c>
      <c r="Y264" s="149">
        <v>122</v>
      </c>
      <c r="Z264" s="149">
        <v>29037</v>
      </c>
      <c r="AA264" s="150">
        <v>1528</v>
      </c>
      <c r="AC264" s="151">
        <v>13.7</v>
      </c>
      <c r="AD264" s="152">
        <v>12370</v>
      </c>
      <c r="AE264" s="150">
        <v>1125</v>
      </c>
      <c r="AF264" s="153">
        <v>8.93</v>
      </c>
      <c r="AG264" s="174"/>
      <c r="AH264" s="174">
        <f t="shared" si="15"/>
        <v>0.33594624860022398</v>
      </c>
      <c r="AI264" s="174"/>
      <c r="AJ264" s="186"/>
      <c r="AK264" s="174">
        <f>(($AK$2+Y264*Лист1!$B$7^2*Лист1!$G$8/100)/(AA264/10^6)+$AK$3/(AE264/10^6))/1000/($Q264*IF(Лист1!$J$19="да",1/1.05,1))</f>
        <v>2.6374933884953232E-2</v>
      </c>
      <c r="AL264" s="24"/>
      <c r="AM264" s="186"/>
      <c r="AN264" s="174">
        <f>(($AK$2+Y264*Лист1!$B$7^2*Лист1!$G$8/100)/(AA264/10^6)+$AK$3/(AE264/10^6))/1000/($Q264*IF(Лист1!$J$19="да",1/1.05,1))</f>
        <v>2.6374933884953232E-2</v>
      </c>
      <c r="AO264" s="24"/>
      <c r="AP264" s="186"/>
      <c r="AQ264" s="174">
        <f>MAX((5/384*($AQ$2+$Y264/100)*$D$17^4/(2.06*10^8*$Z264/10^8))/($D$17/300)*INDEX(Лист1!$L$34:$L$38,MATCH(Лист1!$B$8,Лист1!$I$34:$I$38,0),1),(5/384*($AQ$3)*$D$17^4/(2.06*10^8*$AD264/10^8))/($D$17/200))</f>
        <v>2.4402870993854176E-2</v>
      </c>
      <c r="AR264" s="174"/>
      <c r="AS264" s="175"/>
      <c r="AT264" s="174">
        <f>MAX((5/384*($AT$2+$Y264/100)*$D$17^4/(2.06*10^8*$Z264/10^8))/($D$17/300)*INDEX(Лист1!$L$34:$L$38,MATCH(Лист1!$B$8,Лист1!$I$34:$I$38,0),1),(5/384*($AT$3)*$D$17^4/(2.06*10^8*$AD264/10^8))/($D$17/200))</f>
        <v>1.8478474567600562E-2</v>
      </c>
      <c r="AU264" s="174"/>
      <c r="AV264" s="174">
        <f>IF(OR(MAX(AH264,AQ264)&gt;1,AK264&gt;Лист1!$B$20,N264="-"),999999999,Y264*Лист1!$B$7+0.0001*O264)</f>
        <v>999999999</v>
      </c>
      <c r="AW264" s="174"/>
      <c r="AX264" s="174">
        <f>IF(OR(MAX(AH264,AT264)&gt;1,AN264&gt;Лист1!$B$20,N264="-"),999999999,Y264*Лист1!$B$7+0.0001*O264)</f>
        <v>999999999</v>
      </c>
    </row>
    <row r="265" spans="14:50" ht="16.5" thickBot="1" x14ac:dyDescent="0.3">
      <c r="O265">
        <f t="shared" si="14"/>
        <v>262</v>
      </c>
      <c r="P265" s="179" t="s">
        <v>296</v>
      </c>
      <c r="Q265" s="179">
        <v>340</v>
      </c>
      <c r="R265" s="154" t="s">
        <v>279</v>
      </c>
      <c r="S265" s="148">
        <v>400</v>
      </c>
      <c r="T265" s="148">
        <v>400</v>
      </c>
      <c r="X265" s="148">
        <v>113</v>
      </c>
      <c r="Y265" s="149">
        <v>89</v>
      </c>
      <c r="Z265" s="149">
        <v>23345</v>
      </c>
      <c r="AA265" s="150">
        <v>1167</v>
      </c>
      <c r="AC265" s="151">
        <v>14.3</v>
      </c>
      <c r="AD265" s="152">
        <v>7949</v>
      </c>
      <c r="AE265" s="150">
        <v>795</v>
      </c>
      <c r="AF265" s="153">
        <v>8.3699999999999992</v>
      </c>
      <c r="AG265" s="174"/>
      <c r="AH265" s="174">
        <f t="shared" si="15"/>
        <v>0.35842293906810041</v>
      </c>
      <c r="AI265" s="174"/>
      <c r="AJ265" s="186"/>
      <c r="AK265" s="174">
        <f>(($AK$2+Y265*Лист1!$B$7^2*Лист1!$G$8/100)/(AA265/10^6)+$AK$3/(AE265/10^6))/1000/($Q265*IF(Лист1!$J$19="да",1/1.05,1))</f>
        <v>3.1990170848893232E-2</v>
      </c>
      <c r="AL265" s="24"/>
      <c r="AM265" s="186"/>
      <c r="AN265" s="174">
        <f>(($AK$2+Y265*Лист1!$B$7^2*Лист1!$G$8/100)/(AA265/10^6)+$AK$3/(AE265/10^6))/1000/($Q265*IF(Лист1!$J$19="да",1/1.05,1))</f>
        <v>3.1990170848893232E-2</v>
      </c>
      <c r="AO265" s="24"/>
      <c r="AP265" s="186"/>
      <c r="AQ265" s="174">
        <f>MAX((5/384*($AQ$2+$Y265/100)*$D$17^4/(2.06*10^8*$Z265/10^8))/($D$17/300)*INDEX(Лист1!$L$34:$L$38,MATCH(Лист1!$B$8,Лист1!$I$34:$I$38,0),1),(5/384*($AQ$3)*$D$17^4/(2.06*10^8*$AD265/10^8))/($D$17/200))</f>
        <v>3.3105282258592716E-2</v>
      </c>
      <c r="AR265" s="174"/>
      <c r="AS265" s="175"/>
      <c r="AT265" s="174">
        <f>MAX((5/384*($AT$2+$Y265/100)*$D$17^4/(2.06*10^8*$Z265/10^8))/($D$17/300)*INDEX(Лист1!$L$34:$L$38,MATCH(Лист1!$B$8,Лист1!$I$34:$I$38,0),1),(5/384*($AT$3)*$D$17^4/(2.06*10^8*$AD265/10^8))/($D$17/200))</f>
        <v>1.9705525153924233E-2</v>
      </c>
      <c r="AU265" s="174"/>
      <c r="AV265" s="174">
        <f>IF(OR(MAX(AH265,AQ265)&gt;1,AK265&gt;Лист1!$B$20,N265="-"),999999999,Y265*Лист1!$B$7+0.0001*O265)</f>
        <v>534.02620000000002</v>
      </c>
      <c r="AW265" s="174"/>
      <c r="AX265" s="174">
        <f>IF(OR(MAX(AH265,AT265)&gt;1,AN265&gt;Лист1!$B$20,N265="-"),999999999,Y265*Лист1!$B$7+0.0001*O265)</f>
        <v>534.02620000000002</v>
      </c>
    </row>
    <row r="266" spans="14:50" ht="16.5" thickBot="1" x14ac:dyDescent="0.3">
      <c r="N266" t="s">
        <v>344</v>
      </c>
      <c r="O266">
        <f t="shared" si="14"/>
        <v>263</v>
      </c>
      <c r="P266" s="179" t="s">
        <v>296</v>
      </c>
      <c r="Q266" s="179">
        <v>340</v>
      </c>
      <c r="R266" s="154" t="s">
        <v>280</v>
      </c>
      <c r="S266" s="148">
        <v>400</v>
      </c>
      <c r="T266" s="148">
        <v>400</v>
      </c>
      <c r="X266" s="148">
        <v>135</v>
      </c>
      <c r="Y266" s="149">
        <v>106</v>
      </c>
      <c r="Z266" s="149">
        <v>27248</v>
      </c>
      <c r="AA266" s="150">
        <v>1362</v>
      </c>
      <c r="AC266" s="151">
        <v>14.2</v>
      </c>
      <c r="AD266" s="152">
        <v>9227</v>
      </c>
      <c r="AE266" s="150">
        <v>923</v>
      </c>
      <c r="AF266" s="153">
        <v>8.2799999999999994</v>
      </c>
      <c r="AG266" s="174"/>
      <c r="AH266" s="174">
        <f t="shared" si="15"/>
        <v>0.36231884057971014</v>
      </c>
      <c r="AI266" s="174"/>
      <c r="AJ266" s="186"/>
      <c r="AK266" s="174">
        <f>(($AK$2+Y266*Лист1!$B$7^2*Лист1!$G$8/100)/(AA266/10^6)+$AK$3/(AE266/10^6))/1000/($Q266*IF(Лист1!$J$19="да",1/1.05,1))</f>
        <v>2.9134159110994862E-2</v>
      </c>
      <c r="AL266" s="24"/>
      <c r="AM266" s="186"/>
      <c r="AN266" s="174">
        <f>(($AK$2+Y266*Лист1!$B$7^2*Лист1!$G$8/100)/(AA266/10^6)+$AK$3/(AE266/10^6))/1000/($Q266*IF(Лист1!$J$19="да",1/1.05,1))</f>
        <v>2.9134159110994862E-2</v>
      </c>
      <c r="AO266" s="24"/>
      <c r="AP266" s="186"/>
      <c r="AQ266" s="174">
        <f>MAX((5/384*($AQ$2+$Y266/100)*$D$17^4/(2.06*10^8*$Z266/10^8))/($D$17/300)*INDEX(Лист1!$L$34:$L$38,MATCH(Лист1!$B$8,Лист1!$I$34:$I$38,0),1),(5/384*($AQ$3)*$D$17^4/(2.06*10^8*$AD266/10^8))/($D$17/200))</f>
        <v>2.8519983599604799E-2</v>
      </c>
      <c r="AR266" s="174"/>
      <c r="AS266" s="175"/>
      <c r="AT266" s="174">
        <f>MAX((5/384*($AT$2+$Y266/100)*$D$17^4/(2.06*10^8*$Z266/10^8))/($D$17/300)*INDEX(Лист1!$L$34:$L$38,MATCH(Лист1!$B$8,Лист1!$I$34:$I$38,0),1),(5/384*($AT$3)*$D$17^4/(2.06*10^8*$AD266/10^8))/($D$17/200))</f>
        <v>1.7286607656961734E-2</v>
      </c>
      <c r="AU266" s="174"/>
      <c r="AV266" s="174">
        <f>IF(OR(MAX(AH266,AQ266)&gt;1,AK266&gt;Лист1!$B$20,N266="-"),999999999,Y266*Лист1!$B$7+0.0001*O266)</f>
        <v>999999999</v>
      </c>
      <c r="AW266" s="174"/>
      <c r="AX266" s="174">
        <f>IF(OR(MAX(AH266,AT266)&gt;1,AN266&gt;Лист1!$B$20,N266="-"),999999999,Y266*Лист1!$B$7+0.0001*O266)</f>
        <v>999999999</v>
      </c>
    </row>
    <row r="267" spans="14:50" ht="15.75" x14ac:dyDescent="0.25">
      <c r="O267">
        <f t="shared" si="14"/>
        <v>264</v>
      </c>
      <c r="P267" s="179" t="s">
        <v>296</v>
      </c>
      <c r="Q267" s="179">
        <v>340</v>
      </c>
      <c r="R267" s="154" t="s">
        <v>281</v>
      </c>
      <c r="S267" s="228">
        <v>400</v>
      </c>
      <c r="T267" s="228">
        <v>400</v>
      </c>
      <c r="X267" s="142">
        <v>155</v>
      </c>
      <c r="Y267" s="143">
        <v>122</v>
      </c>
      <c r="Z267" s="144">
        <v>30907</v>
      </c>
      <c r="AA267" s="145">
        <v>1545</v>
      </c>
      <c r="AC267" s="146">
        <v>14.1</v>
      </c>
      <c r="AD267" s="147">
        <v>10409</v>
      </c>
      <c r="AE267" s="145">
        <v>1041</v>
      </c>
      <c r="AF267" s="143">
        <v>8.19</v>
      </c>
      <c r="AG267" s="174"/>
      <c r="AH267" s="174">
        <f t="shared" si="15"/>
        <v>0.36630036630036633</v>
      </c>
      <c r="AI267" s="174"/>
      <c r="AJ267" s="186"/>
      <c r="AK267" s="174">
        <f>(($AK$2+Y267*Лист1!$B$7^2*Лист1!$G$8/100)/(AA267/10^6)+$AK$3/(AE267/10^6))/1000/($Q267*IF(Лист1!$J$19="да",1/1.05,1))</f>
        <v>2.7124358656314313E-2</v>
      </c>
      <c r="AL267" s="24"/>
      <c r="AM267" s="186"/>
      <c r="AN267" s="174">
        <f>(($AK$2+Y267*Лист1!$B$7^2*Лист1!$G$8/100)/(AA267/10^6)+$AK$3/(AE267/10^6))/1000/($Q267*IF(Лист1!$J$19="да",1/1.05,1))</f>
        <v>2.7124358656314313E-2</v>
      </c>
      <c r="AO267" s="24"/>
      <c r="AP267" s="186"/>
      <c r="AQ267" s="174">
        <f>MAX((5/384*($AQ$2+$Y267/100)*$D$17^4/(2.06*10^8*$Z267/10^8))/($D$17/300)*INDEX(Лист1!$L$34:$L$38,MATCH(Лист1!$B$8,Лист1!$I$34:$I$38,0),1),(5/384*($AQ$3)*$D$17^4/(2.06*10^8*$AD267/10^8))/($D$17/200))</f>
        <v>2.5281380408641894E-2</v>
      </c>
      <c r="AR267" s="174"/>
      <c r="AS267" s="175"/>
      <c r="AT267" s="174">
        <f>MAX((5/384*($AT$2+$Y267/100)*$D$17^4/(2.06*10^8*$Z267/10^8))/($D$17/300)*INDEX(Лист1!$L$34:$L$38,MATCH(Лист1!$B$8,Лист1!$I$34:$I$38,0),1),(5/384*($AT$3)*$D$17^4/(2.06*10^8*$AD267/10^8))/($D$17/200))</f>
        <v>1.7360451225269923E-2</v>
      </c>
      <c r="AU267" s="174"/>
      <c r="AV267" s="174">
        <f>IF(OR(MAX(AH267,AQ267)&gt;1,AK267&gt;Лист1!$B$20,N267="-"),999999999,Y267*Лист1!$B$7+0.0001*O267)</f>
        <v>732.02639999999997</v>
      </c>
      <c r="AW267" s="174"/>
      <c r="AX267" s="174">
        <f>IF(OR(MAX(AH267,AT267)&gt;1,AN267&gt;Лист1!$B$20,N267="-"),999999999,Y267*Лист1!$B$7+0.0001*O267)</f>
        <v>732.02639999999997</v>
      </c>
    </row>
    <row r="268" spans="14:50" ht="15.75" x14ac:dyDescent="0.25">
      <c r="O268">
        <f t="shared" si="14"/>
        <v>265</v>
      </c>
      <c r="P268" s="229" t="s">
        <v>297</v>
      </c>
      <c r="Q268" s="229">
        <v>240</v>
      </c>
      <c r="R268" s="230" t="s">
        <v>345</v>
      </c>
      <c r="S268" s="228">
        <v>60</v>
      </c>
      <c r="T268" s="228">
        <v>60</v>
      </c>
      <c r="U268" s="231"/>
      <c r="V268" s="231"/>
      <c r="W268" s="231"/>
      <c r="X268" s="228">
        <v>3.8</v>
      </c>
      <c r="Y268" s="232">
        <v>3</v>
      </c>
      <c r="Z268" s="236">
        <v>10</v>
      </c>
      <c r="AA268" s="234">
        <v>5</v>
      </c>
      <c r="AC268" s="235">
        <v>2.23</v>
      </c>
      <c r="AD268" s="233">
        <v>18.8</v>
      </c>
      <c r="AE268" s="234">
        <v>6.2</v>
      </c>
      <c r="AF268" s="232">
        <v>1.63</v>
      </c>
      <c r="AH268" s="174">
        <f t="shared" si="15"/>
        <v>1.8404907975460125</v>
      </c>
      <c r="AI268" s="174"/>
      <c r="AJ268" s="186"/>
      <c r="AK268" s="174">
        <f>(($AK$2+Y268*Лист1!$B$7^2*Лист1!$G$8/100)/(AA268/10^6)+$AK$3/(AE268/10^6))/1000/($Q268*IF(Лист1!$J$19="да",1/1.05,1))</f>
        <v>4.9620000573522578</v>
      </c>
      <c r="AL268" s="24"/>
      <c r="AM268" s="186"/>
      <c r="AN268" s="174">
        <f>(($AK$2+Y268*Лист1!$B$7^2*Лист1!$G$8/100)/(AA268/10^6)+$AK$3/(AE268/10^6))/1000/($Q268*IF(Лист1!$J$19="да",1/1.05,1))</f>
        <v>4.9620000573522578</v>
      </c>
      <c r="AO268" s="24"/>
      <c r="AP268" s="186"/>
      <c r="AQ268" s="174">
        <f>MAX((5/384*($AQ$2+$Y268/100)*$D$17^4/(2.06*10^8*$Z268/10^8))/($D$17/300)*INDEX(Лист1!$L$34:$L$38,MATCH(Лист1!$B$8,Лист1!$I$34:$I$38,0),1),(5/384*($AQ$3)*$D$17^4/(2.06*10^8*$AD268/10^8))/($D$17/200))</f>
        <v>22.117718446601941</v>
      </c>
      <c r="AR268" s="174"/>
      <c r="AS268" s="175"/>
      <c r="AT268" s="174">
        <f>MAX((5/384*($AT$2+$Y268/100)*$D$17^4/(2.06*10^8*$Z268/10^8))/($D$17/300)*INDEX(Лист1!$L$34:$L$38,MATCH(Лист1!$B$8,Лист1!$I$34:$I$38,0),1),(5/384*($AT$3)*$D$17^4/(2.06*10^8*$AD268/10^8))/($D$17/200))</f>
        <v>8.3318733749225391</v>
      </c>
      <c r="AU268" s="174"/>
      <c r="AV268" s="174">
        <f>IF(OR(MAX(AH268,AQ268)&gt;1,AK268&gt;Лист1!$B$20,N268="-"),999999999,Y268*Лист1!$B$7+0.0001*O268)</f>
        <v>999999999</v>
      </c>
      <c r="AX268" s="174">
        <f>IF(OR(MAX(AH268,AT268)&gt;1,AN268&gt;Лист1!$B$20,N268="-"),999999999,Y268*Лист1!$B$7+0.0001*O268)</f>
        <v>999999999</v>
      </c>
    </row>
    <row r="269" spans="14:50" ht="15.75" x14ac:dyDescent="0.25">
      <c r="N269" t="s">
        <v>344</v>
      </c>
      <c r="O269">
        <f t="shared" si="14"/>
        <v>266</v>
      </c>
      <c r="P269" s="227" t="s">
        <v>297</v>
      </c>
      <c r="Q269" s="227">
        <v>240</v>
      </c>
      <c r="R269" s="141" t="s">
        <v>346</v>
      </c>
      <c r="S269" s="142">
        <v>60</v>
      </c>
      <c r="T269" s="142">
        <v>60</v>
      </c>
      <c r="U269" s="24"/>
      <c r="V269" s="24"/>
      <c r="W269" s="24"/>
      <c r="X269" s="148">
        <v>4.7</v>
      </c>
      <c r="Y269" s="149">
        <v>3.6</v>
      </c>
      <c r="Z269" s="152">
        <v>11.8</v>
      </c>
      <c r="AA269" s="150">
        <v>5.9</v>
      </c>
      <c r="AC269" s="151">
        <v>2.2000000000000002</v>
      </c>
      <c r="AD269" s="149">
        <v>22.4</v>
      </c>
      <c r="AE269" s="150">
        <v>7.4</v>
      </c>
      <c r="AF269" s="153">
        <v>1.6</v>
      </c>
      <c r="AH269" s="174">
        <f t="shared" si="15"/>
        <v>1.875</v>
      </c>
      <c r="AI269" s="174"/>
      <c r="AJ269" s="186"/>
      <c r="AK269" s="174">
        <f>(($AK$2+Y269*Лист1!$B$7^2*Лист1!$G$8/100)/(AA269/10^6)+$AK$3/(AE269/10^6))/1000/($Q269*IF(Лист1!$J$19="да",1/1.05,1))</f>
        <v>4.1961157145658632</v>
      </c>
      <c r="AL269" s="24"/>
      <c r="AM269" s="186"/>
      <c r="AN269" s="174">
        <f>(($AK$2+Y269*Лист1!$B$7^2*Лист1!$G$8/100)/(AA269/10^6)+$AK$3/(AE269/10^6))/1000/($Q269*IF(Лист1!$J$19="да",1/1.05,1))</f>
        <v>4.1961157145658632</v>
      </c>
      <c r="AO269" s="24"/>
      <c r="AP269" s="186"/>
      <c r="AQ269" s="174">
        <f>MAX((5/384*($AQ$2+$Y269/100)*$D$17^4/(2.06*10^8*$Z269/10^8))/($D$17/300)*INDEX(Лист1!$L$34:$L$38,MATCH(Лист1!$B$8,Лист1!$I$34:$I$38,0),1),(5/384*($AQ$3)*$D$17^4/(2.06*10^8*$AD269/10^8))/($D$17/200))</f>
        <v>18.952093960835942</v>
      </c>
      <c r="AR269" s="174"/>
      <c r="AS269" s="175"/>
      <c r="AT269" s="174">
        <f>MAX((5/384*($AT$2+$Y269/100)*$D$17^4/(2.06*10^8*$Z269/10^8))/($D$17/300)*INDEX(Лист1!$L$34:$L$38,MATCH(Лист1!$B$8,Лист1!$I$34:$I$38,0),1),(5/384*($AT$3)*$D$17^4/(2.06*10^8*$AD269/10^8))/($D$17/200))</f>
        <v>6.9928222968099885</v>
      </c>
      <c r="AU269" s="174"/>
      <c r="AV269" s="174">
        <f>IF(OR(MAX(AH269,AQ269)&gt;1,AK269&gt;Лист1!$B$20,N269="-"),999999999,Y269*Лист1!$B$7+0.0001*O269)</f>
        <v>999999999</v>
      </c>
      <c r="AX269" s="174">
        <f>IF(OR(MAX(AH269,AT269)&gt;1,AN269&gt;Лист1!$B$20,N269="-"),999999999,Y269*Лист1!$B$7+0.0001*O269)</f>
        <v>999999999</v>
      </c>
    </row>
    <row r="270" spans="14:50" ht="15.75" x14ac:dyDescent="0.25">
      <c r="O270">
        <f t="shared" si="14"/>
        <v>267</v>
      </c>
      <c r="P270" s="227" t="s">
        <v>297</v>
      </c>
      <c r="Q270" s="227">
        <v>240</v>
      </c>
      <c r="R270" s="141" t="s">
        <v>347</v>
      </c>
      <c r="S270" s="142">
        <v>60</v>
      </c>
      <c r="T270" s="142">
        <v>60</v>
      </c>
      <c r="U270" s="24"/>
      <c r="V270" s="24"/>
      <c r="W270" s="24"/>
      <c r="X270" s="148">
        <v>5.5</v>
      </c>
      <c r="Y270" s="149">
        <v>4.3</v>
      </c>
      <c r="Z270" s="152">
        <v>13.7</v>
      </c>
      <c r="AA270" s="150">
        <v>6.8</v>
      </c>
      <c r="AC270" s="151">
        <v>2.1800000000000002</v>
      </c>
      <c r="AD270" s="149">
        <v>26</v>
      </c>
      <c r="AE270" s="150">
        <v>8.6</v>
      </c>
      <c r="AF270" s="153">
        <v>1.58</v>
      </c>
      <c r="AH270" s="174">
        <f t="shared" si="15"/>
        <v>1.89873417721519</v>
      </c>
      <c r="AI270" s="174"/>
      <c r="AJ270" s="186"/>
      <c r="AK270" s="174">
        <f>(($AK$2+Y270*Лист1!$B$7^2*Лист1!$G$8/100)/(AA270/10^6)+$AK$3/(AE270/10^6))/1000/($Q270*IF(Лист1!$J$19="да",1/1.05,1))</f>
        <v>3.6425114982553217</v>
      </c>
      <c r="AL270" s="24"/>
      <c r="AM270" s="186"/>
      <c r="AN270" s="174">
        <f>(($AK$2+Y270*Лист1!$B$7^2*Лист1!$G$8/100)/(AA270/10^6)+$AK$3/(AE270/10^6))/1000/($Q270*IF(Лист1!$J$19="да",1/1.05,1))</f>
        <v>3.6425114982553217</v>
      </c>
      <c r="AO270" s="24"/>
      <c r="AP270" s="186"/>
      <c r="AQ270" s="174">
        <f>MAX((5/384*($AQ$2+$Y270/100)*$D$17^4/(2.06*10^8*$Z270/10^8))/($D$17/300)*INDEX(Лист1!$L$34:$L$38,MATCH(Лист1!$B$8,Лист1!$I$34:$I$38,0),1),(5/384*($AQ$3)*$D$17^4/(2.06*10^8*$AD270/10^8))/($D$17/200))</f>
        <v>16.532979590390475</v>
      </c>
      <c r="AR270" s="174"/>
      <c r="AS270" s="175"/>
      <c r="AT270" s="174">
        <f>MAX((5/384*($AT$2+$Y270/100)*$D$17^4/(2.06*10^8*$Z270/10^8))/($D$17/300)*INDEX(Лист1!$L$34:$L$38,MATCH(Лист1!$B$8,Лист1!$I$34:$I$38,0),1),(5/384*($AT$3)*$D$17^4/(2.06*10^8*$AD270/10^8))/($D$17/200))</f>
        <v>6.024585363405528</v>
      </c>
      <c r="AU270" s="174"/>
      <c r="AV270" s="174">
        <f>IF(OR(MAX(AH270,AQ270)&gt;1,AK270&gt;Лист1!$B$20,N270="-"),999999999,Y270*Лист1!$B$7+0.0001*O270)</f>
        <v>999999999</v>
      </c>
      <c r="AX270" s="174">
        <f>IF(OR(MAX(AH270,AT270)&gt;1,AN270&gt;Лист1!$B$20,N270="-"),999999999,Y270*Лист1!$B$7+0.0001*O270)</f>
        <v>999999999</v>
      </c>
    </row>
    <row r="271" spans="14:50" ht="15.75" x14ac:dyDescent="0.25">
      <c r="O271">
        <f t="shared" si="14"/>
        <v>268</v>
      </c>
      <c r="P271" s="227" t="s">
        <v>297</v>
      </c>
      <c r="Q271" s="227">
        <v>240</v>
      </c>
      <c r="R271" s="141" t="s">
        <v>348</v>
      </c>
      <c r="S271" s="142">
        <v>60</v>
      </c>
      <c r="T271" s="142">
        <v>60</v>
      </c>
      <c r="U271" s="24"/>
      <c r="V271" s="24"/>
      <c r="W271" s="24"/>
      <c r="X271" s="148">
        <v>7.1</v>
      </c>
      <c r="Y271" s="149">
        <v>5.5</v>
      </c>
      <c r="Z271" s="152">
        <v>16.7</v>
      </c>
      <c r="AA271" s="150">
        <v>8.3000000000000007</v>
      </c>
      <c r="AC271" s="151">
        <v>2.13</v>
      </c>
      <c r="AD271" s="149">
        <v>32.200000000000003</v>
      </c>
      <c r="AE271" s="150">
        <v>10.7</v>
      </c>
      <c r="AF271" s="153">
        <v>1.54</v>
      </c>
      <c r="AH271" s="174">
        <f t="shared" si="15"/>
        <v>1.9480519480519478</v>
      </c>
      <c r="AI271" s="174"/>
      <c r="AJ271" s="186"/>
      <c r="AK271" s="174">
        <f>(($AK$2+Y271*Лист1!$B$7^2*Лист1!$G$8/100)/(AA271/10^6)+$AK$3/(AE271/10^6))/1000/($Q271*IF(Лист1!$J$19="да",1/1.05,1))</f>
        <v>2.9786853727209461</v>
      </c>
      <c r="AL271" s="24"/>
      <c r="AM271" s="186"/>
      <c r="AN271" s="174">
        <f>(($AK$2+Y271*Лист1!$B$7^2*Лист1!$G$8/100)/(AA271/10^6)+$AK$3/(AE271/10^6))/1000/($Q271*IF(Лист1!$J$19="да",1/1.05,1))</f>
        <v>2.9786853727209461</v>
      </c>
      <c r="AO271" s="24"/>
      <c r="AP271" s="186"/>
      <c r="AQ271" s="174">
        <f>MAX((5/384*($AQ$2+$Y271/100)*$D$17^4/(2.06*10^8*$Z271/10^8))/($D$17/300)*INDEX(Лист1!$L$34:$L$38,MATCH(Лист1!$B$8,Лист1!$I$34:$I$38,0),1),(5/384*($AQ$3)*$D$17^4/(2.06*10^8*$AD271/10^8))/($D$17/200))</f>
        <v>13.85729754084065</v>
      </c>
      <c r="AR271" s="174"/>
      <c r="AS271" s="175"/>
      <c r="AT271" s="174">
        <f>MAX((5/384*($AT$2+$Y271/100)*$D$17^4/(2.06*10^8*$Z271/10^8))/($D$17/300)*INDEX(Лист1!$L$34:$L$38,MATCH(Лист1!$B$8,Лист1!$I$34:$I$38,0),1),(5/384*($AT$3)*$D$17^4/(2.06*10^8*$AD271/10^8))/($D$17/200))</f>
        <v>4.86457203256347</v>
      </c>
      <c r="AU271" s="174"/>
      <c r="AV271" s="174">
        <f>IF(OR(MAX(AH271,AQ271)&gt;1,AK271&gt;Лист1!$B$20,N271="-"),999999999,Y271*Лист1!$B$7+0.0001*O271)</f>
        <v>999999999</v>
      </c>
      <c r="AX271" s="174">
        <f>IF(OR(MAX(AH271,AT271)&gt;1,AN271&gt;Лист1!$B$20,N271="-"),999999999,Y271*Лист1!$B$7+0.0001*O271)</f>
        <v>999999999</v>
      </c>
    </row>
    <row r="272" spans="14:50" ht="16.5" thickBot="1" x14ac:dyDescent="0.3">
      <c r="O272">
        <f t="shared" si="14"/>
        <v>269</v>
      </c>
      <c r="P272" s="227" t="s">
        <v>297</v>
      </c>
      <c r="Q272" s="227">
        <v>240</v>
      </c>
      <c r="R272" s="141" t="s">
        <v>349</v>
      </c>
      <c r="S272" s="142">
        <v>60</v>
      </c>
      <c r="T272" s="142">
        <v>60</v>
      </c>
      <c r="U272" s="24"/>
      <c r="V272" s="24"/>
      <c r="W272" s="24"/>
      <c r="X272" s="148">
        <v>8.6</v>
      </c>
      <c r="Y272" s="149">
        <v>6.7</v>
      </c>
      <c r="Z272" s="152">
        <v>19.100000000000001</v>
      </c>
      <c r="AA272" s="150">
        <v>9.5</v>
      </c>
      <c r="AC272" s="151">
        <v>2.08</v>
      </c>
      <c r="AD272" s="149">
        <v>37.1</v>
      </c>
      <c r="AE272" s="150">
        <v>12.3</v>
      </c>
      <c r="AF272" s="153">
        <v>1.49</v>
      </c>
      <c r="AH272" s="174">
        <f t="shared" si="15"/>
        <v>2.0134228187919465</v>
      </c>
      <c r="AI272" s="174"/>
      <c r="AJ272" s="186"/>
      <c r="AK272" s="174">
        <f>(($AK$2+Y272*Лист1!$B$7^2*Лист1!$G$8/100)/(AA272/10^6)+$AK$3/(AE272/10^6))/1000/($Q272*IF(Лист1!$J$19="да",1/1.05,1))</f>
        <v>2.6197554846217201</v>
      </c>
      <c r="AL272" s="24"/>
      <c r="AM272" s="186"/>
      <c r="AN272" s="174">
        <f>(($AK$2+Y272*Лист1!$B$7^2*Лист1!$G$8/100)/(AA272/10^6)+$AK$3/(AE272/10^6))/1000/($Q272*IF(Лист1!$J$19="да",1/1.05,1))</f>
        <v>2.6197554846217201</v>
      </c>
      <c r="AO272" s="24"/>
      <c r="AP272" s="186"/>
      <c r="AQ272" s="174">
        <f>MAX((5/384*($AQ$2+$Y272/100)*$D$17^4/(2.06*10^8*$Z272/10^8))/($D$17/300)*INDEX(Лист1!$L$34:$L$38,MATCH(Лист1!$B$8,Лист1!$I$34:$I$38,0),1),(5/384*($AQ$3)*$D$17^4/(2.06*10^8*$AD272/10^8))/($D$17/200))</f>
        <v>12.37339882071875</v>
      </c>
      <c r="AR272" s="174"/>
      <c r="AS272" s="175"/>
      <c r="AT272" s="174">
        <f>MAX((5/384*($AT$2+$Y272/100)*$D$17^4/(2.06*10^8*$Z272/10^8))/($D$17/300)*INDEX(Лист1!$L$34:$L$38,MATCH(Лист1!$B$8,Лист1!$I$34:$I$38,0),1),(5/384*($AT$3)*$D$17^4/(2.06*10^8*$AD272/10^8))/($D$17/200))</f>
        <v>4.2220813867532003</v>
      </c>
      <c r="AU272" s="174"/>
      <c r="AV272" s="174">
        <f>IF(OR(MAX(AH272,AQ272)&gt;1,AK272&gt;Лист1!$B$20,N272="-"),999999999,Y272*Лист1!$B$7+0.0001*O272)</f>
        <v>999999999</v>
      </c>
      <c r="AX272" s="174">
        <f>IF(OR(MAX(AH272,AT272)&gt;1,AN272&gt;Лист1!$B$20,N272="-"),999999999,Y272*Лист1!$B$7+0.0001*O272)</f>
        <v>999999999</v>
      </c>
    </row>
    <row r="273" spans="14:50" ht="16.5" thickBot="1" x14ac:dyDescent="0.3">
      <c r="O273">
        <f t="shared" si="14"/>
        <v>270</v>
      </c>
      <c r="P273" s="227" t="s">
        <v>297</v>
      </c>
      <c r="Q273" s="227">
        <v>240</v>
      </c>
      <c r="R273" s="154" t="s">
        <v>350</v>
      </c>
      <c r="S273" s="148">
        <v>100</v>
      </c>
      <c r="T273" s="148">
        <v>100</v>
      </c>
      <c r="U273" s="24"/>
      <c r="V273" s="24"/>
      <c r="W273" s="24"/>
      <c r="X273" s="148">
        <v>9.1999999999999993</v>
      </c>
      <c r="Y273" s="149">
        <v>7.2</v>
      </c>
      <c r="Z273" s="152">
        <v>55.6</v>
      </c>
      <c r="AA273" s="150">
        <v>18.5</v>
      </c>
      <c r="AC273" s="151">
        <v>3.66</v>
      </c>
      <c r="AD273" s="149">
        <v>123.2</v>
      </c>
      <c r="AE273" s="150">
        <v>24.6</v>
      </c>
      <c r="AF273" s="153">
        <v>2.46</v>
      </c>
      <c r="AH273" s="174">
        <f t="shared" si="15"/>
        <v>1.2195121951219512</v>
      </c>
      <c r="AI273" s="174"/>
      <c r="AJ273" s="186"/>
      <c r="AK273" s="174">
        <f>(($AK$2+Y273*Лист1!$B$7^2*Лист1!$G$8/100)/(AA273/10^6)+$AK$3/(AE273/10^6))/1000/($Q273*IF(Лист1!$J$19="да",1/1.05,1))</f>
        <v>1.3304947408883854</v>
      </c>
      <c r="AL273" s="24"/>
      <c r="AM273" s="186"/>
      <c r="AN273" s="174">
        <f>(($AK$2+Y273*Лист1!$B$7^2*Лист1!$G$8/100)/(AA273/10^6)+$AK$3/(AE273/10^6))/1000/($Q273*IF(Лист1!$J$19="да",1/1.05,1))</f>
        <v>1.3304947408883854</v>
      </c>
      <c r="AO273" s="24"/>
      <c r="AP273" s="186"/>
      <c r="AQ273" s="174">
        <f>MAX((5/384*($AQ$2+$Y273/100)*$D$17^4/(2.06*10^8*$Z273/10^8))/($D$17/300)*INDEX(Лист1!$L$34:$L$38,MATCH(Лист1!$B$8,Лист1!$I$34:$I$38,0),1),(5/384*($AQ$3)*$D$17^4/(2.06*10^8*$AD273/10^8))/($D$17/200))</f>
        <v>4.287407452678635</v>
      </c>
      <c r="AR273" s="174"/>
      <c r="AS273" s="175"/>
      <c r="AT273" s="174">
        <f>MAX((5/384*($AT$2+$Y273/100)*$D$17^4/(2.06*10^8*$Z273/10^8))/($D$17/300)*INDEX(Лист1!$L$34:$L$38,MATCH(Лист1!$B$8,Лист1!$I$34:$I$38,0),1),(5/384*($AT$3)*$D$17^4/(2.06*10^8*$AD273/10^8))/($D$17/200))</f>
        <v>1.2714222357836342</v>
      </c>
      <c r="AU273" s="174"/>
      <c r="AV273" s="174">
        <f>IF(OR(MAX(AH273,AQ273)&gt;1,AK273&gt;Лист1!$B$20,N273="-"),999999999,Y273*Лист1!$B$7+0.0001*O273)</f>
        <v>999999999</v>
      </c>
      <c r="AX273" s="174">
        <f>IF(OR(MAX(AH273,AT273)&gt;1,AN273&gt;Лист1!$B$20,N273="-"),999999999,Y273*Лист1!$B$7+0.0001*O273)</f>
        <v>999999999</v>
      </c>
    </row>
    <row r="274" spans="14:50" ht="16.5" thickBot="1" x14ac:dyDescent="0.3">
      <c r="O274">
        <f t="shared" si="14"/>
        <v>271</v>
      </c>
      <c r="P274" s="227" t="s">
        <v>297</v>
      </c>
      <c r="Q274" s="227">
        <v>240</v>
      </c>
      <c r="R274" s="154" t="s">
        <v>351</v>
      </c>
      <c r="S274" s="148">
        <v>100</v>
      </c>
      <c r="T274" s="148">
        <v>100</v>
      </c>
      <c r="U274" s="24"/>
      <c r="V274" s="24"/>
      <c r="W274" s="24"/>
      <c r="X274" s="148">
        <v>12.2</v>
      </c>
      <c r="Y274" s="149">
        <v>9.6</v>
      </c>
      <c r="Z274" s="152">
        <v>70.8</v>
      </c>
      <c r="AA274" s="150">
        <v>23.6</v>
      </c>
      <c r="AC274" s="151">
        <v>3.59</v>
      </c>
      <c r="AD274" s="149">
        <v>157.6</v>
      </c>
      <c r="AE274" s="150">
        <v>31.5</v>
      </c>
      <c r="AF274" s="153">
        <v>2.41</v>
      </c>
      <c r="AH274" s="174">
        <f t="shared" si="15"/>
        <v>1.2448132780082988</v>
      </c>
      <c r="AI274" s="174"/>
      <c r="AJ274" s="186"/>
      <c r="AK274" s="174">
        <f>(($AK$2+Y274*Лист1!$B$7^2*Лист1!$G$8/100)/(AA274/10^6)+$AK$3/(AE274/10^6))/1000/($Q274*IF(Лист1!$J$19="да",1/1.05,1))</f>
        <v>1.0598764438953221</v>
      </c>
      <c r="AL274" s="24"/>
      <c r="AM274" s="186"/>
      <c r="AN274" s="174">
        <f>(($AK$2+Y274*Лист1!$B$7^2*Лист1!$G$8/100)/(AA274/10^6)+$AK$3/(AE274/10^6))/1000/($Q274*IF(Лист1!$J$19="да",1/1.05,1))</f>
        <v>1.0598764438953221</v>
      </c>
      <c r="AO274" s="24"/>
      <c r="AP274" s="186"/>
      <c r="AQ274" s="174">
        <f>MAX((5/384*($AQ$2+$Y274/100)*$D$17^4/(2.06*10^8*$Z274/10^8))/($D$17/300)*INDEX(Лист1!$L$34:$L$38,MATCH(Лист1!$B$8,Лист1!$I$34:$I$38,0),1),(5/384*($AQ$3)*$D$17^4/(2.06*10^8*$AD274/10^8))/($D$17/200))</f>
        <v>3.5057902748066478</v>
      </c>
      <c r="AR274" s="174"/>
      <c r="AS274" s="175"/>
      <c r="AT274" s="174">
        <f>MAX((5/384*($AT$2+$Y274/100)*$D$17^4/(2.06*10^8*$Z274/10^8))/($D$17/300)*INDEX(Лист1!$L$34:$L$38,MATCH(Лист1!$B$8,Лист1!$I$34:$I$38,0),1),(5/384*($AT$3)*$D$17^4/(2.06*10^8*$AD274/10^8))/($D$17/200))</f>
        <v>1.0760346388020403</v>
      </c>
      <c r="AU274" s="174"/>
      <c r="AV274" s="174">
        <f>IF(OR(MAX(AH274,AQ274)&gt;1,AK274&gt;Лист1!$B$20,N274="-"),999999999,Y274*Лист1!$B$7+0.0001*O274)</f>
        <v>999999999</v>
      </c>
      <c r="AX274" s="174">
        <f>IF(OR(MAX(AH274,AT274)&gt;1,AN274&gt;Лист1!$B$20,N274="-"),999999999,Y274*Лист1!$B$7+0.0001*O274)</f>
        <v>999999999</v>
      </c>
    </row>
    <row r="275" spans="14:50" ht="16.5" thickBot="1" x14ac:dyDescent="0.3">
      <c r="O275">
        <f t="shared" si="14"/>
        <v>272</v>
      </c>
      <c r="P275" s="227" t="s">
        <v>297</v>
      </c>
      <c r="Q275" s="227">
        <v>240</v>
      </c>
      <c r="R275" s="154" t="s">
        <v>352</v>
      </c>
      <c r="S275" s="148">
        <v>100</v>
      </c>
      <c r="T275" s="148">
        <v>100</v>
      </c>
      <c r="U275" s="24"/>
      <c r="V275" s="24"/>
      <c r="W275" s="24"/>
      <c r="X275" s="155">
        <v>15</v>
      </c>
      <c r="Y275" s="149">
        <v>11.8</v>
      </c>
      <c r="Z275" s="152">
        <v>83.8</v>
      </c>
      <c r="AA275" s="150">
        <v>27.9</v>
      </c>
      <c r="AC275" s="151">
        <v>3.54</v>
      </c>
      <c r="AD275" s="149">
        <v>187.8</v>
      </c>
      <c r="AE275" s="150">
        <v>37.6</v>
      </c>
      <c r="AF275" s="153">
        <v>2.36</v>
      </c>
      <c r="AH275" s="174">
        <f t="shared" si="15"/>
        <v>1.2711864406779663</v>
      </c>
      <c r="AI275" s="174"/>
      <c r="AJ275" s="186"/>
      <c r="AK275" s="174">
        <f>(($AK$2+Y275*Лист1!$B$7^2*Лист1!$G$8/100)/(AA275/10^6)+$AK$3/(AE275/10^6))/1000/($Q275*IF(Лист1!$J$19="да",1/1.05,1))</f>
        <v>0.90665772508273634</v>
      </c>
      <c r="AL275" s="24"/>
      <c r="AM275" s="186"/>
      <c r="AN275" s="174">
        <f>(($AK$2+Y275*Лист1!$B$7^2*Лист1!$G$8/100)/(AA275/10^6)+$AK$3/(AE275/10^6))/1000/($Q275*IF(Лист1!$J$19="да",1/1.05,1))</f>
        <v>0.90665772508273634</v>
      </c>
      <c r="AO275" s="24"/>
      <c r="AP275" s="186"/>
      <c r="AQ275" s="174">
        <f>MAX((5/384*($AQ$2+$Y275/100)*$D$17^4/(2.06*10^8*$Z275/10^8))/($D$17/300)*INDEX(Лист1!$L$34:$L$38,MATCH(Лист1!$B$8,Лист1!$I$34:$I$38,0),1),(5/384*($AQ$3)*$D$17^4/(2.06*10^8*$AD275/10^8))/($D$17/200))</f>
        <v>3.0694615010311188</v>
      </c>
      <c r="AR275" s="174"/>
      <c r="AS275" s="175"/>
      <c r="AT275" s="174">
        <f>MAX((5/384*($AT$2+$Y275/100)*$D$17^4/(2.06*10^8*$Z275/10^8))/($D$17/300)*INDEX(Лист1!$L$34:$L$38,MATCH(Лист1!$B$8,Лист1!$I$34:$I$38,0),1),(5/384*($AT$3)*$D$17^4/(2.06*10^8*$AD275/10^8))/($D$17/200))</f>
        <v>1.0166369302778231</v>
      </c>
      <c r="AU275" s="174"/>
      <c r="AV275" s="174">
        <f>IF(OR(MAX(AH275,AQ275)&gt;1,AK275&gt;Лист1!$B$20,N275="-"),999999999,Y275*Лист1!$B$7+0.0001*O275)</f>
        <v>999999999</v>
      </c>
      <c r="AX275" s="174">
        <f>IF(OR(MAX(AH275,AT275)&gt;1,AN275&gt;Лист1!$B$20,N275="-"),999999999,Y275*Лист1!$B$7+0.0001*O275)</f>
        <v>999999999</v>
      </c>
    </row>
    <row r="276" spans="14:50" ht="16.5" thickBot="1" x14ac:dyDescent="0.3">
      <c r="O276">
        <f t="shared" si="14"/>
        <v>273</v>
      </c>
      <c r="P276" s="227" t="s">
        <v>297</v>
      </c>
      <c r="Q276" s="227">
        <v>240</v>
      </c>
      <c r="R276" s="154" t="s">
        <v>353</v>
      </c>
      <c r="S276" s="148">
        <v>100</v>
      </c>
      <c r="T276" s="148">
        <v>100</v>
      </c>
      <c r="U276" s="24"/>
      <c r="V276" s="24"/>
      <c r="W276" s="24"/>
      <c r="X276" s="148">
        <v>17.8</v>
      </c>
      <c r="Y276" s="149">
        <v>14</v>
      </c>
      <c r="Z276" s="152">
        <v>96.2</v>
      </c>
      <c r="AA276" s="150">
        <v>32.1</v>
      </c>
      <c r="AC276" s="151">
        <v>3.48</v>
      </c>
      <c r="AD276" s="149">
        <v>216.3</v>
      </c>
      <c r="AE276" s="150">
        <v>43.3</v>
      </c>
      <c r="AF276" s="153">
        <v>2.3199999999999998</v>
      </c>
      <c r="AH276" s="174">
        <f t="shared" si="15"/>
        <v>1.2931034482758621</v>
      </c>
      <c r="AI276" s="174"/>
      <c r="AJ276" s="186"/>
      <c r="AK276" s="174">
        <f>(($AK$2+Y276*Лист1!$B$7^2*Лист1!$G$8/100)/(AA276/10^6)+$AK$3/(AE276/10^6))/1000/($Q276*IF(Лист1!$J$19="да",1/1.05,1))</f>
        <v>0.80049628500301917</v>
      </c>
      <c r="AL276" s="24"/>
      <c r="AM276" s="186"/>
      <c r="AN276" s="174">
        <f>(($AK$2+Y276*Лист1!$B$7^2*Лист1!$G$8/100)/(AA276/10^6)+$AK$3/(AE276/10^6))/1000/($Q276*IF(Лист1!$J$19="да",1/1.05,1))</f>
        <v>0.80049628500301917</v>
      </c>
      <c r="AO276" s="24"/>
      <c r="AP276" s="186"/>
      <c r="AQ276" s="174">
        <f>MAX((5/384*($AQ$2+$Y276/100)*$D$17^4/(2.06*10^8*$Z276/10^8))/($D$17/300)*INDEX(Лист1!$L$34:$L$38,MATCH(Лист1!$B$8,Лист1!$I$34:$I$38,0),1),(5/384*($AQ$3)*$D$17^4/(2.06*10^8*$AD276/10^8))/($D$17/200))</f>
        <v>2.7674822881133565</v>
      </c>
      <c r="AR276" s="174"/>
      <c r="AS276" s="175"/>
      <c r="AT276" s="174">
        <f>MAX((5/384*($AT$2+$Y276/100)*$D$17^4/(2.06*10^8*$Z276/10^8))/($D$17/300)*INDEX(Лист1!$L$34:$L$38,MATCH(Лист1!$B$8,Лист1!$I$34:$I$38,0),1),(5/384*($AT$3)*$D$17^4/(2.06*10^8*$AD276/10^8))/($D$17/200))</f>
        <v>0.97926296348626451</v>
      </c>
      <c r="AU276" s="174"/>
      <c r="AV276" s="174">
        <f>IF(OR(MAX(AH276,AQ276)&gt;1,AK276&gt;Лист1!$B$20,N276="-"),999999999,Y276*Лист1!$B$7+0.0001*O276)</f>
        <v>999999999</v>
      </c>
      <c r="AX276" s="174">
        <f>IF(OR(MAX(AH276,AT276)&gt;1,AN276&gt;Лист1!$B$20,N276="-"),999999999,Y276*Лист1!$B$7+0.0001*O276)</f>
        <v>999999999</v>
      </c>
    </row>
    <row r="277" spans="14:50" ht="16.5" thickBot="1" x14ac:dyDescent="0.3">
      <c r="O277">
        <f t="shared" si="14"/>
        <v>274</v>
      </c>
      <c r="P277" s="227" t="s">
        <v>297</v>
      </c>
      <c r="Q277" s="227">
        <v>240</v>
      </c>
      <c r="R277" s="154" t="s">
        <v>354</v>
      </c>
      <c r="S277" s="148">
        <v>120</v>
      </c>
      <c r="T277" s="148">
        <v>120</v>
      </c>
      <c r="U277" s="24"/>
      <c r="V277" s="24"/>
      <c r="W277" s="24"/>
      <c r="X277" s="148">
        <v>11.6</v>
      </c>
      <c r="Y277" s="149">
        <v>9.1</v>
      </c>
      <c r="Z277" s="152">
        <v>124.8</v>
      </c>
      <c r="AA277" s="150">
        <v>31.2</v>
      </c>
      <c r="AC277" s="151">
        <v>4.4800000000000004</v>
      </c>
      <c r="AD277" s="149">
        <v>233.4</v>
      </c>
      <c r="AE277" s="150">
        <v>38.9</v>
      </c>
      <c r="AF277" s="153">
        <v>3.27</v>
      </c>
      <c r="AH277" s="174">
        <f t="shared" si="15"/>
        <v>0.91743119266055051</v>
      </c>
      <c r="AI277" s="174"/>
      <c r="AJ277" s="186"/>
      <c r="AK277" s="174">
        <f>(($AK$2+Y277*Лист1!$B$7^2*Лист1!$G$8/100)/(AA277/10^6)+$AK$3/(AE277/10^6))/1000/($Q277*IF(Лист1!$J$19="да",1/1.05,1))</f>
        <v>0.82930551388687368</v>
      </c>
      <c r="AL277" s="24"/>
      <c r="AM277" s="186"/>
      <c r="AN277" s="174">
        <f>(($AK$2+Y277*Лист1!$B$7^2*Лист1!$G$8/100)/(AA277/10^6)+$AK$3/(AE277/10^6))/1000/($Q277*IF(Лист1!$J$19="да",1/1.05,1))</f>
        <v>0.82930551388687368</v>
      </c>
      <c r="AO277" s="24"/>
      <c r="AP277" s="186"/>
      <c r="AQ277" s="174">
        <f>MAX((5/384*($AQ$2+$Y277/100)*$D$17^4/(2.06*10^8*$Z277/10^8))/($D$17/300)*INDEX(Лист1!$L$34:$L$38,MATCH(Лист1!$B$8,Лист1!$I$34:$I$38,0),1),(5/384*($AQ$3)*$D$17^4/(2.06*10^8*$AD277/10^8))/($D$17/200))</f>
        <v>1.9724520397684839</v>
      </c>
      <c r="AR277" s="174"/>
      <c r="AS277" s="175"/>
      <c r="AT277" s="174">
        <f>MAX((5/384*($AT$2+$Y277/100)*$D$17^4/(2.06*10^8*$Z277/10^8))/($D$17/300)*INDEX(Лист1!$L$34:$L$38,MATCH(Лист1!$B$8,Лист1!$I$34:$I$38,0),1),(5/384*($AT$3)*$D$17^4/(2.06*10^8*$AD277/10^8))/($D$17/200))</f>
        <v>0.67111919215314375</v>
      </c>
      <c r="AU277" s="174"/>
      <c r="AV277" s="174">
        <f>IF(OR(MAX(AH277,AQ277)&gt;1,AK277&gt;Лист1!$B$20,N277="-"),999999999,Y277*Лист1!$B$7+0.0001*O277)</f>
        <v>999999999</v>
      </c>
      <c r="AX277" s="174">
        <f>IF(OR(MAX(AH277,AT277)&gt;1,AN277&gt;Лист1!$B$20,N277="-"),999999999,Y277*Лист1!$B$7+0.0001*O277)</f>
        <v>54.627399999999994</v>
      </c>
    </row>
    <row r="278" spans="14:50" ht="16.5" thickBot="1" x14ac:dyDescent="0.3">
      <c r="O278">
        <f t="shared" si="14"/>
        <v>275</v>
      </c>
      <c r="P278" s="227" t="s">
        <v>297</v>
      </c>
      <c r="Q278" s="227">
        <v>240</v>
      </c>
      <c r="R278" s="154" t="s">
        <v>355</v>
      </c>
      <c r="S278" s="148">
        <v>120</v>
      </c>
      <c r="T278" s="148">
        <v>120</v>
      </c>
      <c r="U278" s="24"/>
      <c r="V278" s="24"/>
      <c r="W278" s="24"/>
      <c r="X278" s="148">
        <v>15.3</v>
      </c>
      <c r="Y278" s="149">
        <v>12</v>
      </c>
      <c r="Z278" s="152">
        <v>159.69999999999999</v>
      </c>
      <c r="AA278" s="150">
        <v>39.9</v>
      </c>
      <c r="AC278" s="151">
        <v>4.42</v>
      </c>
      <c r="AD278" s="149">
        <v>299</v>
      </c>
      <c r="AE278" s="150">
        <v>49.8</v>
      </c>
      <c r="AF278" s="153">
        <v>3.23</v>
      </c>
      <c r="AH278" s="174">
        <f t="shared" si="15"/>
        <v>0.92879256965944279</v>
      </c>
      <c r="AI278" s="174"/>
      <c r="AJ278" s="186"/>
      <c r="AK278" s="174">
        <f>(($AK$2+Y278*Лист1!$B$7^2*Лист1!$G$8/100)/(AA278/10^6)+$AK$3/(AE278/10^6))/1000/($Q278*IF(Лист1!$J$19="да",1/1.05,1))</f>
        <v>0.66172158518173019</v>
      </c>
      <c r="AL278" s="24"/>
      <c r="AM278" s="186"/>
      <c r="AN278" s="174">
        <f>(($AK$2+Y278*Лист1!$B$7^2*Лист1!$G$8/100)/(AA278/10^6)+$AK$3/(AE278/10^6))/1000/($Q278*IF(Лист1!$J$19="да",1/1.05,1))</f>
        <v>0.66172158518173019</v>
      </c>
      <c r="AO278" s="24"/>
      <c r="AP278" s="186"/>
      <c r="AQ278" s="174">
        <f>MAX((5/384*($AQ$2+$Y278/100)*$D$17^4/(2.06*10^8*$Z278/10^8))/($D$17/300)*INDEX(Лист1!$L$34:$L$38,MATCH(Лист1!$B$8,Лист1!$I$34:$I$38,0),1),(5/384*($AQ$3)*$D$17^4/(2.06*10^8*$AD278/10^8))/($D$17/200))</f>
        <v>1.615779890693108</v>
      </c>
      <c r="AR278" s="174"/>
      <c r="AS278" s="175"/>
      <c r="AT278" s="174">
        <f>MAX((5/384*($AT$2+$Y278/100)*$D$17^4/(2.06*10^8*$Z278/10^8))/($D$17/300)*INDEX(Лист1!$L$34:$L$38,MATCH(Лист1!$B$8,Лист1!$I$34:$I$38,0),1),(5/384*($AT$3)*$D$17^4/(2.06*10^8*$AD278/10^8))/($D$17/200))</f>
        <v>0.53859329689770252</v>
      </c>
      <c r="AU278" s="174"/>
      <c r="AV278" s="174">
        <f>IF(OR(MAX(AH278,AQ278)&gt;1,AK278&gt;Лист1!$B$20,N278="-"),999999999,Y278*Лист1!$B$7+0.0001*O278)</f>
        <v>999999999</v>
      </c>
      <c r="AX278" s="174">
        <f>IF(OR(MAX(AH278,AT278)&gt;1,AN278&gt;Лист1!$B$20,N278="-"),999999999,Y278*Лист1!$B$7+0.0001*O278)</f>
        <v>72.027500000000003</v>
      </c>
    </row>
    <row r="279" spans="14:50" ht="16.5" thickBot="1" x14ac:dyDescent="0.3">
      <c r="O279">
        <f t="shared" si="14"/>
        <v>276</v>
      </c>
      <c r="P279" s="227" t="s">
        <v>297</v>
      </c>
      <c r="Q279" s="227">
        <v>240</v>
      </c>
      <c r="R279" s="154" t="s">
        <v>356</v>
      </c>
      <c r="S279" s="148">
        <v>120</v>
      </c>
      <c r="T279" s="148">
        <v>120</v>
      </c>
      <c r="U279" s="24"/>
      <c r="V279" s="24"/>
      <c r="W279" s="24"/>
      <c r="X279" s="148">
        <v>18.899999999999999</v>
      </c>
      <c r="Y279" s="149">
        <v>14.8</v>
      </c>
      <c r="Z279" s="152">
        <v>192.4</v>
      </c>
      <c r="AA279" s="150">
        <v>48.1</v>
      </c>
      <c r="AC279" s="151">
        <v>4.37</v>
      </c>
      <c r="AD279" s="149">
        <v>361.4</v>
      </c>
      <c r="AE279" s="150">
        <v>60.2</v>
      </c>
      <c r="AF279" s="153">
        <v>3.19</v>
      </c>
      <c r="AH279" s="174">
        <f t="shared" si="15"/>
        <v>0.94043887147335425</v>
      </c>
      <c r="AI279" s="174"/>
      <c r="AJ279" s="186"/>
      <c r="AK279" s="174">
        <f>(($AK$2+Y279*Лист1!$B$7^2*Лист1!$G$8/100)/(AA279/10^6)+$AK$3/(AE279/10^6))/1000/($Q279*IF(Лист1!$J$19="да",1/1.05,1))</f>
        <v>0.55900021656971233</v>
      </c>
      <c r="AL279" s="24"/>
      <c r="AM279" s="186"/>
      <c r="AN279" s="174">
        <f>(($AK$2+Y279*Лист1!$B$7^2*Лист1!$G$8/100)/(AA279/10^6)+$AK$3/(AE279/10^6))/1000/($Q279*IF(Лист1!$J$19="да",1/1.05,1))</f>
        <v>0.55900021656971233</v>
      </c>
      <c r="AO279" s="24"/>
      <c r="AP279" s="186"/>
      <c r="AQ279" s="174">
        <f>MAX((5/384*($AQ$2+$Y279/100)*$D$17^4/(2.06*10^8*$Z279/10^8))/($D$17/300)*INDEX(Лист1!$L$34:$L$38,MATCH(Лист1!$B$8,Лист1!$I$34:$I$38,0),1),(5/384*($AQ$3)*$D$17^4/(2.06*10^8*$AD279/10^8))/($D$17/200))</f>
        <v>1.4007718042912218</v>
      </c>
      <c r="AR279" s="174"/>
      <c r="AS279" s="175"/>
      <c r="AT279" s="174">
        <f>MAX((5/384*($AT$2+$Y279/100)*$D$17^4/(2.06*10^8*$Z279/10^8))/($D$17/300)*INDEX(Лист1!$L$34:$L$38,MATCH(Лист1!$B$8,Лист1!$I$34:$I$38,0),1),(5/384*($AT$3)*$D$17^4/(2.06*10^8*$AD279/10^8))/($D$17/200))</f>
        <v>0.50666214197767601</v>
      </c>
      <c r="AU279" s="174"/>
      <c r="AV279" s="174">
        <f>IF(OR(MAX(AH279,AQ279)&gt;1,AK279&gt;Лист1!$B$20,N279="-"),999999999,Y279*Лист1!$B$7+0.0001*O279)</f>
        <v>999999999</v>
      </c>
      <c r="AX279" s="174">
        <f>IF(OR(MAX(AH279,AT279)&gt;1,AN279&gt;Лист1!$B$20,N279="-"),999999999,Y279*Лист1!$B$7+0.0001*O279)</f>
        <v>88.827600000000018</v>
      </c>
    </row>
    <row r="280" spans="14:50" ht="16.5" thickBot="1" x14ac:dyDescent="0.3">
      <c r="O280">
        <f t="shared" si="14"/>
        <v>277</v>
      </c>
      <c r="P280" s="227" t="s">
        <v>297</v>
      </c>
      <c r="Q280" s="227">
        <v>240</v>
      </c>
      <c r="R280" s="154" t="s">
        <v>357</v>
      </c>
      <c r="S280" s="148">
        <v>120</v>
      </c>
      <c r="T280" s="148">
        <v>120</v>
      </c>
      <c r="U280" s="24"/>
      <c r="V280" s="24"/>
      <c r="W280" s="24"/>
      <c r="X280" s="148">
        <v>22.6</v>
      </c>
      <c r="Y280" s="149">
        <v>17.7</v>
      </c>
      <c r="Z280" s="152">
        <v>224.1</v>
      </c>
      <c r="AA280" s="150">
        <v>56</v>
      </c>
      <c r="AC280" s="151">
        <v>4.33</v>
      </c>
      <c r="AD280" s="149">
        <v>423.2</v>
      </c>
      <c r="AE280" s="150">
        <v>70.5</v>
      </c>
      <c r="AF280" s="153">
        <v>3.15</v>
      </c>
      <c r="AH280" s="174">
        <f t="shared" si="15"/>
        <v>0.95238095238095244</v>
      </c>
      <c r="AI280" s="174"/>
      <c r="AJ280" s="186"/>
      <c r="AK280" s="174">
        <f>(($AK$2+Y280*Лист1!$B$7^2*Лист1!$G$8/100)/(AA280/10^6)+$AK$3/(AE280/10^6))/1000/($Q280*IF(Лист1!$J$19="да",1/1.05,1))</f>
        <v>0.48834189334161698</v>
      </c>
      <c r="AL280" s="24"/>
      <c r="AM280" s="186"/>
      <c r="AN280" s="174">
        <f>(($AK$2+Y280*Лист1!$B$7^2*Лист1!$G$8/100)/(AA280/10^6)+$AK$3/(AE280/10^6))/1000/($Q280*IF(Лист1!$J$19="да",1/1.05,1))</f>
        <v>0.48834189334161698</v>
      </c>
      <c r="AO280" s="24"/>
      <c r="AP280" s="186"/>
      <c r="AQ280" s="174">
        <f>MAX((5/384*($AQ$2+$Y280/100)*$D$17^4/(2.06*10^8*$Z280/10^8))/($D$17/300)*INDEX(Лист1!$L$34:$L$38,MATCH(Лист1!$B$8,Лист1!$I$34:$I$38,0),1),(5/384*($AQ$3)*$D$17^4/(2.06*10^8*$AD280/10^8))/($D$17/200))</f>
        <v>1.255629313369985</v>
      </c>
      <c r="AR280" s="174"/>
      <c r="AS280" s="175"/>
      <c r="AT280" s="174">
        <f>MAX((5/384*($AT$2+$Y280/100)*$D$17^4/(2.06*10^8*$Z280/10^8))/($D$17/300)*INDEX(Лист1!$L$34:$L$38,MATCH(Лист1!$B$8,Лист1!$I$34:$I$38,0),1),(5/384*($AT$3)*$D$17^4/(2.06*10^8*$AD280/10^8))/($D$17/200))</f>
        <v>0.48799567200842198</v>
      </c>
      <c r="AU280" s="174"/>
      <c r="AV280" s="174">
        <f>IF(OR(MAX(AH280,AQ280)&gt;1,AK280&gt;Лист1!$B$20,N280="-"),999999999,Y280*Лист1!$B$7+0.0001*O280)</f>
        <v>999999999</v>
      </c>
      <c r="AX280" s="174">
        <f>IF(OR(MAX(AH280,AT280)&gt;1,AN280&gt;Лист1!$B$20,N280="-"),999999999,Y280*Лист1!$B$7+0.0001*O280)</f>
        <v>106.22769999999998</v>
      </c>
    </row>
    <row r="281" spans="14:50" ht="16.5" thickBot="1" x14ac:dyDescent="0.3">
      <c r="O281">
        <f t="shared" si="14"/>
        <v>278</v>
      </c>
      <c r="P281" s="227" t="s">
        <v>297</v>
      </c>
      <c r="Q281" s="227">
        <v>240</v>
      </c>
      <c r="R281" s="154" t="s">
        <v>358</v>
      </c>
      <c r="S281" s="148">
        <v>120</v>
      </c>
      <c r="T281" s="148">
        <v>120</v>
      </c>
      <c r="U281" s="24"/>
      <c r="V281" s="24"/>
      <c r="W281" s="24"/>
      <c r="X281" s="148">
        <v>26.3</v>
      </c>
      <c r="Y281" s="149">
        <v>20.6</v>
      </c>
      <c r="Z281" s="152">
        <v>254.6</v>
      </c>
      <c r="AA281" s="150">
        <v>63.8</v>
      </c>
      <c r="AC281" s="151">
        <v>4.28</v>
      </c>
      <c r="AD281" s="149">
        <v>483.2</v>
      </c>
      <c r="AE281" s="150">
        <v>80.400000000000006</v>
      </c>
      <c r="AF281" s="153">
        <v>3.1</v>
      </c>
      <c r="AH281" s="174">
        <f t="shared" si="15"/>
        <v>0.96774193548387089</v>
      </c>
      <c r="AI281" s="174"/>
      <c r="AJ281" s="186"/>
      <c r="AK281" s="174">
        <f>(($AK$2+Y281*Лист1!$B$7^2*Лист1!$G$8/100)/(AA281/10^6)+$AK$3/(AE281/10^6))/1000/($Q281*IF(Лист1!$J$19="да",1/1.05,1))</f>
        <v>0.43693652479886214</v>
      </c>
      <c r="AL281" s="24"/>
      <c r="AM281" s="186"/>
      <c r="AN281" s="174">
        <f>(($AK$2+Y281*Лист1!$B$7^2*Лист1!$G$8/100)/(AA281/10^6)+$AK$3/(AE281/10^6))/1000/($Q281*IF(Лист1!$J$19="да",1/1.05,1))</f>
        <v>0.43693652479886214</v>
      </c>
      <c r="AO281" s="24"/>
      <c r="AP281" s="186"/>
      <c r="AQ281" s="174">
        <f>MAX((5/384*($AQ$2+$Y281/100)*$D$17^4/(2.06*10^8*$Z281/10^8))/($D$17/300)*INDEX(Лист1!$L$34:$L$38,MATCH(Лист1!$B$8,Лист1!$I$34:$I$38,0),1),(5/384*($AQ$3)*$D$17^4/(2.06*10^8*$AD281/10^8))/($D$17/200))</f>
        <v>1.1518639556433468</v>
      </c>
      <c r="AR281" s="174"/>
      <c r="AS281" s="175"/>
      <c r="AT281" s="174">
        <f>MAX((5/384*($AT$2+$Y281/100)*$D$17^4/(2.06*10^8*$Z281/10^8))/($D$17/300)*INDEX(Лист1!$L$34:$L$38,MATCH(Лист1!$B$8,Лист1!$I$34:$I$38,0),1),(5/384*($AT$3)*$D$17^4/(2.06*10^8*$AD281/10^8))/($D$17/200))</f>
        <v>0.47618956825479153</v>
      </c>
      <c r="AU281" s="174"/>
      <c r="AV281" s="174">
        <f>IF(OR(MAX(AH281,AQ281)&gt;1,AK281&gt;Лист1!$B$20,N281="-"),999999999,Y281*Лист1!$B$7+0.0001*O281)</f>
        <v>999999999</v>
      </c>
      <c r="AX281" s="174">
        <f>IF(OR(MAX(AH281,AT281)&gt;1,AN281&gt;Лист1!$B$20,N281="-"),999999999,Y281*Лист1!$B$7+0.0001*O281)</f>
        <v>123.62780000000001</v>
      </c>
    </row>
    <row r="282" spans="14:50" ht="16.5" thickBot="1" x14ac:dyDescent="0.3">
      <c r="O282">
        <f t="shared" si="14"/>
        <v>279</v>
      </c>
      <c r="P282" s="227" t="s">
        <v>297</v>
      </c>
      <c r="Q282" s="227">
        <v>240</v>
      </c>
      <c r="R282" s="156" t="s">
        <v>359</v>
      </c>
      <c r="S282" s="157">
        <v>140</v>
      </c>
      <c r="T282" s="157">
        <v>140</v>
      </c>
      <c r="U282" s="24"/>
      <c r="V282" s="24"/>
      <c r="W282" s="24"/>
      <c r="X282" s="157">
        <v>15.3</v>
      </c>
      <c r="Y282" s="158">
        <v>12</v>
      </c>
      <c r="Z282" s="161">
        <v>95.4</v>
      </c>
      <c r="AA282" s="159">
        <v>31.8</v>
      </c>
      <c r="AC282" s="160">
        <v>4.8600000000000003</v>
      </c>
      <c r="AD282" s="158">
        <v>362.1</v>
      </c>
      <c r="AE282" s="159">
        <v>51.7</v>
      </c>
      <c r="AF282" s="162">
        <v>2.5</v>
      </c>
      <c r="AH282" s="174">
        <f t="shared" si="15"/>
        <v>1.2</v>
      </c>
      <c r="AI282" s="174"/>
      <c r="AJ282" s="186"/>
      <c r="AK282" s="174">
        <f>(($AK$2+Y282*Лист1!$B$7^2*Лист1!$G$8/100)/(AA282/10^6)+$AK$3/(AE282/10^6))/1000/($Q282*IF(Лист1!$J$19="да",1/1.05,1))</f>
        <v>0.72451451364765973</v>
      </c>
      <c r="AL282" s="24"/>
      <c r="AM282" s="186"/>
      <c r="AN282" s="174">
        <f>(($AK$2+Y282*Лист1!$B$7^2*Лист1!$G$8/100)/(AA282/10^6)+$AK$3/(AE282/10^6))/1000/($Q282*IF(Лист1!$J$19="да",1/1.05,1))</f>
        <v>0.72451451364765973</v>
      </c>
      <c r="AO282" s="24"/>
      <c r="AP282" s="186"/>
      <c r="AQ282" s="174">
        <f>MAX((5/384*($AQ$2+$Y282/100)*$D$17^4/(2.06*10^8*$Z282/10^8))/($D$17/300)*INDEX(Лист1!$L$34:$L$38,MATCH(Лист1!$B$8,Лист1!$I$34:$I$38,0),1),(5/384*($AQ$3)*$D$17^4/(2.06*10^8*$AD282/10^8))/($D$17/200))</f>
        <v>2.704822311778714</v>
      </c>
      <c r="AR282" s="174"/>
      <c r="AS282" s="175"/>
      <c r="AT282" s="174">
        <f>MAX((5/384*($AT$2+$Y282/100)*$D$17^4/(2.06*10^8*$Z282/10^8))/($D$17/300)*INDEX(Лист1!$L$34:$L$38,MATCH(Лист1!$B$8,Лист1!$I$34:$I$38,0),1),(5/384*($AT$3)*$D$17^4/(2.06*10^8*$AD282/10^8))/($D$17/200))</f>
        <v>0.90160743725957138</v>
      </c>
      <c r="AU282" s="174"/>
      <c r="AV282" s="174">
        <f>IF(OR(MAX(AH282,AQ282)&gt;1,AK282&gt;Лист1!$B$20,N282="-"),999999999,Y282*Лист1!$B$7+0.0001*O282)</f>
        <v>999999999</v>
      </c>
      <c r="AX282" s="174">
        <f>IF(OR(MAX(AH282,AT282)&gt;1,AN282&gt;Лист1!$B$20,N282="-"),999999999,Y282*Лист1!$B$7+0.0001*O282)</f>
        <v>999999999</v>
      </c>
    </row>
    <row r="283" spans="14:50" ht="16.5" thickBot="1" x14ac:dyDescent="0.3">
      <c r="O283">
        <f t="shared" si="14"/>
        <v>280</v>
      </c>
      <c r="P283" s="227" t="s">
        <v>297</v>
      </c>
      <c r="Q283" s="227">
        <v>240</v>
      </c>
      <c r="R283" s="156" t="s">
        <v>360</v>
      </c>
      <c r="S283" s="157">
        <v>140</v>
      </c>
      <c r="T283" s="157">
        <v>140</v>
      </c>
      <c r="U283" s="24"/>
      <c r="V283" s="24"/>
      <c r="W283" s="24"/>
      <c r="X283" s="157">
        <v>18.899999999999999</v>
      </c>
      <c r="Y283" s="158">
        <v>14.8</v>
      </c>
      <c r="Z283" s="161">
        <v>113.6</v>
      </c>
      <c r="AA283" s="159">
        <v>37.9</v>
      </c>
      <c r="AC283" s="160">
        <v>4.8</v>
      </c>
      <c r="AD283" s="158">
        <v>436.1</v>
      </c>
      <c r="AE283" s="159">
        <v>62.3</v>
      </c>
      <c r="AF283" s="162">
        <v>2.4500000000000002</v>
      </c>
      <c r="AH283" s="174">
        <f t="shared" si="15"/>
        <v>1.2244897959183674</v>
      </c>
      <c r="AI283" s="174"/>
      <c r="AJ283" s="186"/>
      <c r="AK283" s="174">
        <f>(($AK$2+Y283*Лист1!$B$7^2*Лист1!$G$8/100)/(AA283/10^6)+$AK$3/(AE283/10^6))/1000/($Q283*IF(Лист1!$J$19="да",1/1.05,1))</f>
        <v>0.61854259688062863</v>
      </c>
      <c r="AL283" s="24"/>
      <c r="AM283" s="186"/>
      <c r="AN283" s="174">
        <f>(($AK$2+Y283*Лист1!$B$7^2*Лист1!$G$8/100)/(AA283/10^6)+$AK$3/(AE283/10^6))/1000/($Q283*IF(Лист1!$J$19="да",1/1.05,1))</f>
        <v>0.61854259688062863</v>
      </c>
      <c r="AO283" s="24"/>
      <c r="AP283" s="186"/>
      <c r="AQ283" s="174">
        <f>MAX((5/384*($AQ$2+$Y283/100)*$D$17^4/(2.06*10^8*$Z283/10^8))/($D$17/300)*INDEX(Лист1!$L$34:$L$38,MATCH(Лист1!$B$8,Лист1!$I$34:$I$38,0),1),(5/384*($AQ$3)*$D$17^4/(2.06*10^8*$AD283/10^8))/($D$17/200))</f>
        <v>2.3724339361411184</v>
      </c>
      <c r="AR283" s="174"/>
      <c r="AS283" s="175"/>
      <c r="AT283" s="174">
        <f>MAX((5/384*($AT$2+$Y283/100)*$D$17^4/(2.06*10^8*$Z283/10^8))/($D$17/300)*INDEX(Лист1!$L$34:$L$38,MATCH(Лист1!$B$8,Лист1!$I$34:$I$38,0),1),(5/384*($AT$3)*$D$17^4/(2.06*10^8*$AD283/10^8))/($D$17/200))</f>
        <v>0.85811440243402159</v>
      </c>
      <c r="AU283" s="174"/>
      <c r="AV283" s="174">
        <f>IF(OR(MAX(AH283,AQ283)&gt;1,AK283&gt;Лист1!$B$20,N283="-"),999999999,Y283*Лист1!$B$7+0.0001*O283)</f>
        <v>999999999</v>
      </c>
      <c r="AX283" s="174">
        <f>IF(OR(MAX(AH283,AT283)&gt;1,AN283&gt;Лист1!$B$20,N283="-"),999999999,Y283*Лист1!$B$7+0.0001*O283)</f>
        <v>999999999</v>
      </c>
    </row>
    <row r="284" spans="14:50" ht="16.5" thickBot="1" x14ac:dyDescent="0.3">
      <c r="O284">
        <f t="shared" si="14"/>
        <v>281</v>
      </c>
      <c r="P284" s="227" t="s">
        <v>297</v>
      </c>
      <c r="Q284" s="227">
        <v>240</v>
      </c>
      <c r="R284" s="156" t="s">
        <v>361</v>
      </c>
      <c r="S284" s="157">
        <v>140</v>
      </c>
      <c r="T284" s="157">
        <v>140</v>
      </c>
      <c r="U284" s="24"/>
      <c r="V284" s="24"/>
      <c r="W284" s="24"/>
      <c r="X284" s="157">
        <v>22.6</v>
      </c>
      <c r="Y284" s="158">
        <v>17.7</v>
      </c>
      <c r="Z284" s="161">
        <v>131.30000000000001</v>
      </c>
      <c r="AA284" s="159">
        <v>43.8</v>
      </c>
      <c r="AC284" s="160">
        <v>4.75</v>
      </c>
      <c r="AD284" s="158">
        <v>509.7</v>
      </c>
      <c r="AE284" s="159">
        <v>72.8</v>
      </c>
      <c r="AF284" s="162">
        <v>2.41</v>
      </c>
      <c r="AH284" s="174">
        <f t="shared" si="15"/>
        <v>1.2448132780082988</v>
      </c>
      <c r="AI284" s="174"/>
      <c r="AJ284" s="186"/>
      <c r="AK284" s="174">
        <f>(($AK$2+Y284*Лист1!$B$7^2*Лист1!$G$8/100)/(AA284/10^6)+$AK$3/(AE284/10^6))/1000/($Q284*IF(Лист1!$J$19="да",1/1.05,1))</f>
        <v>0.54487387587641734</v>
      </c>
      <c r="AL284" s="24"/>
      <c r="AM284" s="186"/>
      <c r="AN284" s="174">
        <f>(($AK$2+Y284*Лист1!$B$7^2*Лист1!$G$8/100)/(AA284/10^6)+$AK$3/(AE284/10^6))/1000/($Q284*IF(Лист1!$J$19="да",1/1.05,1))</f>
        <v>0.54487387587641734</v>
      </c>
      <c r="AO284" s="24"/>
      <c r="AP284" s="186"/>
      <c r="AQ284" s="174">
        <f>MAX((5/384*($AQ$2+$Y284/100)*$D$17^4/(2.06*10^8*$Z284/10^8))/($D$17/300)*INDEX(Лист1!$L$34:$L$38,MATCH(Лист1!$B$8,Лист1!$I$34:$I$38,0),1),(5/384*($AQ$3)*$D$17^4/(2.06*10^8*$AD284/10^8))/($D$17/200))</f>
        <v>2.1430809529795396</v>
      </c>
      <c r="AR284" s="174"/>
      <c r="AS284" s="175"/>
      <c r="AT284" s="174">
        <f>MAX((5/384*($AT$2+$Y284/100)*$D$17^4/(2.06*10^8*$Z284/10^8))/($D$17/300)*INDEX(Лист1!$L$34:$L$38,MATCH(Лист1!$B$8,Лист1!$I$34:$I$38,0),1),(5/384*($AT$3)*$D$17^4/(2.06*10^8*$AD284/10^8))/($D$17/200))</f>
        <v>0.83290045770820531</v>
      </c>
      <c r="AU284" s="174"/>
      <c r="AV284" s="174">
        <f>IF(OR(MAX(AH284,AQ284)&gt;1,AK284&gt;Лист1!$B$20,N284="-"),999999999,Y284*Лист1!$B$7+0.0001*O284)</f>
        <v>999999999</v>
      </c>
      <c r="AX284" s="174">
        <f>IF(OR(MAX(AH284,AT284)&gt;1,AN284&gt;Лист1!$B$20,N284="-"),999999999,Y284*Лист1!$B$7+0.0001*O284)</f>
        <v>999999999</v>
      </c>
    </row>
    <row r="285" spans="14:50" ht="16.5" thickBot="1" x14ac:dyDescent="0.3">
      <c r="N285" t="s">
        <v>344</v>
      </c>
      <c r="O285">
        <f t="shared" si="14"/>
        <v>282</v>
      </c>
      <c r="P285" s="227" t="s">
        <v>297</v>
      </c>
      <c r="Q285" s="227">
        <v>240</v>
      </c>
      <c r="R285" s="154" t="s">
        <v>362</v>
      </c>
      <c r="S285" s="157">
        <v>140</v>
      </c>
      <c r="T285" s="157">
        <v>140</v>
      </c>
      <c r="U285" s="24"/>
      <c r="V285" s="24"/>
      <c r="W285" s="24"/>
      <c r="X285" s="148">
        <v>14.2</v>
      </c>
      <c r="Y285" s="149">
        <v>11.1</v>
      </c>
      <c r="Z285" s="152">
        <v>241.2</v>
      </c>
      <c r="AA285" s="150">
        <v>48.2</v>
      </c>
      <c r="AC285" s="151">
        <v>5.31</v>
      </c>
      <c r="AD285" s="149">
        <v>404.2</v>
      </c>
      <c r="AE285" s="150">
        <v>57.7</v>
      </c>
      <c r="AF285" s="153">
        <v>4.0999999999999996</v>
      </c>
      <c r="AH285" s="174">
        <f t="shared" si="15"/>
        <v>0.73170731707317072</v>
      </c>
      <c r="AI285" s="174"/>
      <c r="AJ285" s="186"/>
      <c r="AK285" s="174">
        <f>(($AK$2+Y285*Лист1!$B$7^2*Лист1!$G$8/100)/(AA285/10^6)+$AK$3/(AE285/10^6))/1000/($Q285*IF(Лист1!$J$19="да",1/1.05,1))</f>
        <v>0.55707545184318252</v>
      </c>
      <c r="AL285" s="24"/>
      <c r="AM285" s="186"/>
      <c r="AN285" s="174">
        <f>(($AK$2+Y285*Лист1!$B$7^2*Лист1!$G$8/100)/(AA285/10^6)+$AK$3/(AE285/10^6))/1000/($Q285*IF(Лист1!$J$19="да",1/1.05,1))</f>
        <v>0.55707545184318252</v>
      </c>
      <c r="AO285" s="24"/>
      <c r="AP285" s="186"/>
      <c r="AQ285" s="174">
        <f>MAX((5/384*($AQ$2+$Y285/100)*$D$17^4/(2.06*10^8*$Z285/10^8))/($D$17/300)*INDEX(Лист1!$L$34:$L$38,MATCH(Лист1!$B$8,Лист1!$I$34:$I$38,0),1),(5/384*($AQ$3)*$D$17^4/(2.06*10^8*$AD285/10^8))/($D$17/200))</f>
        <v>1.0545346688885668</v>
      </c>
      <c r="AR285" s="174"/>
      <c r="AS285" s="175"/>
      <c r="AT285" s="174">
        <f>MAX((5/384*($AT$2+$Y285/100)*$D$17^4/(2.06*10^8*$Z285/10^8))/($D$17/300)*INDEX(Лист1!$L$34:$L$38,MATCH(Лист1!$B$8,Лист1!$I$34:$I$38,0),1),(5/384*($AT$3)*$D$17^4/(2.06*10^8*$AD285/10^8))/($D$17/200))</f>
        <v>0.38752899418244369</v>
      </c>
      <c r="AU285" s="174"/>
      <c r="AV285" s="174">
        <f>IF(OR(MAX(AH285,AQ285)&gt;1,AK285&gt;Лист1!$B$20,N285="-"),999999999,Y285*Лист1!$B$7+0.0001*O285)</f>
        <v>999999999</v>
      </c>
      <c r="AX285" s="174">
        <f>IF(OR(MAX(AH285,AT285)&gt;1,AN285&gt;Лист1!$B$20,N285="-"),999999999,Y285*Лист1!$B$7+0.0001*O285)</f>
        <v>999999999</v>
      </c>
    </row>
    <row r="286" spans="14:50" ht="16.5" thickBot="1" x14ac:dyDescent="0.3">
      <c r="O286">
        <f t="shared" si="14"/>
        <v>283</v>
      </c>
      <c r="P286" s="227" t="s">
        <v>297</v>
      </c>
      <c r="Q286" s="227">
        <v>240</v>
      </c>
      <c r="R286" s="154" t="s">
        <v>363</v>
      </c>
      <c r="S286" s="157">
        <v>140</v>
      </c>
      <c r="T286" s="157">
        <v>140</v>
      </c>
      <c r="U286" s="24"/>
      <c r="V286" s="24"/>
      <c r="W286" s="24"/>
      <c r="X286" s="148">
        <v>18.5</v>
      </c>
      <c r="Y286" s="149">
        <v>14.5</v>
      </c>
      <c r="Z286" s="152">
        <v>304.3</v>
      </c>
      <c r="AA286" s="150">
        <v>60.9</v>
      </c>
      <c r="AC286" s="151">
        <v>5.26</v>
      </c>
      <c r="AD286" s="149">
        <v>511.3</v>
      </c>
      <c r="AE286" s="150">
        <v>73</v>
      </c>
      <c r="AF286" s="153">
        <v>4.05</v>
      </c>
      <c r="AH286" s="174">
        <f t="shared" si="15"/>
        <v>0.74074074074074081</v>
      </c>
      <c r="AI286" s="174"/>
      <c r="AJ286" s="186"/>
      <c r="AK286" s="174">
        <f>(($AK$2+Y286*Лист1!$B$7^2*Лист1!$G$8/100)/(AA286/10^6)+$AK$3/(AE286/10^6))/1000/($Q286*IF(Лист1!$J$19="да",1/1.05,1))</f>
        <v>0.45104273380009119</v>
      </c>
      <c r="AL286" s="24"/>
      <c r="AM286" s="186"/>
      <c r="AN286" s="174">
        <f>(($AK$2+Y286*Лист1!$B$7^2*Лист1!$G$8/100)/(AA286/10^6)+$AK$3/(AE286/10^6))/1000/($Q286*IF(Лист1!$J$19="да",1/1.05,1))</f>
        <v>0.45104273380009119</v>
      </c>
      <c r="AO286" s="24"/>
      <c r="AP286" s="186"/>
      <c r="AQ286" s="174">
        <f>MAX((5/384*($AQ$2+$Y286/100)*$D$17^4/(2.06*10^8*$Z286/10^8))/($D$17/300)*INDEX(Лист1!$L$34:$L$38,MATCH(Лист1!$B$8,Лист1!$I$34:$I$38,0),1),(5/384*($AQ$3)*$D$17^4/(2.06*10^8*$AD286/10^8))/($D$17/200))</f>
        <v>0.88162909303223391</v>
      </c>
      <c r="AR286" s="174"/>
      <c r="AS286" s="175"/>
      <c r="AT286" s="174">
        <f>MAX((5/384*($AT$2+$Y286/100)*$D$17^4/(2.06*10^8*$Z286/10^8))/($D$17/300)*INDEX(Лист1!$L$34:$L$38,MATCH(Лист1!$B$8,Лист1!$I$34:$I$38,0),1),(5/384*($AT$3)*$D$17^4/(2.06*10^8*$AD286/10^8))/($D$17/200))</f>
        <v>0.31630967459935111</v>
      </c>
      <c r="AU286" s="174"/>
      <c r="AV286" s="174">
        <f>IF(OR(MAX(AH286,AQ286)&gt;1,AK286&gt;Лист1!$B$20,N286="-"),999999999,Y286*Лист1!$B$7+0.0001*O286)</f>
        <v>87.028300000000002</v>
      </c>
      <c r="AX286" s="174">
        <f>IF(OR(MAX(AH286,AT286)&gt;1,AN286&gt;Лист1!$B$20,N286="-"),999999999,Y286*Лист1!$B$7+0.0001*O286)</f>
        <v>87.028300000000002</v>
      </c>
    </row>
    <row r="287" spans="14:50" ht="16.5" thickBot="1" x14ac:dyDescent="0.3">
      <c r="O287">
        <f t="shared" si="14"/>
        <v>284</v>
      </c>
      <c r="P287" s="227" t="s">
        <v>297</v>
      </c>
      <c r="Q287" s="227">
        <v>240</v>
      </c>
      <c r="R287" s="154" t="s">
        <v>364</v>
      </c>
      <c r="S287" s="157">
        <v>140</v>
      </c>
      <c r="T287" s="157">
        <v>140</v>
      </c>
      <c r="U287" s="24"/>
      <c r="V287" s="24"/>
      <c r="W287" s="24"/>
      <c r="X287" s="148">
        <v>22.9</v>
      </c>
      <c r="Y287" s="149">
        <v>18</v>
      </c>
      <c r="Z287" s="152">
        <v>368</v>
      </c>
      <c r="AA287" s="150">
        <v>73.599999999999994</v>
      </c>
      <c r="AC287" s="151">
        <v>5.2</v>
      </c>
      <c r="AD287" s="149">
        <v>619.70000000000005</v>
      </c>
      <c r="AE287" s="150">
        <v>88.5</v>
      </c>
      <c r="AF287" s="153">
        <v>4.01</v>
      </c>
      <c r="AH287" s="174">
        <f t="shared" si="15"/>
        <v>0.74812967581047385</v>
      </c>
      <c r="AI287" s="174"/>
      <c r="AJ287" s="186"/>
      <c r="AK287" s="174">
        <f>(($AK$2+Y287*Лист1!$B$7^2*Лист1!$G$8/100)/(AA287/10^6)+$AK$3/(AE287/10^6))/1000/($Q287*IF(Лист1!$J$19="да",1/1.05,1))</f>
        <v>0.38148944764354309</v>
      </c>
      <c r="AL287" s="24"/>
      <c r="AM287" s="186"/>
      <c r="AN287" s="174">
        <f>(($AK$2+Y287*Лист1!$B$7^2*Лист1!$G$8/100)/(AA287/10^6)+$AK$3/(AE287/10^6))/1000/($Q287*IF(Лист1!$J$19="да",1/1.05,1))</f>
        <v>0.38148944764354309</v>
      </c>
      <c r="AO287" s="24"/>
      <c r="AP287" s="186"/>
      <c r="AQ287" s="174">
        <f>MAX((5/384*($AQ$2+$Y287/100)*$D$17^4/(2.06*10^8*$Z287/10^8))/($D$17/300)*INDEX(Лист1!$L$34:$L$38,MATCH(Лист1!$B$8,Лист1!$I$34:$I$38,0),1),(5/384*($AQ$3)*$D$17^4/(2.06*10^8*$AD287/10^8))/($D$17/200))</f>
        <v>0.76797633495145623</v>
      </c>
      <c r="AR287" s="174"/>
      <c r="AS287" s="175"/>
      <c r="AT287" s="174">
        <f>MAX((5/384*($AT$2+$Y287/100)*$D$17^4/(2.06*10^8*$Z287/10^8))/($D$17/300)*INDEX(Лист1!$L$34:$L$38,MATCH(Лист1!$B$8,Лист1!$I$34:$I$38,0),1),(5/384*($AT$3)*$D$17^4/(2.06*10^8*$AD287/10^8))/($D$17/200))</f>
        <v>0.30051247889404809</v>
      </c>
      <c r="AU287" s="174"/>
      <c r="AV287" s="174">
        <f>IF(OR(MAX(AH287,AQ287)&gt;1,AK287&gt;Лист1!$B$20,N287="-"),999999999,Y287*Лист1!$B$7+0.0001*O287)</f>
        <v>108.0284</v>
      </c>
      <c r="AX287" s="174">
        <f>IF(OR(MAX(AH287,AT287)&gt;1,AN287&gt;Лист1!$B$20,N287="-"),999999999,Y287*Лист1!$B$7+0.0001*O287)</f>
        <v>108.0284</v>
      </c>
    </row>
    <row r="288" spans="14:50" ht="16.5" thickBot="1" x14ac:dyDescent="0.3">
      <c r="O288">
        <f t="shared" si="14"/>
        <v>285</v>
      </c>
      <c r="P288" s="227" t="s">
        <v>297</v>
      </c>
      <c r="Q288" s="227">
        <v>240</v>
      </c>
      <c r="R288" s="154" t="s">
        <v>365</v>
      </c>
      <c r="S288" s="157">
        <v>140</v>
      </c>
      <c r="T288" s="157">
        <v>140</v>
      </c>
      <c r="U288" s="24"/>
      <c r="V288" s="24"/>
      <c r="W288" s="24"/>
      <c r="X288" s="148">
        <v>27.4</v>
      </c>
      <c r="Y288" s="149">
        <v>21.5</v>
      </c>
      <c r="Z288" s="152">
        <v>432.4</v>
      </c>
      <c r="AA288" s="150">
        <v>86.5</v>
      </c>
      <c r="AC288" s="151">
        <v>5.16</v>
      </c>
      <c r="AD288" s="149">
        <v>729.2</v>
      </c>
      <c r="AE288" s="150">
        <v>104.2</v>
      </c>
      <c r="AF288" s="153">
        <v>3.97</v>
      </c>
      <c r="AH288" s="174">
        <f t="shared" si="15"/>
        <v>0.75566750629722923</v>
      </c>
      <c r="AI288" s="174"/>
      <c r="AJ288" s="186"/>
      <c r="AK288" s="174">
        <f>(($AK$2+Y288*Лист1!$B$7^2*Лист1!$G$8/100)/(AA288/10^6)+$AK$3/(AE288/10^6))/1000/($Q288*IF(Лист1!$J$19="да",1/1.05,1))</f>
        <v>0.33186930766290001</v>
      </c>
      <c r="AL288" s="24"/>
      <c r="AM288" s="186"/>
      <c r="AN288" s="174">
        <f>(($AK$2+Y288*Лист1!$B$7^2*Лист1!$G$8/100)/(AA288/10^6)+$AK$3/(AE288/10^6))/1000/($Q288*IF(Лист1!$J$19="да",1/1.05,1))</f>
        <v>0.33186930766290001</v>
      </c>
      <c r="AO288" s="24"/>
      <c r="AP288" s="186"/>
      <c r="AQ288" s="174">
        <f>MAX((5/384*($AQ$2+$Y288/100)*$D$17^4/(2.06*10^8*$Z288/10^8))/($D$17/300)*INDEX(Лист1!$L$34:$L$38,MATCH(Лист1!$B$8,Лист1!$I$34:$I$38,0),1),(5/384*($AQ$3)*$D$17^4/(2.06*10^8*$AD288/10^8))/($D$17/200))</f>
        <v>0.68675034577836058</v>
      </c>
      <c r="AR288" s="174"/>
      <c r="AS288" s="175"/>
      <c r="AT288" s="174">
        <f>MAX((5/384*($AT$2+$Y288/100)*$D$17^4/(2.06*10^8*$Z288/10^8))/($D$17/300)*INDEX(Лист1!$L$34:$L$38,MATCH(Лист1!$B$8,Лист1!$I$34:$I$38,0),1),(5/384*($AT$3)*$D$17^4/(2.06*10^8*$AD288/10^8))/($D$17/200))</f>
        <v>0.28890876615503441</v>
      </c>
      <c r="AU288" s="174"/>
      <c r="AV288" s="174">
        <f>IF(OR(MAX(AH288,AQ288)&gt;1,AK288&gt;Лист1!$B$20,N288="-"),999999999,Y288*Лист1!$B$7+0.0001*O288)</f>
        <v>129.02850000000001</v>
      </c>
      <c r="AX288" s="174">
        <f>IF(OR(MAX(AH288,AT288)&gt;1,AN288&gt;Лист1!$B$20,N288="-"),999999999,Y288*Лист1!$B$7+0.0001*O288)</f>
        <v>129.02850000000001</v>
      </c>
    </row>
    <row r="289" spans="14:50" ht="16.5" thickBot="1" x14ac:dyDescent="0.3">
      <c r="N289" t="s">
        <v>344</v>
      </c>
      <c r="O289">
        <f t="shared" si="14"/>
        <v>286</v>
      </c>
      <c r="P289" s="227" t="s">
        <v>297</v>
      </c>
      <c r="Q289" s="227">
        <v>240</v>
      </c>
      <c r="R289" s="154" t="s">
        <v>366</v>
      </c>
      <c r="S289" s="157">
        <v>140</v>
      </c>
      <c r="T289" s="157">
        <v>140</v>
      </c>
      <c r="U289" s="24"/>
      <c r="V289" s="24"/>
      <c r="W289" s="24"/>
      <c r="X289" s="155">
        <v>32</v>
      </c>
      <c r="Y289" s="149">
        <v>25.1</v>
      </c>
      <c r="Z289" s="152">
        <v>497.5</v>
      </c>
      <c r="AA289" s="150">
        <v>99.5</v>
      </c>
      <c r="AC289" s="151">
        <v>5.1100000000000003</v>
      </c>
      <c r="AD289" s="149">
        <v>839.8</v>
      </c>
      <c r="AE289" s="150">
        <v>120</v>
      </c>
      <c r="AF289" s="153">
        <v>3.92</v>
      </c>
      <c r="AH289" s="174">
        <f t="shared" si="15"/>
        <v>0.76530612244897966</v>
      </c>
      <c r="AI289" s="174"/>
      <c r="AJ289" s="186"/>
      <c r="AK289" s="174">
        <f>(($AK$2+Y289*Лист1!$B$7^2*Лист1!$G$8/100)/(AA289/10^6)+$AK$3/(AE289/10^6))/1000/($Q289*IF(Лист1!$J$19="да",1/1.05,1))</f>
        <v>0.29511767884259693</v>
      </c>
      <c r="AL289" s="24"/>
      <c r="AM289" s="186"/>
      <c r="AN289" s="174">
        <f>(($AK$2+Y289*Лист1!$B$7^2*Лист1!$G$8/100)/(AA289/10^6)+$AK$3/(AE289/10^6))/1000/($Q289*IF(Лист1!$J$19="да",1/1.05,1))</f>
        <v>0.29511767884259693</v>
      </c>
      <c r="AO289" s="24"/>
      <c r="AP289" s="186"/>
      <c r="AQ289" s="174">
        <f>MAX((5/384*($AQ$2+$Y289/100)*$D$17^4/(2.06*10^8*$Z289/10^8))/($D$17/300)*INDEX(Лист1!$L$34:$L$38,MATCH(Лист1!$B$8,Лист1!$I$34:$I$38,0),1),(5/384*($AQ$3)*$D$17^4/(2.06*10^8*$AD289/10^8))/($D$17/200))</f>
        <v>0.62652461335805243</v>
      </c>
      <c r="AR289" s="174"/>
      <c r="AS289" s="175"/>
      <c r="AT289" s="174">
        <f>MAX((5/384*($AT$2+$Y289/100)*$D$17^4/(2.06*10^8*$Z289/10^8))/($D$17/300)*INDEX(Лист1!$L$34:$L$38,MATCH(Лист1!$B$8,Лист1!$I$34:$I$38,0),1),(5/384*($AT$3)*$D$17^4/(2.06*10^8*$AD289/10^8))/($D$17/200))</f>
        <v>0.28074230375176856</v>
      </c>
      <c r="AU289" s="174"/>
      <c r="AV289" s="174">
        <f>IF(OR(MAX(AH289,AQ289)&gt;1,AK289&gt;Лист1!$B$20,N289="-"),999999999,Y289*Лист1!$B$7+0.0001*O289)</f>
        <v>999999999</v>
      </c>
      <c r="AX289" s="174">
        <f>IF(OR(MAX(AH289,AT289)&gt;1,AN289&gt;Лист1!$B$20,N289="-"),999999999,Y289*Лист1!$B$7+0.0001*O289)</f>
        <v>999999999</v>
      </c>
    </row>
    <row r="290" spans="14:50" ht="16.5" thickBot="1" x14ac:dyDescent="0.3">
      <c r="N290" t="s">
        <v>344</v>
      </c>
      <c r="O290">
        <f t="shared" si="14"/>
        <v>287</v>
      </c>
      <c r="P290" s="227" t="s">
        <v>297</v>
      </c>
      <c r="Q290" s="227">
        <v>240</v>
      </c>
      <c r="R290" s="154" t="s">
        <v>367</v>
      </c>
      <c r="S290" s="148">
        <v>160</v>
      </c>
      <c r="T290" s="148">
        <v>160</v>
      </c>
      <c r="U290" s="24"/>
      <c r="V290" s="24"/>
      <c r="W290" s="24"/>
      <c r="X290" s="148">
        <v>13.9</v>
      </c>
      <c r="Y290" s="149">
        <v>10.9</v>
      </c>
      <c r="Z290" s="152">
        <v>155.19999999999999</v>
      </c>
      <c r="AA290" s="150">
        <v>38.799999999999997</v>
      </c>
      <c r="AC290" s="151">
        <v>5.7</v>
      </c>
      <c r="AD290" s="149">
        <v>455</v>
      </c>
      <c r="AE290" s="150">
        <v>56.9</v>
      </c>
      <c r="AF290" s="153">
        <v>3.34</v>
      </c>
      <c r="AH290" s="174">
        <f t="shared" si="15"/>
        <v>0.89820359281437134</v>
      </c>
      <c r="AI290" s="174"/>
      <c r="AJ290" s="186"/>
      <c r="AK290" s="174">
        <f>(($AK$2+Y290*Лист1!$B$7^2*Лист1!$G$8/100)/(AA290/10^6)+$AK$3/(AE290/10^6))/1000/($Q290*IF(Лист1!$J$19="да",1/1.05,1))</f>
        <v>0.61960258039817506</v>
      </c>
      <c r="AL290" s="24"/>
      <c r="AM290" s="186"/>
      <c r="AN290" s="174">
        <f>(($AK$2+Y290*Лист1!$B$7^2*Лист1!$G$8/100)/(AA290/10^6)+$AK$3/(AE290/10^6))/1000/($Q290*IF(Лист1!$J$19="да",1/1.05,1))</f>
        <v>0.61960258039817506</v>
      </c>
      <c r="AO290" s="24"/>
      <c r="AP290" s="186"/>
      <c r="AQ290" s="174">
        <f>MAX((5/384*($AQ$2+$Y290/100)*$D$17^4/(2.06*10^8*$Z290/10^8))/($D$17/300)*INDEX(Лист1!$L$34:$L$38,MATCH(Лист1!$B$8,Лист1!$I$34:$I$38,0),1),(5/384*($AQ$3)*$D$17^4/(2.06*10^8*$AD290/10^8))/($D$17/200))</f>
        <v>1.6335991454809329</v>
      </c>
      <c r="AR290" s="174"/>
      <c r="AS290" s="175"/>
      <c r="AT290" s="174">
        <f>MAX((5/384*($AT$2+$Y290/100)*$D$17^4/(2.06*10^8*$Z290/10^8))/($D$17/300)*INDEX(Лист1!$L$34:$L$38,MATCH(Лист1!$B$8,Лист1!$I$34:$I$38,0),1),(5/384*($AT$3)*$D$17^4/(2.06*10^8*$AD290/10^8))/($D$17/200))</f>
        <v>0.52517969297367639</v>
      </c>
      <c r="AU290" s="174"/>
      <c r="AV290" s="174">
        <f>IF(OR(MAX(AH290,AQ290)&gt;1,AK290&gt;Лист1!$B$20,N290="-"),999999999,Y290*Лист1!$B$7+0.0001*O290)</f>
        <v>999999999</v>
      </c>
      <c r="AX290" s="174">
        <f>IF(OR(MAX(AH290,AT290)&gt;1,AN290&gt;Лист1!$B$20,N290="-"),999999999,Y290*Лист1!$B$7+0.0001*O290)</f>
        <v>999999999</v>
      </c>
    </row>
    <row r="291" spans="14:50" ht="16.5" thickBot="1" x14ac:dyDescent="0.3">
      <c r="O291">
        <f t="shared" si="14"/>
        <v>288</v>
      </c>
      <c r="P291" s="227" t="s">
        <v>297</v>
      </c>
      <c r="Q291" s="227">
        <v>240</v>
      </c>
      <c r="R291" s="154" t="s">
        <v>368</v>
      </c>
      <c r="S291" s="148">
        <v>160</v>
      </c>
      <c r="T291" s="148">
        <v>160</v>
      </c>
      <c r="U291" s="24"/>
      <c r="V291" s="24"/>
      <c r="W291" s="24"/>
      <c r="X291" s="148">
        <v>18.5</v>
      </c>
      <c r="Y291" s="149">
        <v>14.5</v>
      </c>
      <c r="Z291" s="152">
        <v>206.9</v>
      </c>
      <c r="AA291" s="150">
        <v>51.7</v>
      </c>
      <c r="AC291" s="151">
        <v>5.73</v>
      </c>
      <c r="AD291" s="149">
        <v>606.70000000000005</v>
      </c>
      <c r="AE291" s="150">
        <v>75.8</v>
      </c>
      <c r="AF291" s="153">
        <v>3.34</v>
      </c>
      <c r="AH291" s="174">
        <f t="shared" si="15"/>
        <v>0.89820359281437134</v>
      </c>
      <c r="AI291" s="174"/>
      <c r="AJ291" s="186"/>
      <c r="AK291" s="174">
        <f>(($AK$2+Y291*Лист1!$B$7^2*Лист1!$G$8/100)/(AA291/10^6)+$AK$3/(AE291/10^6))/1000/($Q291*IF(Лист1!$J$19="да",1/1.05,1))</f>
        <v>0.47811355812243683</v>
      </c>
      <c r="AL291" s="24"/>
      <c r="AM291" s="186"/>
      <c r="AN291" s="174">
        <f>(($AK$2+Y291*Лист1!$B$7^2*Лист1!$G$8/100)/(AA291/10^6)+$AK$3/(AE291/10^6))/1000/($Q291*IF(Лист1!$J$19="да",1/1.05,1))</f>
        <v>0.47811355812243683</v>
      </c>
      <c r="AO291" s="24"/>
      <c r="AP291" s="186"/>
      <c r="AQ291" s="174">
        <f>MAX((5/384*($AQ$2+$Y291/100)*$D$17^4/(2.06*10^8*$Z291/10^8))/($D$17/300)*INDEX(Лист1!$L$34:$L$38,MATCH(Лист1!$B$8,Лист1!$I$34:$I$38,0),1),(5/384*($AQ$3)*$D$17^4/(2.06*10^8*$AD291/10^8))/($D$17/200))</f>
        <v>1.2966637651508399</v>
      </c>
      <c r="AR291" s="174"/>
      <c r="AS291" s="175"/>
      <c r="AT291" s="174">
        <f>MAX((5/384*($AT$2+$Y291/100)*$D$17^4/(2.06*10^8*$Z291/10^8))/($D$17/300)*INDEX(Лист1!$L$34:$L$38,MATCH(Лист1!$B$8,Лист1!$I$34:$I$38,0),1),(5/384*($AT$3)*$D$17^4/(2.06*10^8*$AD291/10^8))/($D$17/200))</f>
        <v>0.46521524398541581</v>
      </c>
      <c r="AU291" s="174"/>
      <c r="AV291" s="174">
        <f>IF(OR(MAX(AH291,AQ291)&gt;1,AK291&gt;Лист1!$B$20,N291="-"),999999999,Y291*Лист1!$B$7+0.0001*O291)</f>
        <v>999999999</v>
      </c>
      <c r="AX291" s="174">
        <f>IF(OR(MAX(AH291,AT291)&gt;1,AN291&gt;Лист1!$B$20,N291="-"),999999999,Y291*Лист1!$B$7+0.0001*O291)</f>
        <v>87.028800000000004</v>
      </c>
    </row>
    <row r="292" spans="14:50" ht="16.5" thickBot="1" x14ac:dyDescent="0.3">
      <c r="O292">
        <f t="shared" si="14"/>
        <v>289</v>
      </c>
      <c r="P292" s="227" t="s">
        <v>297</v>
      </c>
      <c r="Q292" s="227">
        <v>240</v>
      </c>
      <c r="R292" s="154" t="s">
        <v>369</v>
      </c>
      <c r="S292" s="148">
        <v>160</v>
      </c>
      <c r="T292" s="148">
        <v>160</v>
      </c>
      <c r="U292" s="24"/>
      <c r="V292" s="24"/>
      <c r="W292" s="24"/>
      <c r="X292" s="148">
        <v>22.9</v>
      </c>
      <c r="Y292" s="149">
        <v>18</v>
      </c>
      <c r="Z292" s="152">
        <v>248.7</v>
      </c>
      <c r="AA292" s="150">
        <v>62.2</v>
      </c>
      <c r="AC292" s="151">
        <v>5.67</v>
      </c>
      <c r="AD292" s="149">
        <v>735.9</v>
      </c>
      <c r="AE292" s="150">
        <v>92</v>
      </c>
      <c r="AF292" s="153">
        <v>3.29</v>
      </c>
      <c r="AH292" s="174">
        <f t="shared" si="15"/>
        <v>0.91185410334346495</v>
      </c>
      <c r="AI292" s="174"/>
      <c r="AJ292" s="186"/>
      <c r="AK292" s="174">
        <f>(($AK$2+Y292*Лист1!$B$7^2*Лист1!$G$8/100)/(AA292/10^6)+$AK$3/(AE292/10^6))/1000/($Q292*IF(Лист1!$J$19="да",1/1.05,1))</f>
        <v>0.40621903434176654</v>
      </c>
      <c r="AL292" s="24"/>
      <c r="AM292" s="186"/>
      <c r="AN292" s="174">
        <f>(($AK$2+Y292*Лист1!$B$7^2*Лист1!$G$8/100)/(AA292/10^6)+$AK$3/(AE292/10^6))/1000/($Q292*IF(Лист1!$J$19="да",1/1.05,1))</f>
        <v>0.40621903434176654</v>
      </c>
      <c r="AO292" s="24"/>
      <c r="AP292" s="186"/>
      <c r="AQ292" s="174">
        <f>MAX((5/384*($AQ$2+$Y292/100)*$D$17^4/(2.06*10^8*$Z292/10^8))/($D$17/300)*INDEX(Лист1!$L$34:$L$38,MATCH(Лист1!$B$8,Лист1!$I$34:$I$38,0),1),(5/384*($AQ$3)*$D$17^4/(2.06*10^8*$AD292/10^8))/($D$17/200))</f>
        <v>1.1363702905594528</v>
      </c>
      <c r="AR292" s="174"/>
      <c r="AS292" s="175"/>
      <c r="AT292" s="174">
        <f>MAX((5/384*($AT$2+$Y292/100)*$D$17^4/(2.06*10^8*$Z292/10^8))/($D$17/300)*INDEX(Лист1!$L$34:$L$38,MATCH(Лист1!$B$8,Лист1!$I$34:$I$38,0),1),(5/384*($AT$3)*$D$17^4/(2.06*10^8*$AD292/10^8))/($D$17/200))</f>
        <v>0.44466663543630763</v>
      </c>
      <c r="AU292" s="174"/>
      <c r="AV292" s="174">
        <f>IF(OR(MAX(AH292,AQ292)&gt;1,AK292&gt;Лист1!$B$20,N292="-"),999999999,Y292*Лист1!$B$7+0.0001*O292)</f>
        <v>999999999</v>
      </c>
      <c r="AX292" s="174">
        <f>IF(OR(MAX(AH292,AT292)&gt;1,AN292&gt;Лист1!$B$20,N292="-"),999999999,Y292*Лист1!$B$7+0.0001*O292)</f>
        <v>108.02889999999999</v>
      </c>
    </row>
    <row r="293" spans="14:50" ht="16.5" thickBot="1" x14ac:dyDescent="0.3">
      <c r="O293">
        <f t="shared" si="14"/>
        <v>290</v>
      </c>
      <c r="P293" s="227" t="s">
        <v>297</v>
      </c>
      <c r="Q293" s="227">
        <v>240</v>
      </c>
      <c r="R293" s="154" t="s">
        <v>370</v>
      </c>
      <c r="S293" s="148">
        <v>160</v>
      </c>
      <c r="T293" s="148">
        <v>160</v>
      </c>
      <c r="U293" s="24"/>
      <c r="V293" s="24"/>
      <c r="W293" s="24"/>
      <c r="X293" s="148">
        <v>27.4</v>
      </c>
      <c r="Y293" s="149">
        <v>21.5</v>
      </c>
      <c r="Z293" s="152">
        <v>280.7</v>
      </c>
      <c r="AA293" s="150">
        <v>72.7</v>
      </c>
      <c r="AC293" s="151">
        <v>5.62</v>
      </c>
      <c r="AD293" s="149">
        <v>864.7</v>
      </c>
      <c r="AE293" s="150">
        <v>108.1</v>
      </c>
      <c r="AF293" s="153">
        <v>3.26</v>
      </c>
      <c r="AH293" s="174">
        <f t="shared" si="15"/>
        <v>0.92024539877300626</v>
      </c>
      <c r="AI293" s="174"/>
      <c r="AJ293" s="186"/>
      <c r="AK293" s="174">
        <f>(($AK$2+Y293*Лист1!$B$7^2*Лист1!$G$8/100)/(AA293/10^6)+$AK$3/(AE293/10^6))/1000/($Q293*IF(Лист1!$J$19="да",1/1.05,1))</f>
        <v>0.35569075208661771</v>
      </c>
      <c r="AL293" s="24"/>
      <c r="AM293" s="186"/>
      <c r="AN293" s="174">
        <f>(($AK$2+Y293*Лист1!$B$7^2*Лист1!$G$8/100)/(AA293/10^6)+$AK$3/(AE293/10^6))/1000/($Q293*IF(Лист1!$J$19="да",1/1.05,1))</f>
        <v>0.35569075208661771</v>
      </c>
      <c r="AO293" s="24"/>
      <c r="AP293" s="186"/>
      <c r="AQ293" s="174">
        <f>MAX((5/384*($AQ$2+$Y293/100)*$D$17^4/(2.06*10^8*$Z293/10^8))/($D$17/300)*INDEX(Лист1!$L$34:$L$38,MATCH(Лист1!$B$8,Лист1!$I$34:$I$38,0),1),(5/384*($AQ$3)*$D$17^4/(2.06*10^8*$AD293/10^8))/($D$17/200))</f>
        <v>1.0578940132332137</v>
      </c>
      <c r="AR293" s="174"/>
      <c r="AS293" s="175"/>
      <c r="AT293" s="174">
        <f>MAX((5/384*($AT$2+$Y293/100)*$D$17^4/(2.06*10^8*$Z293/10^8))/($D$17/300)*INDEX(Лист1!$L$34:$L$38,MATCH(Лист1!$B$8,Лист1!$I$34:$I$38,0),1),(5/384*($AT$3)*$D$17^4/(2.06*10^8*$AD293/10^8))/($D$17/200))</f>
        <v>0.44504506763604162</v>
      </c>
      <c r="AU293" s="174"/>
      <c r="AV293" s="174">
        <f>IF(OR(MAX(AH293,AQ293)&gt;1,AK293&gt;Лист1!$B$20,N293="-"),999999999,Y293*Лист1!$B$7+0.0001*O293)</f>
        <v>999999999</v>
      </c>
      <c r="AX293" s="174">
        <f>IF(OR(MAX(AH293,AT293)&gt;1,AN293&gt;Лист1!$B$20,N293="-"),999999999,Y293*Лист1!$B$7+0.0001*O293)</f>
        <v>129.029</v>
      </c>
    </row>
    <row r="294" spans="14:50" ht="16.5" thickBot="1" x14ac:dyDescent="0.3">
      <c r="O294">
        <f t="shared" si="14"/>
        <v>291</v>
      </c>
      <c r="P294" s="227" t="s">
        <v>297</v>
      </c>
      <c r="Q294" s="227">
        <v>240</v>
      </c>
      <c r="R294" s="154" t="s">
        <v>371</v>
      </c>
      <c r="S294" s="148">
        <v>160</v>
      </c>
      <c r="T294" s="148">
        <v>160</v>
      </c>
      <c r="U294" s="24"/>
      <c r="V294" s="24"/>
      <c r="W294" s="24"/>
      <c r="X294" s="148">
        <v>21.6</v>
      </c>
      <c r="Y294" s="149">
        <v>17</v>
      </c>
      <c r="Z294" s="152">
        <v>514</v>
      </c>
      <c r="AA294" s="150">
        <v>85.7</v>
      </c>
      <c r="AC294" s="151">
        <v>6.08</v>
      </c>
      <c r="AD294" s="149">
        <v>799.2</v>
      </c>
      <c r="AE294" s="150">
        <v>99.9</v>
      </c>
      <c r="AF294" s="153">
        <v>4.88</v>
      </c>
      <c r="AH294" s="174">
        <f t="shared" si="15"/>
        <v>0.61475409836065575</v>
      </c>
      <c r="AI294" s="174"/>
      <c r="AJ294" s="186"/>
      <c r="AK294" s="174">
        <f>(($AK$2+Y294*Лист1!$B$7^2*Лист1!$G$8/100)/(AA294/10^6)+$AK$3/(AE294/10^6))/1000/($Q294*IF(Лист1!$J$19="да",1/1.05,1))</f>
        <v>0.33096739802504355</v>
      </c>
      <c r="AL294" s="24"/>
      <c r="AM294" s="186"/>
      <c r="AN294" s="174">
        <f>(($AK$2+Y294*Лист1!$B$7^2*Лист1!$G$8/100)/(AA294/10^6)+$AK$3/(AE294/10^6))/1000/($Q294*IF(Лист1!$J$19="да",1/1.05,1))</f>
        <v>0.33096739802504355</v>
      </c>
      <c r="AO294" s="24"/>
      <c r="AP294" s="186"/>
      <c r="AQ294" s="174">
        <f>MAX((5/384*($AQ$2+$Y294/100)*$D$17^4/(2.06*10^8*$Z294/10^8))/($D$17/300)*INDEX(Лист1!$L$34:$L$38,MATCH(Лист1!$B$8,Лист1!$I$34:$I$38,0),1),(5/384*($AQ$3)*$D$17^4/(2.06*10^8*$AD294/10^8))/($D$17/200))</f>
        <v>0.54186657096445179</v>
      </c>
      <c r="AR294" s="174"/>
      <c r="AS294" s="175"/>
      <c r="AT294" s="174">
        <f>MAX((5/384*($AT$2+$Y294/100)*$D$17^4/(2.06*10^8*$Z294/10^8))/($D$17/300)*INDEX(Лист1!$L$34:$L$38,MATCH(Лист1!$B$8,Лист1!$I$34:$I$38,0),1),(5/384*($AT$3)*$D$17^4/(2.06*10^8*$AD294/10^8))/($D$17/200))</f>
        <v>0.20718427713346685</v>
      </c>
      <c r="AU294" s="174"/>
      <c r="AV294" s="174">
        <f>IF(OR(MAX(AH294,AQ294)&gt;1,AK294&gt;Лист1!$B$20,N294="-"),999999999,Y294*Лист1!$B$7+0.0001*O294)</f>
        <v>102.0291</v>
      </c>
      <c r="AX294" s="174">
        <f>IF(OR(MAX(AH294,AT294)&gt;1,AN294&gt;Лист1!$B$20,N294="-"),999999999,Y294*Лист1!$B$7+0.0001*O294)</f>
        <v>102.0291</v>
      </c>
    </row>
    <row r="295" spans="14:50" ht="16.5" thickBot="1" x14ac:dyDescent="0.3">
      <c r="O295">
        <f t="shared" si="14"/>
        <v>292</v>
      </c>
      <c r="P295" s="227" t="s">
        <v>297</v>
      </c>
      <c r="Q295" s="227">
        <v>240</v>
      </c>
      <c r="R295" s="154" t="s">
        <v>372</v>
      </c>
      <c r="S295" s="148">
        <v>160</v>
      </c>
      <c r="T295" s="148">
        <v>160</v>
      </c>
      <c r="U295" s="24"/>
      <c r="V295" s="24"/>
      <c r="W295" s="24"/>
      <c r="X295" s="148">
        <v>26.9</v>
      </c>
      <c r="Y295" s="149">
        <v>21.1</v>
      </c>
      <c r="Z295" s="152">
        <v>628.4</v>
      </c>
      <c r="AA295" s="150">
        <v>104.7</v>
      </c>
      <c r="AC295" s="151">
        <v>6.03</v>
      </c>
      <c r="AD295" s="149">
        <v>978.2</v>
      </c>
      <c r="AE295" s="150">
        <v>122.3</v>
      </c>
      <c r="AF295" s="153">
        <v>4.83</v>
      </c>
      <c r="AH295" s="174">
        <f t="shared" si="15"/>
        <v>0.62111801242236031</v>
      </c>
      <c r="AI295" s="174"/>
      <c r="AJ295" s="186"/>
      <c r="AK295" s="174">
        <f>(($AK$2+Y295*Лист1!$B$7^2*Лист1!$G$8/100)/(AA295/10^6)+$AK$3/(AE295/10^6))/1000/($Q295*IF(Лист1!$J$19="да",1/1.05,1))</f>
        <v>0.27794402589570988</v>
      </c>
      <c r="AL295" s="24"/>
      <c r="AM295" s="186"/>
      <c r="AN295" s="174">
        <f>(($AK$2+Y295*Лист1!$B$7^2*Лист1!$G$8/100)/(AA295/10^6)+$AK$3/(AE295/10^6))/1000/($Q295*IF(Лист1!$J$19="да",1/1.05,1))</f>
        <v>0.27794402589570988</v>
      </c>
      <c r="AO295" s="24"/>
      <c r="AP295" s="186"/>
      <c r="AQ295" s="174">
        <f>MAX((5/384*($AQ$2+$Y295/100)*$D$17^4/(2.06*10^8*$Z295/10^8))/($D$17/300)*INDEX(Лист1!$L$34:$L$38,MATCH(Лист1!$B$8,Лист1!$I$34:$I$38,0),1),(5/384*($AQ$3)*$D$17^4/(2.06*10^8*$AD295/10^8))/($D$17/200))</f>
        <v>0.46994350732017842</v>
      </c>
      <c r="AR295" s="174"/>
      <c r="AS295" s="175"/>
      <c r="AT295" s="174">
        <f>MAX((5/384*($AT$2+$Y295/100)*$D$17^4/(2.06*10^8*$Z295/10^8))/($D$17/300)*INDEX(Лист1!$L$34:$L$38,MATCH(Лист1!$B$8,Лист1!$I$34:$I$38,0),1),(5/384*($AT$3)*$D$17^4/(2.06*10^8*$AD295/10^8))/($D$17/200))</f>
        <v>0.19619000791036575</v>
      </c>
      <c r="AU295" s="174"/>
      <c r="AV295" s="174">
        <f>IF(OR(MAX(AH295,AQ295)&gt;1,AK295&gt;Лист1!$B$20,N295="-"),999999999,Y295*Лист1!$B$7+0.0001*O295)</f>
        <v>126.62920000000001</v>
      </c>
      <c r="AX295" s="174">
        <f>IF(OR(MAX(AH295,AT295)&gt;1,AN295&gt;Лист1!$B$20,N295="-"),999999999,Y295*Лист1!$B$7+0.0001*O295)</f>
        <v>126.62920000000001</v>
      </c>
    </row>
    <row r="296" spans="14:50" ht="16.5" thickBot="1" x14ac:dyDescent="0.3">
      <c r="O296">
        <f t="shared" si="14"/>
        <v>293</v>
      </c>
      <c r="P296" s="227" t="s">
        <v>297</v>
      </c>
      <c r="Q296" s="227">
        <v>240</v>
      </c>
      <c r="R296" s="154" t="s">
        <v>373</v>
      </c>
      <c r="S296" s="148">
        <v>160</v>
      </c>
      <c r="T296" s="148">
        <v>160</v>
      </c>
      <c r="U296" s="24"/>
      <c r="V296" s="24"/>
      <c r="W296" s="24"/>
      <c r="X296" s="148">
        <v>32.1</v>
      </c>
      <c r="Y296" s="149">
        <v>25.2</v>
      </c>
      <c r="Z296" s="152">
        <v>736.9</v>
      </c>
      <c r="AA296" s="150">
        <v>122.8</v>
      </c>
      <c r="AC296" s="151">
        <v>5.99</v>
      </c>
      <c r="AD296" s="149">
        <v>1150.5</v>
      </c>
      <c r="AE296" s="150">
        <v>143.80000000000001</v>
      </c>
      <c r="AF296" s="153">
        <v>4.79</v>
      </c>
      <c r="AH296" s="174">
        <f t="shared" si="15"/>
        <v>0.62630480167014613</v>
      </c>
      <c r="AI296" s="174"/>
      <c r="AJ296" s="186"/>
      <c r="AK296" s="174">
        <f>(($AK$2+Y296*Лист1!$B$7^2*Лист1!$G$8/100)/(AA296/10^6)+$AK$3/(AE296/10^6))/1000/($Q296*IF(Лист1!$J$19="да",1/1.05,1))</f>
        <v>0.24292379048815285</v>
      </c>
      <c r="AL296" s="24"/>
      <c r="AM296" s="186"/>
      <c r="AN296" s="174">
        <f>(($AK$2+Y296*Лист1!$B$7^2*Лист1!$G$8/100)/(AA296/10^6)+$AK$3/(AE296/10^6))/1000/($Q296*IF(Лист1!$J$19="да",1/1.05,1))</f>
        <v>0.24292379048815285</v>
      </c>
      <c r="AO296" s="24"/>
      <c r="AP296" s="186"/>
      <c r="AQ296" s="174">
        <f>MAX((5/384*($AQ$2+$Y296/100)*$D$17^4/(2.06*10^8*$Z296/10^8))/($D$17/300)*INDEX(Лист1!$L$34:$L$38,MATCH(Лист1!$B$8,Лист1!$I$34:$I$38,0),1),(5/384*($AQ$3)*$D$17^4/(2.06*10^8*$AD296/10^8))/($D$17/200))</f>
        <v>0.42353858396562882</v>
      </c>
      <c r="AR296" s="174"/>
      <c r="AS296" s="175"/>
      <c r="AT296" s="174">
        <f>MAX((5/384*($AT$2+$Y296/100)*$D$17^4/(2.06*10^8*$Z296/10^8))/($D$17/300)*INDEX(Лист1!$L$34:$L$38,MATCH(Лист1!$B$8,Лист1!$I$34:$I$38,0),1),(5/384*($AT$3)*$D$17^4/(2.06*10^8*$AD296/10^8))/($D$17/200))</f>
        <v>0.19009212036252629</v>
      </c>
      <c r="AU296" s="174"/>
      <c r="AV296" s="174">
        <f>IF(OR(MAX(AH296,AQ296)&gt;1,AK296&gt;Лист1!$B$20,N296="-"),999999999,Y296*Лист1!$B$7+0.0001*O296)</f>
        <v>151.22929999999999</v>
      </c>
      <c r="AX296" s="174">
        <f>IF(OR(MAX(AH296,AT296)&gt;1,AN296&gt;Лист1!$B$20,N296="-"),999999999,Y296*Лист1!$B$7+0.0001*O296)</f>
        <v>151.22929999999999</v>
      </c>
    </row>
    <row r="297" spans="14:50" ht="16.5" thickBot="1" x14ac:dyDescent="0.3">
      <c r="O297">
        <f t="shared" si="14"/>
        <v>294</v>
      </c>
      <c r="P297" s="227" t="s">
        <v>297</v>
      </c>
      <c r="Q297" s="227">
        <v>240</v>
      </c>
      <c r="R297" s="154" t="s">
        <v>374</v>
      </c>
      <c r="S297" s="148">
        <v>160</v>
      </c>
      <c r="T297" s="148">
        <v>160</v>
      </c>
      <c r="U297" s="24"/>
      <c r="V297" s="24"/>
      <c r="W297" s="24"/>
      <c r="X297" s="148">
        <v>37.200000000000003</v>
      </c>
      <c r="Y297" s="149">
        <v>29.2</v>
      </c>
      <c r="Z297" s="152">
        <v>836.6</v>
      </c>
      <c r="AA297" s="150">
        <v>139.4</v>
      </c>
      <c r="AC297" s="151">
        <v>5.93</v>
      </c>
      <c r="AD297" s="149">
        <v>1307.4000000000001</v>
      </c>
      <c r="AE297" s="150">
        <v>163.4</v>
      </c>
      <c r="AF297" s="153">
        <v>4.74</v>
      </c>
      <c r="AH297" s="174">
        <f t="shared" si="15"/>
        <v>0.63291139240506322</v>
      </c>
      <c r="AI297" s="174"/>
      <c r="AJ297" s="186"/>
      <c r="AK297" s="174">
        <f>(($AK$2+Y297*Лист1!$B$7^2*Лист1!$G$8/100)/(AA297/10^6)+$AK$3/(AE297/10^6))/1000/($Q297*IF(Лист1!$J$19="да",1/1.05,1))</f>
        <v>0.2192669628697394</v>
      </c>
      <c r="AL297" s="24"/>
      <c r="AM297" s="186"/>
      <c r="AN297" s="174">
        <f>(($AK$2+Y297*Лист1!$B$7^2*Лист1!$G$8/100)/(AA297/10^6)+$AK$3/(AE297/10^6))/1000/($Q297*IF(Лист1!$J$19="да",1/1.05,1))</f>
        <v>0.2192669628697394</v>
      </c>
      <c r="AO297" s="24"/>
      <c r="AP297" s="186"/>
      <c r="AQ297" s="174">
        <f>MAX((5/384*($AQ$2+$Y297/100)*$D$17^4/(2.06*10^8*$Z297/10^8))/($D$17/300)*INDEX(Лист1!$L$34:$L$38,MATCH(Лист1!$B$8,Лист1!$I$34:$I$38,0),1),(5/384*($AQ$3)*$D$17^4/(2.06*10^8*$AD297/10^8))/($D$17/200))</f>
        <v>0.39264771416435928</v>
      </c>
      <c r="AR297" s="174"/>
      <c r="AS297" s="175"/>
      <c r="AT297" s="174">
        <f>MAX((5/384*($AT$2+$Y297/100)*$D$17^4/(2.06*10^8*$Z297/10^8))/($D$17/300)*INDEX(Лист1!$L$34:$L$38,MATCH(Лист1!$B$8,Лист1!$I$34:$I$38,0),1),(5/384*($AT$3)*$D$17^4/(2.06*10^8*$AD297/10^8))/($D$17/200))</f>
        <v>0.18702172919050528</v>
      </c>
      <c r="AU297" s="174"/>
      <c r="AV297" s="174">
        <f>IF(OR(MAX(AH297,AQ297)&gt;1,AK297&gt;Лист1!$B$20,N297="-"),999999999,Y297*Лист1!$B$7+0.0001*O297)</f>
        <v>175.2294</v>
      </c>
      <c r="AX297" s="174">
        <f>IF(OR(MAX(AH297,AT297)&gt;1,AN297&gt;Лист1!$B$20,N297="-"),999999999,Y297*Лист1!$B$7+0.0001*O297)</f>
        <v>175.2294</v>
      </c>
    </row>
    <row r="298" spans="14:50" ht="16.5" thickBot="1" x14ac:dyDescent="0.3">
      <c r="O298">
        <f t="shared" si="14"/>
        <v>295</v>
      </c>
      <c r="P298" s="227" t="s">
        <v>297</v>
      </c>
      <c r="Q298" s="227">
        <v>240</v>
      </c>
      <c r="R298" s="154" t="s">
        <v>375</v>
      </c>
      <c r="S298" s="148">
        <v>160</v>
      </c>
      <c r="T298" s="148">
        <v>160</v>
      </c>
      <c r="U298" s="24"/>
      <c r="V298" s="24"/>
      <c r="W298" s="24"/>
      <c r="X298" s="148">
        <v>42.3</v>
      </c>
      <c r="Y298" s="149">
        <v>33.200000000000003</v>
      </c>
      <c r="Z298" s="152">
        <v>932.5</v>
      </c>
      <c r="AA298" s="150">
        <v>155.4</v>
      </c>
      <c r="AC298" s="151">
        <v>5.88</v>
      </c>
      <c r="AD298" s="149">
        <v>1461</v>
      </c>
      <c r="AE298" s="150">
        <v>182.6</v>
      </c>
      <c r="AF298" s="153">
        <v>4.6900000000000004</v>
      </c>
      <c r="AH298" s="174">
        <f t="shared" si="15"/>
        <v>0.63965884861407252</v>
      </c>
      <c r="AI298" s="174"/>
      <c r="AJ298" s="186"/>
      <c r="AK298" s="174">
        <f>(($AK$2+Y298*Лист1!$B$7^2*Лист1!$G$8/100)/(AA298/10^6)+$AK$3/(AE298/10^6))/1000/($Q298*IF(Лист1!$J$19="да",1/1.05,1))</f>
        <v>0.20127553087949387</v>
      </c>
      <c r="AL298" s="24"/>
      <c r="AM298" s="186"/>
      <c r="AN298" s="174">
        <f>(($AK$2+Y298*Лист1!$B$7^2*Лист1!$G$8/100)/(AA298/10^6)+$AK$3/(AE298/10^6))/1000/($Q298*IF(Лист1!$J$19="да",1/1.05,1))</f>
        <v>0.20127553087949387</v>
      </c>
      <c r="AO298" s="24"/>
      <c r="AP298" s="186"/>
      <c r="AQ298" s="174">
        <f>MAX((5/384*($AQ$2+$Y298/100)*$D$17^4/(2.06*10^8*$Z298/10^8))/($D$17/300)*INDEX(Лист1!$L$34:$L$38,MATCH(Лист1!$B$8,Лист1!$I$34:$I$38,0),1),(5/384*($AQ$3)*$D$17^4/(2.06*10^8*$AD298/10^8))/($D$17/200))</f>
        <v>0.36983653921236892</v>
      </c>
      <c r="AR298" s="174"/>
      <c r="AS298" s="175"/>
      <c r="AT298" s="174">
        <f>MAX((5/384*($AT$2+$Y298/100)*$D$17^4/(2.06*10^8*$Z298/10^8))/($D$17/300)*INDEX(Лист1!$L$34:$L$38,MATCH(Лист1!$B$8,Лист1!$I$34:$I$38,0),1),(5/384*($AT$3)*$D$17^4/(2.06*10^8*$AD298/10^8))/($D$17/200))</f>
        <v>0.18535750540097351</v>
      </c>
      <c r="AU298" s="174"/>
      <c r="AV298" s="174">
        <f>IF(OR(MAX(AH298,AQ298)&gt;1,AK298&gt;Лист1!$B$20,N298="-"),999999999,Y298*Лист1!$B$7+0.0001*O298)</f>
        <v>199.22950000000003</v>
      </c>
      <c r="AX298" s="174">
        <f>IF(OR(MAX(AH298,AT298)&gt;1,AN298&gt;Лист1!$B$20,N298="-"),999999999,Y298*Лист1!$B$7+0.0001*O298)</f>
        <v>199.22950000000003</v>
      </c>
    </row>
    <row r="299" spans="14:50" ht="16.5" thickBot="1" x14ac:dyDescent="0.3">
      <c r="N299" t="s">
        <v>344</v>
      </c>
      <c r="O299">
        <f t="shared" si="14"/>
        <v>296</v>
      </c>
      <c r="P299" s="227" t="s">
        <v>297</v>
      </c>
      <c r="Q299" s="227">
        <v>240</v>
      </c>
      <c r="R299" s="154" t="s">
        <v>376</v>
      </c>
      <c r="S299" s="148">
        <v>180</v>
      </c>
      <c r="T299" s="148">
        <v>180</v>
      </c>
      <c r="U299" s="24"/>
      <c r="V299" s="24"/>
      <c r="W299" s="24"/>
      <c r="X299" s="148">
        <v>22.9</v>
      </c>
      <c r="Y299" s="149">
        <v>18</v>
      </c>
      <c r="Z299" s="152">
        <v>144.69999999999999</v>
      </c>
      <c r="AA299" s="150">
        <v>48.2</v>
      </c>
      <c r="AC299" s="151">
        <v>6.03</v>
      </c>
      <c r="AD299" s="149">
        <v>833.8</v>
      </c>
      <c r="AE299" s="150">
        <v>92.6</v>
      </c>
      <c r="AF299" s="153">
        <v>2.5099999999999998</v>
      </c>
      <c r="AH299" s="174">
        <f t="shared" si="15"/>
        <v>1.1952191235059761</v>
      </c>
      <c r="AI299" s="174"/>
      <c r="AJ299" s="186"/>
      <c r="AK299" s="174">
        <f>(($AK$2+Y299*Лист1!$B$7^2*Лист1!$G$8/100)/(AA299/10^6)+$AK$3/(AE299/10^6))/1000/($Q299*IF(Лист1!$J$19="да",1/1.05,1))</f>
        <v>0.46588620066209663</v>
      </c>
      <c r="AL299" s="24"/>
      <c r="AM299" s="186"/>
      <c r="AN299" s="174">
        <f>(($AK$2+Y299*Лист1!$B$7^2*Лист1!$G$8/100)/(AA299/10^6)+$AK$3/(AE299/10^6))/1000/($Q299*IF(Лист1!$J$19="да",1/1.05,1))</f>
        <v>0.46588620066209663</v>
      </c>
      <c r="AO299" s="24"/>
      <c r="AP299" s="186"/>
      <c r="AQ299" s="174">
        <f>MAX((5/384*($AQ$2+$Y299/100)*$D$17^4/(2.06*10^8*$Z299/10^8))/($D$17/300)*INDEX(Лист1!$L$34:$L$38,MATCH(Лист1!$B$8,Лист1!$I$34:$I$38,0),1),(5/384*($AQ$3)*$D$17^4/(2.06*10^8*$AD299/10^8))/($D$17/200))</f>
        <v>1.9531118953844917</v>
      </c>
      <c r="AR299" s="174"/>
      <c r="AS299" s="175"/>
      <c r="AT299" s="174">
        <f>MAX((5/384*($AT$2+$Y299/100)*$D$17^4/(2.06*10^8*$Z299/10^8))/($D$17/300)*INDEX(Лист1!$L$34:$L$38,MATCH(Лист1!$B$8,Лист1!$I$34:$I$38,0),1),(5/384*($AT$3)*$D$17^4/(2.06*10^8*$AD299/10^8))/($D$17/200))</f>
        <v>0.76426117645480118</v>
      </c>
      <c r="AU299" s="174"/>
      <c r="AV299" s="174">
        <f>IF(OR(MAX(AH299,AQ299)&gt;1,AK299&gt;Лист1!$B$20,N299="-"),999999999,Y299*Лист1!$B$7+0.0001*O299)</f>
        <v>999999999</v>
      </c>
      <c r="AX299" s="174">
        <f>IF(OR(MAX(AH299,AT299)&gt;1,AN299&gt;Лист1!$B$20,N299="-"),999999999,Y299*Лист1!$B$7+0.0001*O299)</f>
        <v>999999999</v>
      </c>
    </row>
    <row r="300" spans="14:50" ht="16.5" thickBot="1" x14ac:dyDescent="0.3">
      <c r="N300" t="s">
        <v>344</v>
      </c>
      <c r="O300">
        <f t="shared" si="14"/>
        <v>297</v>
      </c>
      <c r="P300" s="227" t="s">
        <v>297</v>
      </c>
      <c r="Q300" s="227">
        <v>240</v>
      </c>
      <c r="R300" s="154" t="s">
        <v>377</v>
      </c>
      <c r="S300" s="148">
        <v>180</v>
      </c>
      <c r="T300" s="148">
        <v>180</v>
      </c>
      <c r="U300" s="24"/>
      <c r="V300" s="24"/>
      <c r="W300" s="24"/>
      <c r="X300" s="148">
        <v>27.4</v>
      </c>
      <c r="Y300" s="149">
        <v>21.5</v>
      </c>
      <c r="Z300" s="152">
        <v>166.5</v>
      </c>
      <c r="AA300" s="150">
        <v>55.5</v>
      </c>
      <c r="AC300" s="151">
        <v>5.97</v>
      </c>
      <c r="AD300" s="149">
        <v>978.5</v>
      </c>
      <c r="AE300" s="150">
        <v>108.7</v>
      </c>
      <c r="AF300" s="153">
        <v>2.46</v>
      </c>
      <c r="AH300" s="174">
        <f t="shared" si="15"/>
        <v>1.2195121951219512</v>
      </c>
      <c r="AI300" s="174"/>
      <c r="AJ300" s="186"/>
      <c r="AK300" s="174">
        <f>(($AK$2+Y300*Лист1!$B$7^2*Лист1!$G$8/100)/(AA300/10^6)+$AK$3/(AE300/10^6))/1000/($Q300*IF(Лист1!$J$19="да",1/1.05,1))</f>
        <v>0.41319589327347978</v>
      </c>
      <c r="AL300" s="24"/>
      <c r="AM300" s="186"/>
      <c r="AN300" s="174">
        <f>(($AK$2+Y300*Лист1!$B$7^2*Лист1!$G$8/100)/(AA300/10^6)+$AK$3/(AE300/10^6))/1000/($Q300*IF(Лист1!$J$19="да",1/1.05,1))</f>
        <v>0.41319589327347978</v>
      </c>
      <c r="AO300" s="24"/>
      <c r="AP300" s="186"/>
      <c r="AQ300" s="174">
        <f>MAX((5/384*($AQ$2+$Y300/100)*$D$17^4/(2.06*10^8*$Z300/10^8))/($D$17/300)*INDEX(Лист1!$L$34:$L$38,MATCH(Лист1!$B$8,Лист1!$I$34:$I$38,0),1),(5/384*($AQ$3)*$D$17^4/(2.06*10^8*$AD300/10^8))/($D$17/200))</f>
        <v>1.7834885856730518</v>
      </c>
      <c r="AR300" s="174"/>
      <c r="AS300" s="175"/>
      <c r="AT300" s="174">
        <f>MAX((5/384*($AT$2+$Y300/100)*$D$17^4/(2.06*10^8*$Z300/10^8))/($D$17/300)*INDEX(Лист1!$L$34:$L$38,MATCH(Лист1!$B$8,Лист1!$I$34:$I$38,0),1),(5/384*($AT$3)*$D$17^4/(2.06*10^8*$AD300/10^8))/($D$17/200))</f>
        <v>0.75029519811073198</v>
      </c>
      <c r="AU300" s="174"/>
      <c r="AV300" s="174">
        <f>IF(OR(MAX(AH300,AQ300)&gt;1,AK300&gt;Лист1!$B$20,N300="-"),999999999,Y300*Лист1!$B$7+0.0001*O300)</f>
        <v>999999999</v>
      </c>
      <c r="AX300" s="174">
        <f>IF(OR(MAX(AH300,AT300)&gt;1,AN300&gt;Лист1!$B$20,N300="-"),999999999,Y300*Лист1!$B$7+0.0001*O300)</f>
        <v>999999999</v>
      </c>
    </row>
    <row r="301" spans="14:50" ht="16.5" thickBot="1" x14ac:dyDescent="0.3">
      <c r="O301">
        <f t="shared" si="14"/>
        <v>298</v>
      </c>
      <c r="P301" s="227" t="s">
        <v>297</v>
      </c>
      <c r="Q301" s="227">
        <v>240</v>
      </c>
      <c r="R301" s="154" t="s">
        <v>378</v>
      </c>
      <c r="S301" s="148">
        <v>180</v>
      </c>
      <c r="T301" s="148">
        <v>180</v>
      </c>
      <c r="U301" s="24"/>
      <c r="V301" s="24"/>
      <c r="W301" s="24"/>
      <c r="X301" s="148">
        <v>26.9</v>
      </c>
      <c r="Y301" s="149">
        <v>21.1</v>
      </c>
      <c r="Z301" s="152">
        <v>459.6</v>
      </c>
      <c r="AA301" s="150">
        <v>91.9</v>
      </c>
      <c r="AC301" s="151">
        <v>6.52</v>
      </c>
      <c r="AD301" s="149">
        <v>1143</v>
      </c>
      <c r="AE301" s="150">
        <v>127</v>
      </c>
      <c r="AF301" s="153">
        <v>4.13</v>
      </c>
      <c r="AH301" s="174">
        <f t="shared" si="15"/>
        <v>0.72639225181598066</v>
      </c>
      <c r="AI301" s="174"/>
      <c r="AJ301" s="186"/>
      <c r="AK301" s="174">
        <f>(($AK$2+Y301*Лист1!$B$7^2*Лист1!$G$8/100)/(AA301/10^6)+$AK$3/(AE301/10^6))/1000/($Q301*IF(Лист1!$J$19="да",1/1.05,1))</f>
        <v>0.29060966581941766</v>
      </c>
      <c r="AL301" s="24"/>
      <c r="AM301" s="186"/>
      <c r="AN301" s="174">
        <f>(($AK$2+Y301*Лист1!$B$7^2*Лист1!$G$8/100)/(AA301/10^6)+$AK$3/(AE301/10^6))/1000/($Q301*IF(Лист1!$J$19="да",1/1.05,1))</f>
        <v>0.29060966581941766</v>
      </c>
      <c r="AO301" s="24"/>
      <c r="AP301" s="186"/>
      <c r="AQ301" s="174">
        <f>MAX((5/384*($AQ$2+$Y301/100)*$D$17^4/(2.06*10^8*$Z301/10^8))/($D$17/300)*INDEX(Лист1!$L$34:$L$38,MATCH(Лист1!$B$8,Лист1!$I$34:$I$38,0),1),(5/384*($AQ$3)*$D$17^4/(2.06*10^8*$AD301/10^8))/($D$17/200))</f>
        <v>0.64254242819843355</v>
      </c>
      <c r="AR301" s="174"/>
      <c r="AS301" s="175"/>
      <c r="AT301" s="174">
        <f>MAX((5/384*($AT$2+$Y301/100)*$D$17^4/(2.06*10^8*$Z301/10^8))/($D$17/300)*INDEX(Лист1!$L$34:$L$38,MATCH(Лист1!$B$8,Лист1!$I$34:$I$38,0),1),(5/384*($AT$3)*$D$17^4/(2.06*10^8*$AD301/10^8))/($D$17/200))</f>
        <v>0.26824586808284123</v>
      </c>
      <c r="AU301" s="174"/>
      <c r="AV301" s="174">
        <f>IF(OR(MAX(AH301,AQ301)&gt;1,AK301&gt;Лист1!$B$20,N301="-"),999999999,Y301*Лист1!$B$7+0.0001*O301)</f>
        <v>126.6298</v>
      </c>
      <c r="AX301" s="174">
        <f>IF(OR(MAX(AH301,AT301)&gt;1,AN301&gt;Лист1!$B$20,N301="-"),999999999,Y301*Лист1!$B$7+0.0001*O301)</f>
        <v>126.6298</v>
      </c>
    </row>
    <row r="302" spans="14:50" ht="16.5" thickBot="1" x14ac:dyDescent="0.3">
      <c r="O302">
        <f t="shared" si="14"/>
        <v>299</v>
      </c>
      <c r="P302" s="227" t="s">
        <v>297</v>
      </c>
      <c r="Q302" s="227">
        <v>240</v>
      </c>
      <c r="R302" s="154" t="s">
        <v>379</v>
      </c>
      <c r="S302" s="148">
        <v>180</v>
      </c>
      <c r="T302" s="148">
        <v>180</v>
      </c>
      <c r="U302" s="24"/>
      <c r="V302" s="24"/>
      <c r="W302" s="24"/>
      <c r="X302" s="148">
        <v>32.1</v>
      </c>
      <c r="Y302" s="149">
        <v>25.2</v>
      </c>
      <c r="Z302" s="152">
        <v>537.79999999999995</v>
      </c>
      <c r="AA302" s="150">
        <v>107.6</v>
      </c>
      <c r="AC302" s="151">
        <v>6.47</v>
      </c>
      <c r="AD302" s="149">
        <v>1344.4</v>
      </c>
      <c r="AE302" s="150">
        <v>149.4</v>
      </c>
      <c r="AF302" s="153">
        <v>4.09</v>
      </c>
      <c r="AH302" s="174">
        <f t="shared" si="15"/>
        <v>0.73349633251833735</v>
      </c>
      <c r="AI302" s="174"/>
      <c r="AJ302" s="186"/>
      <c r="AK302" s="174">
        <f>(($AK$2+Y302*Лист1!$B$7^2*Лист1!$G$8/100)/(AA302/10^6)+$AK$3/(AE302/10^6))/1000/($Q302*IF(Лист1!$J$19="да",1/1.05,1))</f>
        <v>0.25477879785939533</v>
      </c>
      <c r="AL302" s="24"/>
      <c r="AM302" s="186"/>
      <c r="AN302" s="174">
        <f>(($AK$2+Y302*Лист1!$B$7^2*Лист1!$G$8/100)/(AA302/10^6)+$AK$3/(AE302/10^6))/1000/($Q302*IF(Лист1!$J$19="да",1/1.05,1))</f>
        <v>0.25477879785939533</v>
      </c>
      <c r="AO302" s="24"/>
      <c r="AP302" s="186"/>
      <c r="AQ302" s="174">
        <f>MAX((5/384*($AQ$2+$Y302/100)*$D$17^4/(2.06*10^8*$Z302/10^8))/($D$17/300)*INDEX(Лист1!$L$34:$L$38,MATCH(Лист1!$B$8,Лист1!$I$34:$I$38,0),1),(5/384*($AQ$3)*$D$17^4/(2.06*10^8*$AD302/10^8))/($D$17/200))</f>
        <v>0.58033763950217898</v>
      </c>
      <c r="AR302" s="174"/>
      <c r="AS302" s="175"/>
      <c r="AT302" s="174">
        <f>MAX((5/384*($AT$2+$Y302/100)*$D$17^4/(2.06*10^8*$Z302/10^8))/($D$17/300)*INDEX(Лист1!$L$34:$L$38,MATCH(Лист1!$B$8,Лист1!$I$34:$I$38,0),1),(5/384*($AT$3)*$D$17^4/(2.06*10^8*$AD302/10^8))/($D$17/200))</f>
        <v>0.26046649961908819</v>
      </c>
      <c r="AU302" s="174"/>
      <c r="AV302" s="174">
        <f>IF(OR(MAX(AH302,AQ302)&gt;1,AK302&gt;Лист1!$B$20,N302="-"),999999999,Y302*Лист1!$B$7+0.0001*O302)</f>
        <v>151.22989999999999</v>
      </c>
      <c r="AX302" s="174">
        <f>IF(OR(MAX(AH302,AT302)&gt;1,AN302&gt;Лист1!$B$20,N302="-"),999999999,Y302*Лист1!$B$7+0.0001*O302)</f>
        <v>151.22989999999999</v>
      </c>
    </row>
    <row r="303" spans="14:50" ht="16.5" thickBot="1" x14ac:dyDescent="0.3">
      <c r="N303" t="s">
        <v>344</v>
      </c>
      <c r="O303">
        <f t="shared" si="14"/>
        <v>300</v>
      </c>
      <c r="P303" s="227" t="s">
        <v>297</v>
      </c>
      <c r="Q303" s="227">
        <v>240</v>
      </c>
      <c r="R303" s="154" t="s">
        <v>380</v>
      </c>
      <c r="S303" s="148">
        <v>180</v>
      </c>
      <c r="T303" s="148">
        <v>180</v>
      </c>
      <c r="U303" s="24"/>
      <c r="V303" s="24"/>
      <c r="W303" s="24"/>
      <c r="X303" s="148">
        <v>37.200000000000003</v>
      </c>
      <c r="Y303" s="149">
        <v>29.2</v>
      </c>
      <c r="Z303" s="152">
        <v>607.9</v>
      </c>
      <c r="AA303" s="150">
        <v>121.6</v>
      </c>
      <c r="AC303" s="151">
        <v>6.41</v>
      </c>
      <c r="AD303" s="149">
        <v>1527.9</v>
      </c>
      <c r="AE303" s="150">
        <v>169.8</v>
      </c>
      <c r="AF303" s="153">
        <v>4.04</v>
      </c>
      <c r="AH303" s="174">
        <f t="shared" si="15"/>
        <v>0.74257425742574257</v>
      </c>
      <c r="AI303" s="174"/>
      <c r="AJ303" s="186"/>
      <c r="AK303" s="174">
        <f>(($AK$2+Y303*Лист1!$B$7^2*Лист1!$G$8/100)/(AA303/10^6)+$AK$3/(AE303/10^6))/1000/($Q303*IF(Лист1!$J$19="да",1/1.05,1))</f>
        <v>0.23100754579880231</v>
      </c>
      <c r="AL303" s="24"/>
      <c r="AM303" s="186"/>
      <c r="AN303" s="174">
        <f>(($AK$2+Y303*Лист1!$B$7^2*Лист1!$G$8/100)/(AA303/10^6)+$AK$3/(AE303/10^6))/1000/($Q303*IF(Лист1!$J$19="да",1/1.05,1))</f>
        <v>0.23100754579880231</v>
      </c>
      <c r="AO303" s="24"/>
      <c r="AP303" s="186"/>
      <c r="AQ303" s="174">
        <f>MAX((5/384*($AQ$2+$Y303/100)*$D$17^4/(2.06*10^8*$Z303/10^8))/($D$17/300)*INDEX(Лист1!$L$34:$L$38,MATCH(Лист1!$B$8,Лист1!$I$34:$I$38,0),1),(5/384*($AQ$3)*$D$17^4/(2.06*10^8*$AD303/10^8))/($D$17/200))</f>
        <v>0.54036696441833032</v>
      </c>
      <c r="AR303" s="174"/>
      <c r="AS303" s="175"/>
      <c r="AT303" s="174">
        <f>MAX((5/384*($AT$2+$Y303/100)*$D$17^4/(2.06*10^8*$Z303/10^8))/($D$17/300)*INDEX(Лист1!$L$34:$L$38,MATCH(Лист1!$B$8,Лист1!$I$34:$I$38,0),1),(5/384*($AT$3)*$D$17^4/(2.06*10^8*$AD303/10^8))/($D$17/200))</f>
        <v>0.25738177108204757</v>
      </c>
      <c r="AU303" s="174"/>
      <c r="AV303" s="174">
        <f>IF(OR(MAX(AH303,AQ303)&gt;1,AK303&gt;Лист1!$B$20,N303="-"),999999999,Y303*Лист1!$B$7+0.0001*O303)</f>
        <v>999999999</v>
      </c>
      <c r="AX303" s="174">
        <f>IF(OR(MAX(AH303,AT303)&gt;1,AN303&gt;Лист1!$B$20,N303="-"),999999999,Y303*Лист1!$B$7+0.0001*O303)</f>
        <v>999999999</v>
      </c>
    </row>
    <row r="304" spans="14:50" ht="16.5" thickBot="1" x14ac:dyDescent="0.3">
      <c r="O304">
        <f t="shared" si="14"/>
        <v>301</v>
      </c>
      <c r="P304" s="227" t="s">
        <v>297</v>
      </c>
      <c r="Q304" s="227">
        <v>240</v>
      </c>
      <c r="R304" s="154" t="s">
        <v>381</v>
      </c>
      <c r="S304" s="148">
        <v>180</v>
      </c>
      <c r="T304" s="148">
        <v>180</v>
      </c>
      <c r="U304" s="24"/>
      <c r="V304" s="24"/>
      <c r="W304" s="24"/>
      <c r="X304" s="148">
        <v>42.3</v>
      </c>
      <c r="Y304" s="149">
        <v>33.200000000000003</v>
      </c>
      <c r="Z304" s="152">
        <v>676</v>
      </c>
      <c r="AA304" s="150">
        <v>135.19999999999999</v>
      </c>
      <c r="AC304" s="151">
        <v>6.35</v>
      </c>
      <c r="AD304" s="149">
        <v>1706.1</v>
      </c>
      <c r="AE304" s="150">
        <v>189.6</v>
      </c>
      <c r="AF304" s="153">
        <v>4</v>
      </c>
      <c r="AH304" s="174">
        <f t="shared" si="15"/>
        <v>0.75</v>
      </c>
      <c r="AI304" s="174"/>
      <c r="AJ304" s="186"/>
      <c r="AK304" s="174">
        <f>(($AK$2+Y304*Лист1!$B$7^2*Лист1!$G$8/100)/(AA304/10^6)+$AK$3/(AE304/10^6))/1000/($Q304*IF(Лист1!$J$19="да",1/1.05,1))</f>
        <v>0.21290893191813648</v>
      </c>
      <c r="AL304" s="24"/>
      <c r="AM304" s="186"/>
      <c r="AN304" s="174">
        <f>(($AK$2+Y304*Лист1!$B$7^2*Лист1!$G$8/100)/(AA304/10^6)+$AK$3/(AE304/10^6))/1000/($Q304*IF(Лист1!$J$19="да",1/1.05,1))</f>
        <v>0.21290893191813648</v>
      </c>
      <c r="AO304" s="24"/>
      <c r="AP304" s="186"/>
      <c r="AQ304" s="174">
        <f>MAX((5/384*($AQ$2+$Y304/100)*$D$17^4/(2.06*10^8*$Z304/10^8))/($D$17/300)*INDEX(Лист1!$L$34:$L$38,MATCH(Лист1!$B$8,Лист1!$I$34:$I$38,0),1),(5/384*($AQ$3)*$D$17^4/(2.06*10^8*$AD304/10^8))/($D$17/200))</f>
        <v>0.51016652783363026</v>
      </c>
      <c r="AR304" s="174"/>
      <c r="AS304" s="175"/>
      <c r="AT304" s="174">
        <f>MAX((5/384*($AT$2+$Y304/100)*$D$17^4/(2.06*10^8*$Z304/10^8))/($D$17/300)*INDEX(Лист1!$L$34:$L$38,MATCH(Лист1!$B$8,Лист1!$I$34:$I$38,0),1),(5/384*($AT$3)*$D$17^4/(2.06*10^8*$AD304/10^8))/($D$17/200))</f>
        <v>0.2556891624059287</v>
      </c>
      <c r="AU304" s="174"/>
      <c r="AV304" s="174">
        <f>IF(OR(MAX(AH304,AQ304)&gt;1,AK304&gt;Лист1!$B$20,N304="-"),999999999,Y304*Лист1!$B$7+0.0001*O304)</f>
        <v>199.23010000000002</v>
      </c>
      <c r="AX304" s="174">
        <f>IF(OR(MAX(AH304,AT304)&gt;1,AN304&gt;Лист1!$B$20,N304="-"),999999999,Y304*Лист1!$B$7+0.0001*O304)</f>
        <v>199.23010000000002</v>
      </c>
    </row>
    <row r="305" spans="14:50" ht="16.5" thickBot="1" x14ac:dyDescent="0.3">
      <c r="O305">
        <f t="shared" si="14"/>
        <v>302</v>
      </c>
      <c r="P305" s="227" t="s">
        <v>297</v>
      </c>
      <c r="Q305" s="227">
        <v>240</v>
      </c>
      <c r="R305" s="154" t="s">
        <v>382</v>
      </c>
      <c r="S305" s="148">
        <v>180</v>
      </c>
      <c r="T305" s="148">
        <v>180</v>
      </c>
      <c r="U305" s="24"/>
      <c r="V305" s="24"/>
      <c r="W305" s="24"/>
      <c r="X305" s="148">
        <v>24.6</v>
      </c>
      <c r="Y305" s="149">
        <v>19.3</v>
      </c>
      <c r="Z305" s="152">
        <v>782.4</v>
      </c>
      <c r="AA305" s="150">
        <v>111.8</v>
      </c>
      <c r="AC305" s="151">
        <v>6.91</v>
      </c>
      <c r="AD305" s="149">
        <v>1165</v>
      </c>
      <c r="AE305" s="150">
        <v>128.19999999999999</v>
      </c>
      <c r="AF305" s="153">
        <v>5.7</v>
      </c>
      <c r="AH305" s="174">
        <f t="shared" si="15"/>
        <v>0.52631578947368418</v>
      </c>
      <c r="AI305" s="174"/>
      <c r="AJ305" s="186"/>
      <c r="AK305" s="174">
        <f>(($AK$2+Y305*Лист1!$B$7^2*Лист1!$G$8/100)/(AA305/10^6)+$AK$3/(AE305/10^6))/1000/($Q305*IF(Лист1!$J$19="да",1/1.05,1))</f>
        <v>0.25985739032498217</v>
      </c>
      <c r="AL305" s="24"/>
      <c r="AM305" s="186"/>
      <c r="AN305" s="174">
        <f>(($AK$2+Y305*Лист1!$B$7^2*Лист1!$G$8/100)/(AA305/10^6)+$AK$3/(AE305/10^6))/1000/($Q305*IF(Лист1!$J$19="да",1/1.05,1))</f>
        <v>0.25985739032498217</v>
      </c>
      <c r="AO305" s="24"/>
      <c r="AP305" s="186"/>
      <c r="AQ305" s="174">
        <f>MAX((5/384*($AQ$2+$Y305/100)*$D$17^4/(2.06*10^8*$Z305/10^8))/($D$17/300)*INDEX(Лист1!$L$34:$L$38,MATCH(Лист1!$B$8,Лист1!$I$34:$I$38,0),1),(5/384*($AQ$3)*$D$17^4/(2.06*10^8*$AD305/10^8))/($D$17/200))</f>
        <v>0.36802137932574908</v>
      </c>
      <c r="AR305" s="174"/>
      <c r="AS305" s="175"/>
      <c r="AT305" s="174">
        <f>MAX((5/384*($AT$2+$Y305/100)*$D$17^4/(2.06*10^8*$Z305/10^8))/($D$17/300)*INDEX(Лист1!$L$34:$L$38,MATCH(Лист1!$B$8,Лист1!$I$34:$I$38,0),1),(5/384*($AT$3)*$D$17^4/(2.06*10^8*$AD305/10^8))/($D$17/200))</f>
        <v>0.1481508539817738</v>
      </c>
      <c r="AU305" s="174"/>
      <c r="AV305" s="174">
        <f>IF(OR(MAX(AH305,AQ305)&gt;1,AK305&gt;Лист1!$B$20,N305="-"),999999999,Y305*Лист1!$B$7+0.0001*O305)</f>
        <v>115.8302</v>
      </c>
      <c r="AX305" s="174">
        <f>IF(OR(MAX(AH305,AT305)&gt;1,AN305&gt;Лист1!$B$20,N305="-"),999999999,Y305*Лист1!$B$7+0.0001*O305)</f>
        <v>115.8302</v>
      </c>
    </row>
    <row r="306" spans="14:50" ht="16.5" thickBot="1" x14ac:dyDescent="0.3">
      <c r="O306">
        <f t="shared" si="14"/>
        <v>303</v>
      </c>
      <c r="P306" s="227" t="s">
        <v>297</v>
      </c>
      <c r="Q306" s="227">
        <v>240</v>
      </c>
      <c r="R306" s="154" t="s">
        <v>383</v>
      </c>
      <c r="S306" s="148">
        <v>180</v>
      </c>
      <c r="T306" s="148">
        <v>180</v>
      </c>
      <c r="U306" s="24"/>
      <c r="V306" s="24"/>
      <c r="W306" s="24"/>
      <c r="X306" s="148">
        <v>30.7</v>
      </c>
      <c r="Y306" s="149">
        <v>24.1</v>
      </c>
      <c r="Z306" s="152">
        <v>981.2</v>
      </c>
      <c r="AA306" s="150">
        <v>140.19999999999999</v>
      </c>
      <c r="AC306" s="151">
        <v>6.85</v>
      </c>
      <c r="AD306" s="149">
        <v>1443</v>
      </c>
      <c r="AE306" s="150">
        <v>160.30000000000001</v>
      </c>
      <c r="AF306" s="153">
        <v>5.65</v>
      </c>
      <c r="AH306" s="174">
        <f t="shared" si="15"/>
        <v>0.53097345132743357</v>
      </c>
      <c r="AI306" s="174"/>
      <c r="AJ306" s="186"/>
      <c r="AK306" s="174">
        <f>(($AK$2+Y306*Лист1!$B$7^2*Лист1!$G$8/100)/(AA306/10^6)+$AK$3/(AE306/10^6))/1000/($Q306*IF(Лист1!$J$19="да",1/1.05,1))</f>
        <v>0.21396481787682678</v>
      </c>
      <c r="AL306" s="24"/>
      <c r="AM306" s="186"/>
      <c r="AN306" s="174">
        <f>(($AK$2+Y306*Лист1!$B$7^2*Лист1!$G$8/100)/(AA306/10^6)+$AK$3/(AE306/10^6))/1000/($Q306*IF(Лист1!$J$19="да",1/1.05,1))</f>
        <v>0.21396481787682678</v>
      </c>
      <c r="AO306" s="24"/>
      <c r="AP306" s="186"/>
      <c r="AQ306" s="174">
        <f>MAX((5/384*($AQ$2+$Y306/100)*$D$17^4/(2.06*10^8*$Z306/10^8))/($D$17/300)*INDEX(Лист1!$L$34:$L$38,MATCH(Лист1!$B$8,Лист1!$I$34:$I$38,0),1),(5/384*($AQ$3)*$D$17^4/(2.06*10^8*$AD306/10^8))/($D$17/200))</f>
        <v>0.31349380489117745</v>
      </c>
      <c r="AR306" s="174"/>
      <c r="AS306" s="175"/>
      <c r="AT306" s="174">
        <f>MAX((5/384*($AT$2+$Y306/100)*$D$17^4/(2.06*10^8*$Z306/10^8))/($D$17/300)*INDEX(Лист1!$L$34:$L$38,MATCH(Лист1!$B$8,Лист1!$I$34:$I$38,0),1),(5/384*($AT$3)*$D$17^4/(2.06*10^8*$AD306/10^8))/($D$17/200))</f>
        <v>0.13817103784151766</v>
      </c>
      <c r="AU306" s="174"/>
      <c r="AV306" s="174">
        <f>IF(OR(MAX(AH306,AQ306)&gt;1,AK306&gt;Лист1!$B$20,N306="-"),999999999,Y306*Лист1!$B$7+0.0001*O306)</f>
        <v>144.63030000000003</v>
      </c>
      <c r="AX306" s="174">
        <f>IF(OR(MAX(AH306,AT306)&gt;1,AN306&gt;Лист1!$B$20,N306="-"),999999999,Y306*Лист1!$B$7+0.0001*O306)</f>
        <v>144.63030000000003</v>
      </c>
    </row>
    <row r="307" spans="14:50" ht="16.5" thickBot="1" x14ac:dyDescent="0.3">
      <c r="O307">
        <f t="shared" si="14"/>
        <v>304</v>
      </c>
      <c r="P307" s="227" t="s">
        <v>297</v>
      </c>
      <c r="Q307" s="227">
        <v>240</v>
      </c>
      <c r="R307" s="154" t="s">
        <v>384</v>
      </c>
      <c r="S307" s="148">
        <v>180</v>
      </c>
      <c r="T307" s="148">
        <v>180</v>
      </c>
      <c r="U307" s="24"/>
      <c r="V307" s="24"/>
      <c r="W307" s="24"/>
      <c r="X307" s="148">
        <v>36.799999999999997</v>
      </c>
      <c r="Y307" s="149">
        <v>28.9</v>
      </c>
      <c r="Z307" s="152">
        <v>1158.9000000000001</v>
      </c>
      <c r="AA307" s="150">
        <v>165.6</v>
      </c>
      <c r="AC307" s="151">
        <v>6.81</v>
      </c>
      <c r="AD307" s="149">
        <v>1706.8</v>
      </c>
      <c r="AE307" s="150">
        <v>189.6</v>
      </c>
      <c r="AF307" s="153">
        <v>5.61</v>
      </c>
      <c r="AH307" s="174">
        <f t="shared" si="15"/>
        <v>0.53475935828876997</v>
      </c>
      <c r="AI307" s="174"/>
      <c r="AJ307" s="186"/>
      <c r="AK307" s="174">
        <f>(($AK$2+Y307*Лист1!$B$7^2*Лист1!$G$8/100)/(AA307/10^6)+$AK$3/(AE307/10^6))/1000/($Q307*IF(Лист1!$J$19="да",1/1.05,1))</f>
        <v>0.18645121495561182</v>
      </c>
      <c r="AL307" s="24"/>
      <c r="AM307" s="186"/>
      <c r="AN307" s="174">
        <f>(($AK$2+Y307*Лист1!$B$7^2*Лист1!$G$8/100)/(AA307/10^6)+$AK$3/(AE307/10^6))/1000/($Q307*IF(Лист1!$J$19="да",1/1.05,1))</f>
        <v>0.18645121495561182</v>
      </c>
      <c r="AO307" s="24"/>
      <c r="AP307" s="186"/>
      <c r="AQ307" s="174">
        <f>MAX((5/384*($AQ$2+$Y307/100)*$D$17^4/(2.06*10^8*$Z307/10^8))/($D$17/300)*INDEX(Лист1!$L$34:$L$38,MATCH(Лист1!$B$8,Лист1!$I$34:$I$38,0),1),(5/384*($AQ$3)*$D$17^4/(2.06*10^8*$AD307/10^8))/($D$17/200))</f>
        <v>0.28238874409697168</v>
      </c>
      <c r="AR307" s="174"/>
      <c r="AS307" s="175"/>
      <c r="AT307" s="174">
        <f>MAX((5/384*($AT$2+$Y307/100)*$D$17^4/(2.06*10^8*$Z307/10^8))/($D$17/300)*INDEX(Лист1!$L$34:$L$38,MATCH(Лист1!$B$8,Лист1!$I$34:$I$38,0),1),(5/384*($AT$3)*$D$17^4/(2.06*10^8*$AD307/10^8))/($D$17/200))</f>
        <v>0.13394910389581013</v>
      </c>
      <c r="AU307" s="174"/>
      <c r="AV307" s="174">
        <f>IF(OR(MAX(AH307,AQ307)&gt;1,AK307&gt;Лист1!$B$20,N307="-"),999999999,Y307*Лист1!$B$7+0.0001*O307)</f>
        <v>173.43039999999996</v>
      </c>
      <c r="AX307" s="174">
        <f>IF(OR(MAX(AH307,AT307)&gt;1,AN307&gt;Лист1!$B$20,N307="-"),999999999,Y307*Лист1!$B$7+0.0001*O307)</f>
        <v>173.43039999999996</v>
      </c>
    </row>
    <row r="308" spans="14:50" ht="16.5" thickBot="1" x14ac:dyDescent="0.3">
      <c r="O308">
        <f t="shared" si="14"/>
        <v>305</v>
      </c>
      <c r="P308" s="227" t="s">
        <v>297</v>
      </c>
      <c r="Q308" s="227">
        <v>240</v>
      </c>
      <c r="R308" s="154" t="s">
        <v>385</v>
      </c>
      <c r="S308" s="148">
        <v>180</v>
      </c>
      <c r="T308" s="148">
        <v>180</v>
      </c>
      <c r="U308" s="24"/>
      <c r="V308" s="24"/>
      <c r="W308" s="24"/>
      <c r="X308" s="148">
        <v>42.8</v>
      </c>
      <c r="Y308" s="149">
        <v>33.6</v>
      </c>
      <c r="Z308" s="152">
        <v>1322.9</v>
      </c>
      <c r="AA308" s="150">
        <v>189</v>
      </c>
      <c r="AC308" s="151">
        <v>6.75</v>
      </c>
      <c r="AD308" s="149">
        <v>1952</v>
      </c>
      <c r="AE308" s="150">
        <v>216.9</v>
      </c>
      <c r="AF308" s="153">
        <v>5.56</v>
      </c>
      <c r="AH308" s="174">
        <f t="shared" si="15"/>
        <v>0.53956834532374098</v>
      </c>
      <c r="AI308" s="174"/>
      <c r="AJ308" s="186"/>
      <c r="AK308" s="174">
        <f>(($AK$2+Y308*Лист1!$B$7^2*Лист1!$G$8/100)/(AA308/10^6)+$AK$3/(AE308/10^6))/1000/($Q308*IF(Лист1!$J$19="да",1/1.05,1))</f>
        <v>0.1678336313568386</v>
      </c>
      <c r="AL308" s="24"/>
      <c r="AM308" s="186"/>
      <c r="AN308" s="174">
        <f>(($AK$2+Y308*Лист1!$B$7^2*Лист1!$G$8/100)/(AA308/10^6)+$AK$3/(AE308/10^6))/1000/($Q308*IF(Лист1!$J$19="да",1/1.05,1))</f>
        <v>0.1678336313568386</v>
      </c>
      <c r="AO308" s="24"/>
      <c r="AP308" s="186"/>
      <c r="AQ308" s="174">
        <f>MAX((5/384*($AQ$2+$Y308/100)*$D$17^4/(2.06*10^8*$Z308/10^8))/($D$17/300)*INDEX(Лист1!$L$34:$L$38,MATCH(Лист1!$B$8,Лист1!$I$34:$I$38,0),1),(5/384*($AQ$3)*$D$17^4/(2.06*10^8*$AD308/10^8))/($D$17/200))</f>
        <v>0.26193281603303126</v>
      </c>
      <c r="AR308" s="174"/>
      <c r="AS308" s="175"/>
      <c r="AT308" s="174">
        <f>MAX((5/384*($AT$2+$Y308/100)*$D$17^4/(2.06*10^8*$Z308/10^8))/($D$17/300)*INDEX(Лист1!$L$34:$L$38,MATCH(Лист1!$B$8,Лист1!$I$34:$I$38,0),1),(5/384*($AT$3)*$D$17^4/(2.06*10^8*$AD308/10^8))/($D$17/200))</f>
        <v>0.1318952477896824</v>
      </c>
      <c r="AU308" s="174"/>
      <c r="AV308" s="174">
        <f>IF(OR(MAX(AH308,AQ308)&gt;1,AK308&gt;Лист1!$B$20,N308="-"),999999999,Y308*Лист1!$B$7+0.0001*O308)</f>
        <v>201.63050000000001</v>
      </c>
      <c r="AX308" s="174">
        <f>IF(OR(MAX(AH308,AT308)&gt;1,AN308&gt;Лист1!$B$20,N308="-"),999999999,Y308*Лист1!$B$7+0.0001*O308)</f>
        <v>201.63050000000001</v>
      </c>
    </row>
    <row r="309" spans="14:50" ht="15.75" x14ac:dyDescent="0.25">
      <c r="O309">
        <f t="shared" si="14"/>
        <v>306</v>
      </c>
      <c r="P309" s="227" t="s">
        <v>297</v>
      </c>
      <c r="Q309" s="227">
        <v>240</v>
      </c>
      <c r="R309" s="154" t="s">
        <v>386</v>
      </c>
      <c r="S309" s="148">
        <v>180</v>
      </c>
      <c r="T309" s="148">
        <v>180</v>
      </c>
      <c r="U309" s="24"/>
      <c r="V309" s="24"/>
      <c r="W309" s="24"/>
      <c r="X309" s="148">
        <v>48.7</v>
      </c>
      <c r="Y309" s="149">
        <v>38.200000000000003</v>
      </c>
      <c r="Z309" s="152">
        <v>1480.6</v>
      </c>
      <c r="AA309" s="150">
        <v>211.5</v>
      </c>
      <c r="AC309" s="151">
        <v>6.7</v>
      </c>
      <c r="AD309" s="149">
        <v>2187.3000000000002</v>
      </c>
      <c r="AE309" s="150">
        <v>243</v>
      </c>
      <c r="AF309" s="153">
        <v>5.51</v>
      </c>
      <c r="AH309" s="174">
        <f t="shared" si="15"/>
        <v>0.54446460980036304</v>
      </c>
      <c r="AI309" s="174"/>
      <c r="AJ309" s="186"/>
      <c r="AK309" s="174">
        <f>(($AK$2+Y309*Лист1!$B$7^2*Лист1!$G$8/100)/(AA309/10^6)+$AK$3/(AE309/10^6))/1000/($Q309*IF(Лист1!$J$19="да",1/1.05,1))</f>
        <v>0.15397165893638456</v>
      </c>
      <c r="AL309" s="24"/>
      <c r="AM309" s="186"/>
      <c r="AN309" s="174">
        <f>(($AK$2+Y309*Лист1!$B$7^2*Лист1!$G$8/100)/(AA309/10^6)+$AK$3/(AE309/10^6))/1000/($Q309*IF(Лист1!$J$19="да",1/1.05,1))</f>
        <v>0.15397165893638456</v>
      </c>
      <c r="AO309" s="24"/>
      <c r="AP309" s="186"/>
      <c r="AQ309" s="174">
        <f>MAX((5/384*($AQ$2+$Y309/100)*$D$17^4/(2.06*10^8*$Z309/10^8))/($D$17/300)*INDEX(Лист1!$L$34:$L$38,MATCH(Лист1!$B$8,Лист1!$I$34:$I$38,0),1),(5/384*($AQ$3)*$D$17^4/(2.06*10^8*$AD309/10^8))/($D$17/200))</f>
        <v>0.24675938251220644</v>
      </c>
      <c r="AR309" s="174"/>
      <c r="AS309" s="175"/>
      <c r="AT309" s="174">
        <f>MAX((5/384*($AT$2+$Y309/100)*$D$17^4/(2.06*10^8*$Z309/10^8))/($D$17/300)*INDEX(Лист1!$L$34:$L$38,MATCH(Лист1!$B$8,Лист1!$I$34:$I$38,0),1),(5/384*($AT$3)*$D$17^4/(2.06*10^8*$AD309/10^8))/($D$17/200))</f>
        <v>0.13057222931139173</v>
      </c>
      <c r="AU309" s="174"/>
      <c r="AV309" s="174">
        <f>IF(OR(MAX(AH309,AQ309)&gt;1,AK309&gt;Лист1!$B$20,N309="-"),999999999,Y309*Лист1!$B$7+0.0001*O309)</f>
        <v>229.23060000000001</v>
      </c>
      <c r="AX309" s="174">
        <f>IF(OR(MAX(AH309,AT309)&gt;1,AN309&gt;Лист1!$B$20,N309="-"),999999999,Y309*Лист1!$B$7+0.0001*O309)</f>
        <v>229.23060000000001</v>
      </c>
    </row>
    <row r="310" spans="14:50" ht="16.5" thickBot="1" x14ac:dyDescent="0.3">
      <c r="N310" t="s">
        <v>344</v>
      </c>
      <c r="O310">
        <f t="shared" si="14"/>
        <v>307</v>
      </c>
      <c r="P310" s="227" t="s">
        <v>297</v>
      </c>
      <c r="Q310" s="227">
        <v>240</v>
      </c>
      <c r="R310" s="163" t="s">
        <v>387</v>
      </c>
      <c r="S310" s="148">
        <v>200</v>
      </c>
      <c r="T310" s="148">
        <v>200</v>
      </c>
      <c r="U310" s="24"/>
      <c r="V310" s="24"/>
      <c r="W310" s="24"/>
      <c r="X310" s="148">
        <v>27.7</v>
      </c>
      <c r="Y310" s="149">
        <v>21.8</v>
      </c>
      <c r="Z310" s="152">
        <v>1160</v>
      </c>
      <c r="AA310" s="150">
        <v>145</v>
      </c>
      <c r="AC310" s="151">
        <v>7.68</v>
      </c>
      <c r="AD310" s="149">
        <v>1631.8</v>
      </c>
      <c r="AE310" s="150">
        <v>163.19999999999999</v>
      </c>
      <c r="AF310" s="153">
        <v>6.47</v>
      </c>
      <c r="AH310" s="174">
        <f t="shared" si="15"/>
        <v>0.46367851622874812</v>
      </c>
      <c r="AI310" s="174"/>
      <c r="AJ310" s="186"/>
      <c r="AK310" s="174">
        <f>(($AK$2+Y310*Лист1!$B$7^2*Лист1!$G$8/100)/(AA310/10^6)+$AK$3/(AE310/10^6))/1000/($Q310*IF(Лист1!$J$19="да",1/1.05,1))</f>
        <v>0.20563622175286006</v>
      </c>
      <c r="AL310" s="24"/>
      <c r="AM310" s="186"/>
      <c r="AN310" s="174">
        <f>(($AK$2+Y310*Лист1!$B$7^2*Лист1!$G$8/100)/(AA310/10^6)+$AK$3/(AE310/10^6))/1000/($Q310*IF(Лист1!$J$19="да",1/1.05,1))</f>
        <v>0.20563622175286006</v>
      </c>
      <c r="AO310" s="24"/>
      <c r="AP310" s="186"/>
      <c r="AQ310" s="174">
        <f>MAX((5/384*($AQ$2+$Y310/100)*$D$17^4/(2.06*10^8*$Z310/10^8))/($D$17/300)*INDEX(Лист1!$L$34:$L$38,MATCH(Лист1!$B$8,Лист1!$I$34:$I$38,0),1),(5/384*($AQ$3)*$D$17^4/(2.06*10^8*$AD310/10^8))/($D$17/200))</f>
        <v>0.25705138935386673</v>
      </c>
      <c r="AR310" s="174"/>
      <c r="AS310" s="175"/>
      <c r="AT310" s="174">
        <f>MAX((5/384*($AT$2+$Y310/100)*$D$17^4/(2.06*10^8*$Z310/10^8))/($D$17/300)*INDEX(Лист1!$L$34:$L$38,MATCH(Лист1!$B$8,Лист1!$I$34:$I$38,0),1),(5/384*($AT$3)*$D$17^4/(2.06*10^8*$AD310/10^8))/($D$17/200))</f>
        <v>0.10875251088048209</v>
      </c>
      <c r="AU310" s="174"/>
      <c r="AV310" s="174">
        <f>IF(OR(MAX(AH310,AQ310)&gt;1,AK310&gt;Лист1!$B$20,N310="-"),999999999,Y310*Лист1!$B$7+0.0001*O310)</f>
        <v>999999999</v>
      </c>
      <c r="AX310" s="174">
        <f>IF(OR(MAX(AH310,AT310)&gt;1,AN310&gt;Лист1!$B$20,N310="-"),999999999,Y310*Лист1!$B$7+0.0001*O310)</f>
        <v>999999999</v>
      </c>
    </row>
    <row r="311" spans="14:50" ht="16.5" thickBot="1" x14ac:dyDescent="0.3">
      <c r="O311">
        <f t="shared" si="14"/>
        <v>308</v>
      </c>
      <c r="P311" s="227" t="s">
        <v>297</v>
      </c>
      <c r="Q311" s="227">
        <v>240</v>
      </c>
      <c r="R311" s="154" t="s">
        <v>388</v>
      </c>
      <c r="S311" s="148">
        <v>200</v>
      </c>
      <c r="T311" s="148">
        <v>200</v>
      </c>
      <c r="U311" s="24"/>
      <c r="V311" s="24"/>
      <c r="W311" s="24"/>
      <c r="X311" s="148">
        <v>34.6</v>
      </c>
      <c r="Y311" s="149">
        <v>27.2</v>
      </c>
      <c r="Z311" s="152">
        <v>1450</v>
      </c>
      <c r="AA311" s="150">
        <v>181.2</v>
      </c>
      <c r="AC311" s="151">
        <v>7.67</v>
      </c>
      <c r="AD311" s="149">
        <v>2039.7</v>
      </c>
      <c r="AE311" s="150">
        <v>204</v>
      </c>
      <c r="AF311" s="153">
        <v>6.46</v>
      </c>
      <c r="AH311" s="174">
        <f t="shared" si="15"/>
        <v>0.4643962848297214</v>
      </c>
      <c r="AI311" s="174"/>
      <c r="AJ311" s="186"/>
      <c r="AK311" s="174">
        <f>(($AK$2+Y311*Лист1!$B$7^2*Лист1!$G$8/100)/(AA311/10^6)+$AK$3/(AE311/10^6))/1000/($Q311*IF(Лист1!$J$19="да",1/1.05,1))</f>
        <v>0.17011767801886718</v>
      </c>
      <c r="AL311" s="24"/>
      <c r="AM311" s="186"/>
      <c r="AN311" s="174">
        <f>(($AK$2+Y311*Лист1!$B$7^2*Лист1!$G$8/100)/(AA311/10^6)+$AK$3/(AE311/10^6))/1000/($Q311*IF(Лист1!$J$19="да",1/1.05,1))</f>
        <v>0.17011767801886718</v>
      </c>
      <c r="AO311" s="24"/>
      <c r="AP311" s="186"/>
      <c r="AQ311" s="174">
        <f>MAX((5/384*($AQ$2+$Y311/100)*$D$17^4/(2.06*10^8*$Z311/10^8))/($D$17/300)*INDEX(Лист1!$L$34:$L$38,MATCH(Лист1!$B$8,Лист1!$I$34:$I$38,0),1),(5/384*($AQ$3)*$D$17^4/(2.06*10^8*$AD311/10^8))/($D$17/200))</f>
        <v>0.22089471041178443</v>
      </c>
      <c r="AR311" s="174"/>
      <c r="AS311" s="175"/>
      <c r="AT311" s="174">
        <f>MAX((5/384*($AT$2+$Y311/100)*$D$17^4/(2.06*10^8*$Z311/10^8))/($D$17/300)*INDEX(Лист1!$L$34:$L$38,MATCH(Лист1!$B$8,Лист1!$I$34:$I$38,0),1),(5/384*($AT$3)*$D$17^4/(2.06*10^8*$AD311/10^8))/($D$17/200))</f>
        <v>0.10225560763307667</v>
      </c>
      <c r="AU311" s="174"/>
      <c r="AV311" s="174">
        <f>IF(OR(MAX(AH311,AQ311)&gt;1,AK311&gt;Лист1!$B$20,N311="-"),999999999,Y311*Лист1!$B$7+0.0001*O311)</f>
        <v>163.23079999999999</v>
      </c>
      <c r="AX311" s="174">
        <f>IF(OR(MAX(AH311,AT311)&gt;1,AN311&gt;Лист1!$B$20,N311="-"),999999999,Y311*Лист1!$B$7+0.0001*O311)</f>
        <v>163.23079999999999</v>
      </c>
    </row>
    <row r="312" spans="14:50" ht="16.5" thickBot="1" x14ac:dyDescent="0.3">
      <c r="O312">
        <f t="shared" si="14"/>
        <v>309</v>
      </c>
      <c r="P312" s="227" t="s">
        <v>297</v>
      </c>
      <c r="Q312" s="227">
        <v>240</v>
      </c>
      <c r="R312" s="154" t="s">
        <v>389</v>
      </c>
      <c r="S312" s="148">
        <v>200</v>
      </c>
      <c r="T312" s="148">
        <v>200</v>
      </c>
      <c r="U312" s="24"/>
      <c r="V312" s="24"/>
      <c r="W312" s="24"/>
      <c r="X312" s="148">
        <v>41.4</v>
      </c>
      <c r="Y312" s="149">
        <v>32.5</v>
      </c>
      <c r="Z312" s="152">
        <v>1712.3</v>
      </c>
      <c r="AA312" s="150">
        <v>214</v>
      </c>
      <c r="AC312" s="151">
        <v>7.63</v>
      </c>
      <c r="AD312" s="149">
        <v>2412.4</v>
      </c>
      <c r="AE312" s="150">
        <v>241.2</v>
      </c>
      <c r="AF312" s="153">
        <v>6.43</v>
      </c>
      <c r="AH312" s="174">
        <f t="shared" si="15"/>
        <v>0.46656298600311047</v>
      </c>
      <c r="AI312" s="174"/>
      <c r="AJ312" s="186"/>
      <c r="AK312" s="174">
        <f>(($AK$2+Y312*Лист1!$B$7^2*Лист1!$G$8/100)/(AA312/10^6)+$AK$3/(AE312/10^6))/1000/($Q312*IF(Лист1!$J$19="да",1/1.05,1))</f>
        <v>0.14860241580444691</v>
      </c>
      <c r="AL312" s="24"/>
      <c r="AM312" s="186"/>
      <c r="AN312" s="174">
        <f>(($AK$2+Y312*Лист1!$B$7^2*Лист1!$G$8/100)/(AA312/10^6)+$AK$3/(AE312/10^6))/1000/($Q312*IF(Лист1!$J$19="да",1/1.05,1))</f>
        <v>0.14860241580444691</v>
      </c>
      <c r="AO312" s="24"/>
      <c r="AP312" s="186"/>
      <c r="AQ312" s="174">
        <f>MAX((5/384*($AQ$2+$Y312/100)*$D$17^4/(2.06*10^8*$Z312/10^8))/($D$17/300)*INDEX(Лист1!$L$34:$L$38,MATCH(Лист1!$B$8,Лист1!$I$34:$I$38,0),1),(5/384*($AQ$3)*$D$17^4/(2.06*10^8*$AD312/10^8))/($D$17/200))</f>
        <v>0.19973454486074199</v>
      </c>
      <c r="AR312" s="174"/>
      <c r="AS312" s="175"/>
      <c r="AT312" s="174">
        <f>MAX((5/384*($AT$2+$Y312/100)*$D$17^4/(2.06*10^8*$Z312/10^8))/($D$17/300)*INDEX(Лист1!$L$34:$L$38,MATCH(Лист1!$B$8,Лист1!$I$34:$I$38,0),1),(5/384*($AT$3)*$D$17^4/(2.06*10^8*$AD312/10^8))/($D$17/200))</f>
        <v>9.9269264811027477E-2</v>
      </c>
      <c r="AU312" s="174"/>
      <c r="AV312" s="174">
        <f>IF(OR(MAX(AH312,AQ312)&gt;1,AK312&gt;Лист1!$B$20,N312="-"),999999999,Y312*Лист1!$B$7+0.0001*O312)</f>
        <v>195.0309</v>
      </c>
      <c r="AX312" s="174">
        <f>IF(OR(MAX(AH312,AT312)&gt;1,AN312&gt;Лист1!$B$20,N312="-"),999999999,Y312*Лист1!$B$7+0.0001*O312)</f>
        <v>195.0309</v>
      </c>
    </row>
    <row r="313" spans="14:50" ht="16.5" thickBot="1" x14ac:dyDescent="0.3">
      <c r="O313">
        <f t="shared" si="14"/>
        <v>310</v>
      </c>
      <c r="P313" s="227" t="s">
        <v>297</v>
      </c>
      <c r="Q313" s="227">
        <v>240</v>
      </c>
      <c r="R313" s="154" t="s">
        <v>390</v>
      </c>
      <c r="S313" s="148">
        <v>200</v>
      </c>
      <c r="T313" s="148">
        <v>200</v>
      </c>
      <c r="U313" s="24"/>
      <c r="V313" s="24"/>
      <c r="W313" s="24"/>
      <c r="X313" s="148">
        <v>48.2</v>
      </c>
      <c r="Y313" s="149">
        <v>37.799999999999997</v>
      </c>
      <c r="Z313" s="152">
        <v>1962</v>
      </c>
      <c r="AA313" s="150">
        <v>245.2</v>
      </c>
      <c r="AC313" s="151">
        <v>7.58</v>
      </c>
      <c r="AD313" s="149">
        <v>2767.1</v>
      </c>
      <c r="AE313" s="150">
        <v>276.7</v>
      </c>
      <c r="AF313" s="153">
        <v>6.38</v>
      </c>
      <c r="AH313" s="174">
        <f t="shared" si="15"/>
        <v>0.47021943573667713</v>
      </c>
      <c r="AI313" s="174"/>
      <c r="AJ313" s="186"/>
      <c r="AK313" s="174">
        <f>(($AK$2+Y313*Лист1!$B$7^2*Лист1!$G$8/100)/(AA313/10^6)+$AK$3/(AE313/10^6))/1000/($Q313*IF(Лист1!$J$19="да",1/1.05,1))</f>
        <v>0.13366758595078557</v>
      </c>
      <c r="AL313" s="24"/>
      <c r="AM313" s="186"/>
      <c r="AN313" s="174">
        <f>(($AK$2+Y313*Лист1!$B$7^2*Лист1!$G$8/100)/(AA313/10^6)+$AK$3/(AE313/10^6))/1000/($Q313*IF(Лист1!$J$19="да",1/1.05,1))</f>
        <v>0.13366758595078557</v>
      </c>
      <c r="AO313" s="24"/>
      <c r="AP313" s="186"/>
      <c r="AQ313" s="174">
        <f>MAX((5/384*($AQ$2+$Y313/100)*$D$17^4/(2.06*10^8*$Z313/10^8))/($D$17/300)*INDEX(Лист1!$L$34:$L$38,MATCH(Лист1!$B$8,Лист1!$I$34:$I$38,0),1),(5/384*($AQ$3)*$D$17^4/(2.06*10^8*$AD313/10^8))/($D$17/200))</f>
        <v>0.18537899706065733</v>
      </c>
      <c r="AR313" s="174"/>
      <c r="AS313" s="175"/>
      <c r="AT313" s="174">
        <f>MAX((5/384*($AT$2+$Y313/100)*$D$17^4/(2.06*10^8*$Z313/10^8))/($D$17/300)*INDEX(Лист1!$L$34:$L$38,MATCH(Лист1!$B$8,Лист1!$I$34:$I$38,0),1),(5/384*($AT$3)*$D$17^4/(2.06*10^8*$AD313/10^8))/($D$17/200))</f>
        <v>9.7699741694130232E-2</v>
      </c>
      <c r="AU313" s="174"/>
      <c r="AV313" s="174">
        <f>IF(OR(MAX(AH313,AQ313)&gt;1,AK313&gt;Лист1!$B$20,N313="-"),999999999,Y313*Лист1!$B$7+0.0001*O313)</f>
        <v>226.83099999999999</v>
      </c>
      <c r="AX313" s="174">
        <f>IF(OR(MAX(AH313,AT313)&gt;1,AN313&gt;Лист1!$B$20,N313="-"),999999999,Y313*Лист1!$B$7+0.0001*O313)</f>
        <v>226.83099999999999</v>
      </c>
    </row>
    <row r="314" spans="14:50" ht="16.5" thickBot="1" x14ac:dyDescent="0.3">
      <c r="O314">
        <f t="shared" ref="O314:O377" si="16">O313+1</f>
        <v>311</v>
      </c>
      <c r="P314" s="227" t="s">
        <v>297</v>
      </c>
      <c r="Q314" s="227">
        <v>240</v>
      </c>
      <c r="R314" s="154" t="s">
        <v>391</v>
      </c>
      <c r="S314" s="148">
        <v>200</v>
      </c>
      <c r="T314" s="148">
        <v>200</v>
      </c>
      <c r="U314" s="24"/>
      <c r="V314" s="24"/>
      <c r="W314" s="24"/>
      <c r="X314" s="148">
        <v>54.8</v>
      </c>
      <c r="Y314" s="149">
        <v>43</v>
      </c>
      <c r="Z314" s="152">
        <v>2199</v>
      </c>
      <c r="AA314" s="150">
        <v>274.89999999999998</v>
      </c>
      <c r="AC314" s="151">
        <v>7.53</v>
      </c>
      <c r="AD314" s="149">
        <v>3104.3</v>
      </c>
      <c r="AE314" s="150">
        <v>310.39999999999998</v>
      </c>
      <c r="AF314" s="153">
        <v>6.33</v>
      </c>
      <c r="AH314" s="174">
        <f t="shared" si="15"/>
        <v>0.47393364928909953</v>
      </c>
      <c r="AI314" s="174"/>
      <c r="AJ314" s="186"/>
      <c r="AK314" s="174">
        <f>(($AK$2+Y314*Лист1!$B$7^2*Лист1!$G$8/100)/(AA314/10^6)+$AK$3/(AE314/10^6))/1000/($Q314*IF(Лист1!$J$19="да",1/1.05,1))</f>
        <v>0.12273834824366832</v>
      </c>
      <c r="AL314" s="24"/>
      <c r="AM314" s="186"/>
      <c r="AN314" s="174">
        <f>(($AK$2+Y314*Лист1!$B$7^2*Лист1!$G$8/100)/(AA314/10^6)+$AK$3/(AE314/10^6))/1000/($Q314*IF(Лист1!$J$19="да",1/1.05,1))</f>
        <v>0.12273834824366832</v>
      </c>
      <c r="AO314" s="24"/>
      <c r="AP314" s="186"/>
      <c r="AQ314" s="174">
        <f>MAX((5/384*($AQ$2+$Y314/100)*$D$17^4/(2.06*10^8*$Z314/10^8))/($D$17/300)*INDEX(Лист1!$L$34:$L$38,MATCH(Лист1!$B$8,Лист1!$I$34:$I$38,0),1),(5/384*($AQ$3)*$D$17^4/(2.06*10^8*$AD314/10^8))/($D$17/200))</f>
        <v>0.17508510046490683</v>
      </c>
      <c r="AR314" s="174"/>
      <c r="AS314" s="175"/>
      <c r="AT314" s="174">
        <f>MAX((5/384*($AT$2+$Y314/100)*$D$17^4/(2.06*10^8*$Z314/10^8))/($D$17/300)*INDEX(Лист1!$L$34:$L$38,MATCH(Лист1!$B$8,Лист1!$I$34:$I$38,0),1),(5/384*($AT$3)*$D$17^4/(2.06*10^8*$AD314/10^8))/($D$17/200))</f>
        <v>9.6855587491225054E-2</v>
      </c>
      <c r="AU314" s="174"/>
      <c r="AV314" s="174">
        <f>IF(OR(MAX(AH314,AQ314)&gt;1,AK314&gt;Лист1!$B$20,N314="-"),999999999,Y314*Лист1!$B$7+0.0001*O314)</f>
        <v>258.03109999999998</v>
      </c>
      <c r="AX314" s="174">
        <f>IF(OR(MAX(AH314,AT314)&gt;1,AN314&gt;Лист1!$B$20,N314="-"),999999999,Y314*Лист1!$B$7+0.0001*O314)</f>
        <v>258.03109999999998</v>
      </c>
    </row>
    <row r="315" spans="14:50" ht="16.5" thickBot="1" x14ac:dyDescent="0.3">
      <c r="N315" t="s">
        <v>344</v>
      </c>
      <c r="O315">
        <f t="shared" si="16"/>
        <v>312</v>
      </c>
      <c r="P315" s="227" t="s">
        <v>297</v>
      </c>
      <c r="Q315" s="227">
        <v>240</v>
      </c>
      <c r="R315" s="154" t="s">
        <v>392</v>
      </c>
      <c r="S315" s="148">
        <v>200</v>
      </c>
      <c r="T315" s="148">
        <v>200</v>
      </c>
      <c r="U315" s="24"/>
      <c r="V315" s="24"/>
      <c r="W315" s="24"/>
      <c r="X315" s="148">
        <v>61.3</v>
      </c>
      <c r="Y315" s="149">
        <v>48.1</v>
      </c>
      <c r="Z315" s="152">
        <v>2436</v>
      </c>
      <c r="AA315" s="150">
        <v>303.3</v>
      </c>
      <c r="AC315" s="151">
        <v>7.48</v>
      </c>
      <c r="AD315" s="149">
        <v>3424</v>
      </c>
      <c r="AE315" s="150">
        <v>342.3</v>
      </c>
      <c r="AF315" s="153">
        <v>6.28</v>
      </c>
      <c r="AH315" s="174">
        <f t="shared" si="15"/>
        <v>0.4777070063694267</v>
      </c>
      <c r="AI315" s="174"/>
      <c r="AJ315" s="186"/>
      <c r="AK315" s="174">
        <f>(($AK$2+Y315*Лист1!$B$7^2*Лист1!$G$8/100)/(AA315/10^6)+$AK$3/(AE315/10^6))/1000/($Q315*IF(Лист1!$J$19="да",1/1.05,1))</f>
        <v>0.11442417951032777</v>
      </c>
      <c r="AL315" s="24"/>
      <c r="AM315" s="186"/>
      <c r="AN315" s="174">
        <f>(($AK$2+Y315*Лист1!$B$7^2*Лист1!$G$8/100)/(AA315/10^6)+$AK$3/(AE315/10^6))/1000/($Q315*IF(Лист1!$J$19="да",1/1.05,1))</f>
        <v>0.11442417951032777</v>
      </c>
      <c r="AO315" s="24"/>
      <c r="AP315" s="186"/>
      <c r="AQ315" s="174">
        <f>MAX((5/384*($AQ$2+$Y315/100)*$D$17^4/(2.06*10^8*$Z315/10^8))/($D$17/300)*INDEX(Лист1!$L$34:$L$38,MATCH(Лист1!$B$8,Лист1!$I$34:$I$38,0),1),(5/384*($AQ$3)*$D$17^4/(2.06*10^8*$AD315/10^8))/($D$17/200))</f>
        <v>0.16662606413506148</v>
      </c>
      <c r="AR315" s="174"/>
      <c r="AS315" s="175"/>
      <c r="AT315" s="174">
        <f>MAX((5/384*($AT$2+$Y315/100)*$D$17^4/(2.06*10^8*$Z315/10^8))/($D$17/300)*INDEX(Лист1!$L$34:$L$38,MATCH(Лист1!$B$8,Лист1!$I$34:$I$38,0),1),(5/384*($AT$3)*$D$17^4/(2.06*10^8*$AD315/10^8))/($D$17/200))</f>
        <v>9.6007550576306874E-2</v>
      </c>
      <c r="AU315" s="174"/>
      <c r="AV315" s="174">
        <f>IF(OR(MAX(AH315,AQ315)&gt;1,AK315&gt;Лист1!$B$20,N315="-"),999999999,Y315*Лист1!$B$7+0.0001*O315)</f>
        <v>999999999</v>
      </c>
      <c r="AX315" s="174">
        <f>IF(OR(MAX(AH315,AT315)&gt;1,AN315&gt;Лист1!$B$20,N315="-"),999999999,Y315*Лист1!$B$7+0.0001*O315)</f>
        <v>999999999</v>
      </c>
    </row>
    <row r="316" spans="14:50" ht="16.5" thickBot="1" x14ac:dyDescent="0.3">
      <c r="O316">
        <f t="shared" si="16"/>
        <v>313</v>
      </c>
      <c r="P316" s="227" t="s">
        <v>297</v>
      </c>
      <c r="Q316" s="227">
        <v>240</v>
      </c>
      <c r="R316" s="154" t="s">
        <v>393</v>
      </c>
      <c r="S316" s="148">
        <v>200</v>
      </c>
      <c r="T316" s="148">
        <v>200</v>
      </c>
      <c r="U316" s="24"/>
      <c r="V316" s="24"/>
      <c r="W316" s="24"/>
      <c r="X316" s="148">
        <v>67.7</v>
      </c>
      <c r="Y316" s="149">
        <v>53.1</v>
      </c>
      <c r="Z316" s="152">
        <v>2211.6999999999998</v>
      </c>
      <c r="AA316" s="150">
        <v>330.4</v>
      </c>
      <c r="AC316" s="151">
        <v>7.43</v>
      </c>
      <c r="AD316" s="149">
        <v>3726.7</v>
      </c>
      <c r="AE316" s="150">
        <v>372.4</v>
      </c>
      <c r="AF316" s="153">
        <v>6.23</v>
      </c>
      <c r="AH316" s="174">
        <f t="shared" si="15"/>
        <v>0.4815409309791332</v>
      </c>
      <c r="AI316" s="174"/>
      <c r="AJ316" s="186"/>
      <c r="AK316" s="174">
        <f>(($AK$2+Y316*Лист1!$B$7^2*Лист1!$G$8/100)/(AA316/10^6)+$AK$3/(AE316/10^6))/1000/($Q316*IF(Лист1!$J$19="да",1/1.05,1))</f>
        <v>0.10793944209704602</v>
      </c>
      <c r="AL316" s="24"/>
      <c r="AM316" s="186"/>
      <c r="AN316" s="174">
        <f>(($AK$2+Y316*Лист1!$B$7^2*Лист1!$G$8/100)/(AA316/10^6)+$AK$3/(AE316/10^6))/1000/($Q316*IF(Лист1!$J$19="да",1/1.05,1))</f>
        <v>0.10793944209704602</v>
      </c>
      <c r="AO316" s="24"/>
      <c r="AP316" s="186"/>
      <c r="AQ316" s="174">
        <f>MAX((5/384*($AQ$2+$Y316/100)*$D$17^4/(2.06*10^8*$Z316/10^8))/($D$17/300)*INDEX(Лист1!$L$34:$L$38,MATCH(Лист1!$B$8,Лист1!$I$34:$I$38,0),1),(5/384*($AQ$3)*$D$17^4/(2.06*10^8*$AD316/10^8))/($D$17/200))</f>
        <v>0.19278403995345147</v>
      </c>
      <c r="AR316" s="174"/>
      <c r="AS316" s="175"/>
      <c r="AT316" s="174">
        <f>MAX((5/384*($AT$2+$Y316/100)*$D$17^4/(2.06*10^8*$Z316/10^8))/($D$17/300)*INDEX(Лист1!$L$34:$L$38,MATCH(Лист1!$B$8,Лист1!$I$34:$I$38,0),1),(5/384*($AT$3)*$D$17^4/(2.06*10^8*$AD316/10^8))/($D$17/200))</f>
        <v>0.1150037356494653</v>
      </c>
      <c r="AU316" s="174"/>
      <c r="AV316" s="174">
        <f>IF(OR(MAX(AH316,AQ316)&gt;1,AK316&gt;Лист1!$B$20,N316="-"),999999999,Y316*Лист1!$B$7+0.0001*O316)</f>
        <v>318.63130000000001</v>
      </c>
      <c r="AX316" s="174">
        <f>IF(OR(MAX(AH316,AT316)&gt;1,AN316&gt;Лист1!$B$20,N316="-"),999999999,Y316*Лист1!$B$7+0.0001*O316)</f>
        <v>318.63130000000001</v>
      </c>
    </row>
    <row r="317" spans="14:50" ht="16.5" thickBot="1" x14ac:dyDescent="0.3">
      <c r="O317">
        <f t="shared" si="16"/>
        <v>314</v>
      </c>
      <c r="P317" s="227" t="s">
        <v>297</v>
      </c>
      <c r="Q317" s="227">
        <v>240</v>
      </c>
      <c r="R317" s="154" t="s">
        <v>394</v>
      </c>
      <c r="S317" s="148">
        <v>300</v>
      </c>
      <c r="T317" s="148">
        <v>300</v>
      </c>
      <c r="U317" s="24"/>
      <c r="V317" s="24"/>
      <c r="W317" s="24"/>
      <c r="X317" s="148">
        <v>75.8</v>
      </c>
      <c r="Y317" s="149">
        <v>59.5</v>
      </c>
      <c r="Z317" s="152">
        <v>5069</v>
      </c>
      <c r="AA317" s="150">
        <v>510</v>
      </c>
      <c r="AC317" s="151">
        <v>11.2</v>
      </c>
      <c r="AD317" s="149">
        <v>9512</v>
      </c>
      <c r="AE317" s="150">
        <v>634</v>
      </c>
      <c r="AF317" s="153">
        <v>8.1999999999999993</v>
      </c>
      <c r="AH317" s="174">
        <f t="shared" si="15"/>
        <v>0.36585365853658536</v>
      </c>
      <c r="AI317" s="174"/>
      <c r="AJ317" s="186"/>
      <c r="AK317" s="174">
        <f>(($AK$2+Y317*Лист1!$B$7^2*Лист1!$G$8/100)/(AA317/10^6)+$AK$3/(AE317/10^6))/1000/($Q317*IF(Лист1!$J$19="да",1/1.05,1))</f>
        <v>6.9347008354511783E-2</v>
      </c>
      <c r="AL317" s="24"/>
      <c r="AM317" s="186"/>
      <c r="AN317" s="174">
        <f>(($AK$2+Y317*Лист1!$B$7^2*Лист1!$G$8/100)/(AA317/10^6)+$AK$3/(AE317/10^6))/1000/($Q317*IF(Лист1!$J$19="да",1/1.05,1))</f>
        <v>6.9347008354511783E-2</v>
      </c>
      <c r="AO317" s="24"/>
      <c r="AP317" s="186"/>
      <c r="AQ317" s="174">
        <f>MAX((5/384*($AQ$2+$Y317/100)*$D$17^4/(2.06*10^8*$Z317/10^8))/($D$17/300)*INDEX(Лист1!$L$34:$L$38,MATCH(Лист1!$B$8,Лист1!$I$34:$I$38,0),1),(5/384*($AQ$3)*$D$17^4/(2.06*10^8*$AD317/10^8))/($D$17/200))</f>
        <v>8.9286654842781282E-2</v>
      </c>
      <c r="AR317" s="174"/>
      <c r="AS317" s="175"/>
      <c r="AT317" s="174">
        <f>MAX((5/384*($AT$2+$Y317/100)*$D$17^4/(2.06*10^8*$Z317/10^8))/($D$17/300)*INDEX(Лист1!$L$34:$L$38,MATCH(Лист1!$B$8,Лист1!$I$34:$I$38,0),1),(5/384*($AT$3)*$D$17^4/(2.06*10^8*$AD317/10^8))/($D$17/200))</f>
        <v>5.534964576226712E-2</v>
      </c>
      <c r="AU317" s="174"/>
      <c r="AV317" s="174">
        <f>IF(OR(MAX(AH317,AQ317)&gt;1,AK317&gt;Лист1!$B$20,N317="-"),999999999,Y317*Лист1!$B$7+0.0001*O317)</f>
        <v>357.03140000000002</v>
      </c>
      <c r="AX317" s="174">
        <f>IF(OR(MAX(AH317,AT317)&gt;1,AN317&gt;Лист1!$B$20,N317="-"),999999999,Y317*Лист1!$B$7+0.0001*O317)</f>
        <v>357.03140000000002</v>
      </c>
    </row>
    <row r="318" spans="14:50" ht="16.5" thickBot="1" x14ac:dyDescent="0.3">
      <c r="N318" t="s">
        <v>344</v>
      </c>
      <c r="O318">
        <f t="shared" si="16"/>
        <v>315</v>
      </c>
      <c r="P318" s="227" t="s">
        <v>297</v>
      </c>
      <c r="Q318" s="227">
        <v>240</v>
      </c>
      <c r="R318" s="154" t="s">
        <v>395</v>
      </c>
      <c r="S318" s="148">
        <v>300</v>
      </c>
      <c r="T318" s="148">
        <v>300</v>
      </c>
      <c r="U318" s="24"/>
      <c r="V318" s="24"/>
      <c r="W318" s="24"/>
      <c r="X318" s="148">
        <v>84.7</v>
      </c>
      <c r="Y318" s="149">
        <v>66.5</v>
      </c>
      <c r="Z318" s="152">
        <v>5630</v>
      </c>
      <c r="AA318" s="150">
        <v>563</v>
      </c>
      <c r="AC318" s="151">
        <v>11.15</v>
      </c>
      <c r="AD318" s="149">
        <v>10527</v>
      </c>
      <c r="AE318" s="150">
        <v>702</v>
      </c>
      <c r="AF318" s="153">
        <v>8.15</v>
      </c>
      <c r="AH318" s="174">
        <f t="shared" si="15"/>
        <v>0.36809815950920244</v>
      </c>
      <c r="AI318" s="174"/>
      <c r="AJ318" s="186"/>
      <c r="AK318" s="174">
        <f>(($AK$2+Y318*Лист1!$B$7^2*Лист1!$G$8/100)/(AA318/10^6)+$AK$3/(AE318/10^6))/1000/($Q318*IF(Лист1!$J$19="да",1/1.05,1))</f>
        <v>6.5072303948105106E-2</v>
      </c>
      <c r="AL318" s="24"/>
      <c r="AM318" s="186"/>
      <c r="AN318" s="174">
        <f>(($AK$2+Y318*Лист1!$B$7^2*Лист1!$G$8/100)/(AA318/10^6)+$AK$3/(AE318/10^6))/1000/($Q318*IF(Лист1!$J$19="да",1/1.05,1))</f>
        <v>6.5072303948105106E-2</v>
      </c>
      <c r="AO318" s="24"/>
      <c r="AP318" s="186"/>
      <c r="AQ318" s="174">
        <f>MAX((5/384*($AQ$2+$Y318/100)*$D$17^4/(2.06*10^8*$Z318/10^8))/($D$17/300)*INDEX(Лист1!$L$34:$L$38,MATCH(Лист1!$B$8,Лист1!$I$34:$I$38,0),1),(5/384*($AQ$3)*$D$17^4/(2.06*10^8*$AD318/10^8))/($D$17/200))</f>
        <v>8.5482268188794425E-2</v>
      </c>
      <c r="AR318" s="174"/>
      <c r="AS318" s="175"/>
      <c r="AT318" s="174">
        <f>MAX((5/384*($AT$2+$Y318/100)*$D$17^4/(2.06*10^8*$Z318/10^8))/($D$17/300)*INDEX(Лист1!$L$34:$L$38,MATCH(Лист1!$B$8,Лист1!$I$34:$I$38,0),1),(5/384*($AT$3)*$D$17^4/(2.06*10^8*$AD318/10^8))/($D$17/200))</f>
        <v>5.4926904240459394E-2</v>
      </c>
      <c r="AU318" s="174"/>
      <c r="AV318" s="174">
        <f>IF(OR(MAX(AH318,AQ318)&gt;1,AK318&gt;Лист1!$B$20,N318="-"),999999999,Y318*Лист1!$B$7+0.0001*O318)</f>
        <v>999999999</v>
      </c>
      <c r="AX318" s="174">
        <f>IF(OR(MAX(AH318,AT318)&gt;1,AN318&gt;Лист1!$B$20,N318="-"),999999999,Y318*Лист1!$B$7+0.0001*O318)</f>
        <v>999999999</v>
      </c>
    </row>
    <row r="319" spans="14:50" ht="16.5" thickBot="1" x14ac:dyDescent="0.3">
      <c r="O319">
        <f t="shared" si="16"/>
        <v>316</v>
      </c>
      <c r="P319" s="227" t="s">
        <v>297</v>
      </c>
      <c r="Q319" s="227">
        <v>240</v>
      </c>
      <c r="R319" s="154" t="s">
        <v>396</v>
      </c>
      <c r="S319" s="148">
        <v>300</v>
      </c>
      <c r="T319" s="148">
        <v>300</v>
      </c>
      <c r="U319" s="24"/>
      <c r="V319" s="24"/>
      <c r="W319" s="24"/>
      <c r="X319" s="148">
        <v>93.4</v>
      </c>
      <c r="Y319" s="149">
        <v>73.3</v>
      </c>
      <c r="Z319" s="152">
        <v>6143</v>
      </c>
      <c r="AA319" s="150">
        <v>614</v>
      </c>
      <c r="AC319" s="151">
        <v>11.1</v>
      </c>
      <c r="AD319" s="149">
        <v>11505</v>
      </c>
      <c r="AE319" s="150">
        <v>767</v>
      </c>
      <c r="AF319" s="153">
        <v>8.11</v>
      </c>
      <c r="AH319" s="174">
        <f t="shared" si="15"/>
        <v>0.3699136868064119</v>
      </c>
      <c r="AI319" s="174"/>
      <c r="AJ319" s="186"/>
      <c r="AK319" s="174">
        <f>(($AK$2+Y319*Лист1!$B$7^2*Лист1!$G$8/100)/(AA319/10^6)+$AK$3/(AE319/10^6))/1000/($Q319*IF(Лист1!$J$19="да",1/1.05,1))</f>
        <v>6.1700478764356616E-2</v>
      </c>
      <c r="AL319" s="24"/>
      <c r="AM319" s="186"/>
      <c r="AN319" s="174">
        <f>(($AK$2+Y319*Лист1!$B$7^2*Лист1!$G$8/100)/(AA319/10^6)+$AK$3/(AE319/10^6))/1000/($Q319*IF(Лист1!$J$19="да",1/1.05,1))</f>
        <v>6.1700478764356616E-2</v>
      </c>
      <c r="AO319" s="24"/>
      <c r="AP319" s="186"/>
      <c r="AQ319" s="174">
        <f>MAX((5/384*($AQ$2+$Y319/100)*$D$17^4/(2.06*10^8*$Z319/10^8))/($D$17/300)*INDEX(Лист1!$L$34:$L$38,MATCH(Лист1!$B$8,Лист1!$I$34:$I$38,0),1),(5/384*($AQ$3)*$D$17^4/(2.06*10^8*$AD319/10^8))/($D$17/200))</f>
        <v>8.2877602417464669E-2</v>
      </c>
      <c r="AR319" s="174"/>
      <c r="AS319" s="175"/>
      <c r="AT319" s="174">
        <f>MAX((5/384*($AT$2+$Y319/100)*$D$17^4/(2.06*10^8*$Z319/10^8))/($D$17/300)*INDEX(Лист1!$L$34:$L$38,MATCH(Лист1!$B$8,Лист1!$I$34:$I$38,0),1),(5/384*($AT$3)*$D$17^4/(2.06*10^8*$AD319/10^8))/($D$17/200))</f>
        <v>5.4873907312609341E-2</v>
      </c>
      <c r="AU319" s="174"/>
      <c r="AV319" s="174">
        <f>IF(OR(MAX(AH319,AQ319)&gt;1,AK319&gt;Лист1!$B$20,N319="-"),999999999,Y319*Лист1!$B$7+0.0001*O319)</f>
        <v>439.83159999999998</v>
      </c>
      <c r="AX319" s="174">
        <f>IF(OR(MAX(AH319,AT319)&gt;1,AN319&gt;Лист1!$B$20,N319="-"),999999999,Y319*Лист1!$B$7+0.0001*O319)</f>
        <v>439.83159999999998</v>
      </c>
    </row>
    <row r="320" spans="14:50" ht="16.5" thickBot="1" x14ac:dyDescent="0.3">
      <c r="N320" t="s">
        <v>344</v>
      </c>
      <c r="O320">
        <f t="shared" si="16"/>
        <v>317</v>
      </c>
      <c r="P320" s="227" t="s">
        <v>297</v>
      </c>
      <c r="Q320" s="227">
        <v>240</v>
      </c>
      <c r="R320" s="154" t="s">
        <v>397</v>
      </c>
      <c r="S320" s="148">
        <v>300</v>
      </c>
      <c r="T320" s="148">
        <v>300</v>
      </c>
      <c r="U320" s="24"/>
      <c r="V320" s="24"/>
      <c r="W320" s="24"/>
      <c r="X320" s="148">
        <v>102</v>
      </c>
      <c r="Y320" s="149">
        <v>80.099999999999994</v>
      </c>
      <c r="Z320" s="152">
        <v>6634</v>
      </c>
      <c r="AA320" s="150">
        <v>663</v>
      </c>
      <c r="AC320" s="151">
        <v>11.05</v>
      </c>
      <c r="AD320" s="149">
        <v>12446</v>
      </c>
      <c r="AE320" s="150">
        <v>830</v>
      </c>
      <c r="AF320" s="153">
        <v>8.06</v>
      </c>
      <c r="AH320" s="174">
        <f t="shared" si="15"/>
        <v>0.37220843672456572</v>
      </c>
      <c r="AI320" s="174"/>
      <c r="AJ320" s="186"/>
      <c r="AK320" s="174">
        <f>(($AK$2+Y320*Лист1!$B$7^2*Лист1!$G$8/100)/(AA320/10^6)+$AK$3/(AE320/10^6))/1000/($Q320*IF(Лист1!$J$19="да",1/1.05,1))</f>
        <v>5.9016439396958324E-2</v>
      </c>
      <c r="AL320" s="24"/>
      <c r="AM320" s="186"/>
      <c r="AN320" s="174">
        <f>(($AK$2+Y320*Лист1!$B$7^2*Лист1!$G$8/100)/(AA320/10^6)+$AK$3/(AE320/10^6))/1000/($Q320*IF(Лист1!$J$19="да",1/1.05,1))</f>
        <v>5.9016439396958324E-2</v>
      </c>
      <c r="AO320" s="24"/>
      <c r="AP320" s="186"/>
      <c r="AQ320" s="174">
        <f>MAX((5/384*($AQ$2+$Y320/100)*$D$17^4/(2.06*10^8*$Z320/10^8))/($D$17/300)*INDEX(Лист1!$L$34:$L$38,MATCH(Лист1!$B$8,Лист1!$I$34:$I$38,0),1),(5/384*($AQ$3)*$D$17^4/(2.06*10^8*$AD320/10^8))/($D$17/200))</f>
        <v>8.0941973680744378E-2</v>
      </c>
      <c r="AR320" s="174"/>
      <c r="AS320" s="175"/>
      <c r="AT320" s="174">
        <f>MAX((5/384*($AT$2+$Y320/100)*$D$17^4/(2.06*10^8*$Z320/10^8))/($D$17/300)*INDEX(Лист1!$L$34:$L$38,MATCH(Лист1!$B$8,Лист1!$I$34:$I$38,0),1),(5/384*($AT$3)*$D$17^4/(2.06*10^8*$AD320/10^8))/($D$17/200))</f>
        <v>5.5010906597668378E-2</v>
      </c>
      <c r="AU320" s="174"/>
      <c r="AV320" s="174">
        <f>IF(OR(MAX(AH320,AQ320)&gt;1,AK320&gt;Лист1!$B$20,N320="-"),999999999,Y320*Лист1!$B$7+0.0001*O320)</f>
        <v>999999999</v>
      </c>
      <c r="AX320" s="174">
        <f>IF(OR(MAX(AH320,AT320)&gt;1,AN320&gt;Лист1!$B$20,N320="-"),999999999,Y320*Лист1!$B$7+0.0001*O320)</f>
        <v>999999999</v>
      </c>
    </row>
    <row r="321" spans="14:50" ht="16.5" thickBot="1" x14ac:dyDescent="0.3">
      <c r="O321">
        <f t="shared" si="16"/>
        <v>318</v>
      </c>
      <c r="P321" s="227" t="s">
        <v>297</v>
      </c>
      <c r="Q321" s="227">
        <v>240</v>
      </c>
      <c r="R321" s="154" t="s">
        <v>398</v>
      </c>
      <c r="S321" s="148">
        <v>300</v>
      </c>
      <c r="T321" s="148">
        <v>300</v>
      </c>
      <c r="U321" s="24"/>
      <c r="V321" s="24"/>
      <c r="W321" s="24"/>
      <c r="X321" s="148">
        <v>111</v>
      </c>
      <c r="Y321" s="149">
        <v>86.8</v>
      </c>
      <c r="Z321" s="152">
        <v>7104</v>
      </c>
      <c r="AA321" s="150">
        <v>710</v>
      </c>
      <c r="AC321" s="151">
        <v>11</v>
      </c>
      <c r="AD321" s="149">
        <v>13351</v>
      </c>
      <c r="AE321" s="150">
        <v>890</v>
      </c>
      <c r="AF321" s="153">
        <v>8.01</v>
      </c>
      <c r="AH321" s="174">
        <f t="shared" si="15"/>
        <v>0.37453183520599254</v>
      </c>
      <c r="AI321" s="174"/>
      <c r="AJ321" s="186"/>
      <c r="AK321" s="174">
        <f>(($AK$2+Y321*Лист1!$B$7^2*Лист1!$G$8/100)/(AA321/10^6)+$AK$3/(AE321/10^6))/1000/($Q321*IF(Лист1!$J$19="да",1/1.05,1))</f>
        <v>5.6852554601146771E-2</v>
      </c>
      <c r="AL321" s="24"/>
      <c r="AM321" s="186"/>
      <c r="AN321" s="174">
        <f>(($AK$2+Y321*Лист1!$B$7^2*Лист1!$G$8/100)/(AA321/10^6)+$AK$3/(AE321/10^6))/1000/($Q321*IF(Лист1!$J$19="да",1/1.05,1))</f>
        <v>5.6852554601146771E-2</v>
      </c>
      <c r="AO321" s="24"/>
      <c r="AP321" s="186"/>
      <c r="AQ321" s="174">
        <f>MAX((5/384*($AQ$2+$Y321/100)*$D$17^4/(2.06*10^8*$Z321/10^8))/($D$17/300)*INDEX(Лист1!$L$34:$L$38,MATCH(Лист1!$B$8,Лист1!$I$34:$I$38,0),1),(5/384*($AQ$3)*$D$17^4/(2.06*10^8*$AD321/10^8))/($D$17/200))</f>
        <v>7.9449804021254275E-2</v>
      </c>
      <c r="AR321" s="174"/>
      <c r="AS321" s="175"/>
      <c r="AT321" s="174">
        <f>MAX((5/384*($AT$2+$Y321/100)*$D$17^4/(2.06*10^8*$Z321/10^8))/($D$17/300)*INDEX(Лист1!$L$34:$L$38,MATCH(Лист1!$B$8,Лист1!$I$34:$I$38,0),1),(5/384*($AT$3)*$D$17^4/(2.06*10^8*$AD321/10^8))/($D$17/200))</f>
        <v>5.5234334000262411E-2</v>
      </c>
      <c r="AU321" s="174"/>
      <c r="AV321" s="174">
        <f>IF(OR(MAX(AH321,AQ321)&gt;1,AK321&gt;Лист1!$B$20,N321="-"),999999999,Y321*Лист1!$B$7+0.0001*O321)</f>
        <v>520.83179999999993</v>
      </c>
      <c r="AX321" s="174">
        <f>IF(OR(MAX(AH321,AT321)&gt;1,AN321&gt;Лист1!$B$20,N321="-"),999999999,Y321*Лист1!$B$7+0.0001*O321)</f>
        <v>520.83179999999993</v>
      </c>
    </row>
    <row r="322" spans="14:50" ht="16.5" thickBot="1" x14ac:dyDescent="0.3">
      <c r="N322" t="s">
        <v>344</v>
      </c>
      <c r="O322">
        <f t="shared" si="16"/>
        <v>319</v>
      </c>
      <c r="P322" s="227" t="s">
        <v>297</v>
      </c>
      <c r="Q322" s="227">
        <v>240</v>
      </c>
      <c r="R322" s="154" t="s">
        <v>399</v>
      </c>
      <c r="S322" s="148">
        <v>300</v>
      </c>
      <c r="T322" s="148">
        <v>300</v>
      </c>
      <c r="U322" s="24"/>
      <c r="V322" s="24"/>
      <c r="W322" s="24"/>
      <c r="X322" s="148">
        <v>119</v>
      </c>
      <c r="Y322" s="149">
        <v>93.4</v>
      </c>
      <c r="Z322" s="152">
        <v>7553</v>
      </c>
      <c r="AA322" s="150">
        <v>755</v>
      </c>
      <c r="AC322" s="151">
        <v>10.95</v>
      </c>
      <c r="AD322" s="149">
        <v>12482</v>
      </c>
      <c r="AE322" s="150">
        <v>945</v>
      </c>
      <c r="AF322" s="153">
        <v>7.96</v>
      </c>
      <c r="AH322" s="174">
        <f t="shared" si="15"/>
        <v>0.37688442211055273</v>
      </c>
      <c r="AI322" s="174"/>
      <c r="AJ322" s="186"/>
      <c r="AK322" s="174">
        <f>(($AK$2+Y322*Лист1!$B$7^2*Лист1!$G$8/100)/(AA322/10^6)+$AK$3/(AE322/10^6))/1000/($Q322*IF(Лист1!$J$19="да",1/1.05,1))</f>
        <v>5.5131521452701102E-2</v>
      </c>
      <c r="AL322" s="24"/>
      <c r="AM322" s="186"/>
      <c r="AN322" s="174">
        <f>(($AK$2+Y322*Лист1!$B$7^2*Лист1!$G$8/100)/(AA322/10^6)+$AK$3/(AE322/10^6))/1000/($Q322*IF(Лист1!$J$19="да",1/1.05,1))</f>
        <v>5.5131521452701102E-2</v>
      </c>
      <c r="AO322" s="24"/>
      <c r="AP322" s="186"/>
      <c r="AQ322" s="174">
        <f>MAX((5/384*($AQ$2+$Y322/100)*$D$17^4/(2.06*10^8*$Z322/10^8))/($D$17/300)*INDEX(Лист1!$L$34:$L$38,MATCH(Лист1!$B$8,Лист1!$I$34:$I$38,0),1),(5/384*($AQ$3)*$D$17^4/(2.06*10^8*$AD322/10^8))/($D$17/200))</f>
        <v>7.8305861877039792E-2</v>
      </c>
      <c r="AR322" s="174"/>
      <c r="AS322" s="175"/>
      <c r="AT322" s="174">
        <f>MAX((5/384*($AT$2+$Y322/100)*$D$17^4/(2.06*10^8*$Z322/10^8))/($D$17/300)*INDEX(Лист1!$L$34:$L$38,MATCH(Лист1!$B$8,Лист1!$I$34:$I$38,0),1),(5/384*($AT$3)*$D$17^4/(2.06*10^8*$AD322/10^8))/($D$17/200))</f>
        <v>5.5529918671806608E-2</v>
      </c>
      <c r="AU322" s="174"/>
      <c r="AV322" s="174">
        <f>IF(OR(MAX(AH322,AQ322)&gt;1,AK322&gt;Лист1!$B$20,N322="-"),999999999,Y322*Лист1!$B$7+0.0001*O322)</f>
        <v>999999999</v>
      </c>
      <c r="AX322" s="174">
        <f>IF(OR(MAX(AH322,AT322)&gt;1,AN322&gt;Лист1!$B$20,N322="-"),999999999,Y322*Лист1!$B$7+0.0001*O322)</f>
        <v>999999999</v>
      </c>
    </row>
    <row r="323" spans="14:50" ht="16.5" thickBot="1" x14ac:dyDescent="0.3">
      <c r="N323" t="s">
        <v>344</v>
      </c>
      <c r="O323">
        <f t="shared" si="16"/>
        <v>320</v>
      </c>
      <c r="P323" s="227" t="s">
        <v>297</v>
      </c>
      <c r="Q323" s="227">
        <v>240</v>
      </c>
      <c r="R323" s="154" t="s">
        <v>400</v>
      </c>
      <c r="S323" s="148">
        <v>300</v>
      </c>
      <c r="T323" s="148">
        <v>300</v>
      </c>
      <c r="U323" s="24"/>
      <c r="V323" s="24"/>
      <c r="W323" s="24"/>
      <c r="X323" s="148">
        <v>127</v>
      </c>
      <c r="Y323" s="149">
        <v>99.8</v>
      </c>
      <c r="Z323" s="152">
        <v>7983</v>
      </c>
      <c r="AA323" s="150">
        <v>798</v>
      </c>
      <c r="AC323" s="151">
        <v>10.9</v>
      </c>
      <c r="AD323" s="149">
        <v>15054</v>
      </c>
      <c r="AE323" s="150">
        <v>1004</v>
      </c>
      <c r="AF323" s="153">
        <v>7.92</v>
      </c>
      <c r="AH323" s="174">
        <f t="shared" si="15"/>
        <v>0.37878787878787884</v>
      </c>
      <c r="AI323" s="174"/>
      <c r="AJ323" s="186"/>
      <c r="AK323" s="174">
        <f>(($AK$2+Y323*Лист1!$B$7^2*Лист1!$G$8/100)/(AA323/10^6)+$AK$3/(AE323/10^6))/1000/($Q323*IF(Лист1!$J$19="да",1/1.05,1))</f>
        <v>5.3571216991377894E-2</v>
      </c>
      <c r="AL323" s="24"/>
      <c r="AM323" s="186"/>
      <c r="AN323" s="174">
        <f>(($AK$2+Y323*Лист1!$B$7^2*Лист1!$G$8/100)/(AA323/10^6)+$AK$3/(AE323/10^6))/1000/($Q323*IF(Лист1!$J$19="да",1/1.05,1))</f>
        <v>5.3571216991377894E-2</v>
      </c>
      <c r="AO323" s="24"/>
      <c r="AP323" s="186"/>
      <c r="AQ323" s="174">
        <f>MAX((5/384*($AQ$2+$Y323/100)*$D$17^4/(2.06*10^8*$Z323/10^8))/($D$17/300)*INDEX(Лист1!$L$34:$L$38,MATCH(Лист1!$B$8,Лист1!$I$34:$I$38,0),1),(5/384*($AQ$3)*$D$17^4/(2.06*10^8*$AD323/10^8))/($D$17/200))</f>
        <v>7.7371635599435218E-2</v>
      </c>
      <c r="AR323" s="174"/>
      <c r="AS323" s="175"/>
      <c r="AT323" s="174">
        <f>MAX((5/384*($AT$2+$Y323/100)*$D$17^4/(2.06*10^8*$Z323/10^8))/($D$17/300)*INDEX(Лист1!$L$34:$L$38,MATCH(Лист1!$B$8,Лист1!$I$34:$I$38,0),1),(5/384*($AT$3)*$D$17^4/(2.06*10^8*$AD323/10^8))/($D$17/200))</f>
        <v>5.5822506321077936E-2</v>
      </c>
      <c r="AU323" s="174"/>
      <c r="AV323" s="174">
        <f>IF(OR(MAX(AH323,AQ323)&gt;1,AK323&gt;Лист1!$B$20,N323="-"),999999999,Y323*Лист1!$B$7+0.0001*O323)</f>
        <v>999999999</v>
      </c>
      <c r="AX323" s="174">
        <f>IF(OR(MAX(AH323,AT323)&gt;1,AN323&gt;Лист1!$B$20,N323="-"),999999999,Y323*Лист1!$B$7+0.0001*O323)</f>
        <v>999999999</v>
      </c>
    </row>
    <row r="324" spans="14:50" ht="16.5" thickBot="1" x14ac:dyDescent="0.3">
      <c r="N324" t="s">
        <v>344</v>
      </c>
      <c r="O324">
        <f t="shared" si="16"/>
        <v>321</v>
      </c>
      <c r="P324" s="227" t="s">
        <v>297</v>
      </c>
      <c r="Q324" s="227">
        <v>240</v>
      </c>
      <c r="R324" s="154" t="s">
        <v>401</v>
      </c>
      <c r="S324" s="148">
        <v>320</v>
      </c>
      <c r="T324" s="148">
        <v>320</v>
      </c>
      <c r="U324" s="24"/>
      <c r="V324" s="24"/>
      <c r="W324" s="24"/>
      <c r="X324" s="148">
        <v>75.8</v>
      </c>
      <c r="Y324" s="149">
        <v>59.5</v>
      </c>
      <c r="Z324" s="152">
        <v>4248</v>
      </c>
      <c r="AA324" s="150">
        <v>472</v>
      </c>
      <c r="AC324" s="151">
        <v>11.7</v>
      </c>
      <c r="AD324" s="149">
        <v>10341</v>
      </c>
      <c r="AE324" s="150">
        <v>646</v>
      </c>
      <c r="AF324" s="153">
        <v>7.49</v>
      </c>
      <c r="AH324" s="174">
        <f t="shared" si="15"/>
        <v>0.40053404539385845</v>
      </c>
      <c r="AI324" s="174"/>
      <c r="AJ324" s="186"/>
      <c r="AK324" s="174">
        <f>(($AK$2+Y324*Лист1!$B$7^2*Лист1!$G$8/100)/(AA324/10^6)+$AK$3/(AE324/10^6))/1000/($Q324*IF(Лист1!$J$19="да",1/1.05,1))</f>
        <v>7.2105986211876388E-2</v>
      </c>
      <c r="AL324" s="24"/>
      <c r="AM324" s="186"/>
      <c r="AN324" s="174">
        <f>(($AK$2+Y324*Лист1!$B$7^2*Лист1!$G$8/100)/(AA324/10^6)+$AK$3/(AE324/10^6))/1000/($Q324*IF(Лист1!$J$19="да",1/1.05,1))</f>
        <v>7.2105986211876388E-2</v>
      </c>
      <c r="AO324" s="24"/>
      <c r="AP324" s="186"/>
      <c r="AQ324" s="174">
        <f>MAX((5/384*($AQ$2+$Y324/100)*$D$17^4/(2.06*10^8*$Z324/10^8))/($D$17/300)*INDEX(Лист1!$L$34:$L$38,MATCH(Лист1!$B$8,Лист1!$I$34:$I$38,0),1),(5/384*($AQ$3)*$D$17^4/(2.06*10^8*$AD324/10^8))/($D$17/200))</f>
        <v>0.10654285626131316</v>
      </c>
      <c r="AR324" s="174"/>
      <c r="AS324" s="175"/>
      <c r="AT324" s="174">
        <f>MAX((5/384*($AT$2+$Y324/100)*$D$17^4/(2.06*10^8*$Z324/10^8))/($D$17/300)*INDEX(Лист1!$L$34:$L$38,MATCH(Лист1!$B$8,Лист1!$I$34:$I$38,0),1),(5/384*($AT$3)*$D$17^4/(2.06*10^8*$AD324/10^8))/($D$17/200))</f>
        <v>6.6046928994569695E-2</v>
      </c>
      <c r="AU324" s="174"/>
      <c r="AV324" s="174">
        <f>IF(OR(MAX(AH324,AQ324)&gt;1,AK324&gt;Лист1!$B$20,N324="-"),999999999,Y324*Лист1!$B$7+0.0001*O324)</f>
        <v>999999999</v>
      </c>
      <c r="AX324" s="174">
        <f>IF(OR(MAX(AH324,AT324)&gt;1,AN324&gt;Лист1!$B$20,N324="-"),999999999,Y324*Лист1!$B$7+0.0001*O324)</f>
        <v>999999999</v>
      </c>
    </row>
    <row r="325" spans="14:50" ht="16.5" thickBot="1" x14ac:dyDescent="0.3">
      <c r="N325" t="s">
        <v>344</v>
      </c>
      <c r="O325">
        <f t="shared" si="16"/>
        <v>322</v>
      </c>
      <c r="P325" s="227" t="s">
        <v>297</v>
      </c>
      <c r="Q325" s="227">
        <v>240</v>
      </c>
      <c r="R325" s="154" t="s">
        <v>402</v>
      </c>
      <c r="S325" s="148">
        <v>320</v>
      </c>
      <c r="T325" s="148">
        <v>320</v>
      </c>
      <c r="U325" s="24"/>
      <c r="V325" s="24"/>
      <c r="W325" s="24"/>
      <c r="X325" s="148">
        <v>93.4</v>
      </c>
      <c r="Y325" s="149">
        <v>73.3</v>
      </c>
      <c r="Z325" s="152">
        <v>5111</v>
      </c>
      <c r="AA325" s="150">
        <v>568</v>
      </c>
      <c r="AC325" s="151">
        <v>11.6</v>
      </c>
      <c r="AD325" s="149">
        <v>12506</v>
      </c>
      <c r="AE325" s="150">
        <v>782</v>
      </c>
      <c r="AF325" s="153">
        <v>7.4</v>
      </c>
      <c r="AH325" s="174">
        <f t="shared" ref="AH325:AH388" si="17">MAX($D$18*100/$AC325,$D$17*100/$AF325)/200</f>
        <v>0.40540540540540543</v>
      </c>
      <c r="AI325" s="174"/>
      <c r="AJ325" s="186"/>
      <c r="AK325" s="174">
        <f>(($AK$2+Y325*Лист1!$B$7^2*Лист1!$G$8/100)/(AA325/10^6)+$AK$3/(AE325/10^6))/1000/($Q325*IF(Лист1!$J$19="да",1/1.05,1))</f>
        <v>6.4337483119240368E-2</v>
      </c>
      <c r="AL325" s="24"/>
      <c r="AM325" s="186"/>
      <c r="AN325" s="174">
        <f>(($AK$2+Y325*Лист1!$B$7^2*Лист1!$G$8/100)/(AA325/10^6)+$AK$3/(AE325/10^6))/1000/($Q325*IF(Лист1!$J$19="да",1/1.05,1))</f>
        <v>6.4337483119240368E-2</v>
      </c>
      <c r="AO325" s="24"/>
      <c r="AP325" s="186"/>
      <c r="AQ325" s="174">
        <f>MAX((5/384*($AQ$2+$Y325/100)*$D$17^4/(2.06*10^8*$Z325/10^8))/($D$17/300)*INDEX(Лист1!$L$34:$L$38,MATCH(Лист1!$B$8,Лист1!$I$34:$I$38,0),1),(5/384*($AQ$3)*$D$17^4/(2.06*10^8*$AD325/10^8))/($D$17/200))</f>
        <v>9.9612035149772141E-2</v>
      </c>
      <c r="AR325" s="174"/>
      <c r="AS325" s="175"/>
      <c r="AT325" s="174">
        <f>MAX((5/384*($AT$2+$Y325/100)*$D$17^4/(2.06*10^8*$Z325/10^8))/($D$17/300)*INDEX(Лист1!$L$34:$L$38,MATCH(Лист1!$B$8,Лист1!$I$34:$I$38,0),1),(5/384*($AT$3)*$D$17^4/(2.06*10^8*$AD325/10^8))/($D$17/200))</f>
        <v>6.5953905815174962E-2</v>
      </c>
      <c r="AU325" s="174"/>
      <c r="AV325" s="174">
        <f>IF(OR(MAX(AH325,AQ325)&gt;1,AK325&gt;Лист1!$B$20,N325="-"),999999999,Y325*Лист1!$B$7+0.0001*O325)</f>
        <v>999999999</v>
      </c>
      <c r="AX325" s="174">
        <f>IF(OR(MAX(AH325,AT325)&gt;1,AN325&gt;Лист1!$B$20,N325="-"),999999999,Y325*Лист1!$B$7+0.0001*O325)</f>
        <v>999999999</v>
      </c>
    </row>
    <row r="326" spans="14:50" ht="16.5" thickBot="1" x14ac:dyDescent="0.3">
      <c r="N326" t="s">
        <v>344</v>
      </c>
      <c r="O326">
        <f t="shared" si="16"/>
        <v>323</v>
      </c>
      <c r="P326" s="227" t="s">
        <v>297</v>
      </c>
      <c r="Q326" s="227">
        <v>240</v>
      </c>
      <c r="R326" s="154" t="s">
        <v>403</v>
      </c>
      <c r="S326" s="148">
        <v>320</v>
      </c>
      <c r="T326" s="148">
        <v>320</v>
      </c>
      <c r="U326" s="24"/>
      <c r="V326" s="24"/>
      <c r="W326" s="24"/>
      <c r="X326" s="148">
        <v>111</v>
      </c>
      <c r="Y326" s="149">
        <v>86.8</v>
      </c>
      <c r="Z326" s="152">
        <v>5899</v>
      </c>
      <c r="AA326" s="150">
        <v>655</v>
      </c>
      <c r="AC326" s="151">
        <v>11.5</v>
      </c>
      <c r="AD326" s="149">
        <v>14511</v>
      </c>
      <c r="AE326" s="150">
        <v>907</v>
      </c>
      <c r="AF326" s="153">
        <v>7.31</v>
      </c>
      <c r="AH326" s="174">
        <f t="shared" si="17"/>
        <v>0.41039671682626538</v>
      </c>
      <c r="AI326" s="174"/>
      <c r="AJ326" s="186"/>
      <c r="AK326" s="174">
        <f>(($AK$2+Y326*Лист1!$B$7^2*Лист1!$G$8/100)/(AA326/10^6)+$AK$3/(AE326/10^6))/1000/($Q326*IF(Лист1!$J$19="да",1/1.05,1))</f>
        <v>5.9541033240878873E-2</v>
      </c>
      <c r="AL326" s="24"/>
      <c r="AM326" s="186"/>
      <c r="AN326" s="174">
        <f>(($AK$2+Y326*Лист1!$B$7^2*Лист1!$G$8/100)/(AA326/10^6)+$AK$3/(AE326/10^6))/1000/($Q326*IF(Лист1!$J$19="да",1/1.05,1))</f>
        <v>5.9541033240878873E-2</v>
      </c>
      <c r="AO326" s="24"/>
      <c r="AP326" s="186"/>
      <c r="AQ326" s="174">
        <f>MAX((5/384*($AQ$2+$Y326/100)*$D$17^4/(2.06*10^8*$Z326/10^8))/($D$17/300)*INDEX(Лист1!$L$34:$L$38,MATCH(Лист1!$B$8,Лист1!$I$34:$I$38,0),1),(5/384*($AQ$3)*$D$17^4/(2.06*10^8*$AD326/10^8))/($D$17/200))</f>
        <v>9.5679167276994465E-2</v>
      </c>
      <c r="AR326" s="174"/>
      <c r="AS326" s="175"/>
      <c r="AT326" s="174">
        <f>MAX((5/384*($AT$2+$Y326/100)*$D$17^4/(2.06*10^8*$Z326/10^8))/($D$17/300)*INDEX(Лист1!$L$34:$L$38,MATCH(Лист1!$B$8,Лист1!$I$34:$I$38,0),1),(5/384*($AT$3)*$D$17^4/(2.06*10^8*$AD326/10^8))/($D$17/200))</f>
        <v>6.651715693132125E-2</v>
      </c>
      <c r="AU326" s="174"/>
      <c r="AV326" s="174">
        <f>IF(OR(MAX(AH326,AQ326)&gt;1,AK326&gt;Лист1!$B$20,N326="-"),999999999,Y326*Лист1!$B$7+0.0001*O326)</f>
        <v>999999999</v>
      </c>
      <c r="AX326" s="174">
        <f>IF(OR(MAX(AH326,AT326)&gt;1,AN326&gt;Лист1!$B$20,N326="-"),999999999,Y326*Лист1!$B$7+0.0001*O326)</f>
        <v>999999999</v>
      </c>
    </row>
    <row r="327" spans="14:50" ht="16.5" thickBot="1" x14ac:dyDescent="0.3">
      <c r="N327" t="s">
        <v>344</v>
      </c>
      <c r="O327">
        <f t="shared" si="16"/>
        <v>324</v>
      </c>
      <c r="P327" s="227" t="s">
        <v>297</v>
      </c>
      <c r="Q327" s="227">
        <v>240</v>
      </c>
      <c r="R327" s="154" t="s">
        <v>404</v>
      </c>
      <c r="S327" s="148">
        <v>320</v>
      </c>
      <c r="T327" s="148">
        <v>320</v>
      </c>
      <c r="U327" s="24"/>
      <c r="V327" s="24"/>
      <c r="W327" s="24"/>
      <c r="X327" s="148">
        <v>127</v>
      </c>
      <c r="Y327" s="149">
        <v>99.8</v>
      </c>
      <c r="Z327" s="152">
        <v>6617</v>
      </c>
      <c r="AA327" s="150">
        <v>735</v>
      </c>
      <c r="AC327" s="151">
        <v>11.3</v>
      </c>
      <c r="AD327" s="149">
        <v>16359</v>
      </c>
      <c r="AE327" s="150">
        <v>1022</v>
      </c>
      <c r="AF327" s="153">
        <v>7.21</v>
      </c>
      <c r="AH327" s="174">
        <f t="shared" si="17"/>
        <v>0.41608876560332875</v>
      </c>
      <c r="AI327" s="174"/>
      <c r="AJ327" s="186"/>
      <c r="AK327" s="174">
        <f>(($AK$2+Y327*Лист1!$B$7^2*Лист1!$G$8/100)/(AA327/10^6)+$AK$3/(AE327/10^6))/1000/($Q327*IF(Лист1!$J$19="да",1/1.05,1))</f>
        <v>5.6303369092687731E-2</v>
      </c>
      <c r="AL327" s="24"/>
      <c r="AM327" s="186"/>
      <c r="AN327" s="174">
        <f>(($AK$2+Y327*Лист1!$B$7^2*Лист1!$G$8/100)/(AA327/10^6)+$AK$3/(AE327/10^6))/1000/($Q327*IF(Лист1!$J$19="да",1/1.05,1))</f>
        <v>5.6303369092687731E-2</v>
      </c>
      <c r="AO327" s="24"/>
      <c r="AP327" s="186"/>
      <c r="AQ327" s="174">
        <f>MAX((5/384*($AQ$2+$Y327/100)*$D$17^4/(2.06*10^8*$Z327/10^8))/($D$17/300)*INDEX(Лист1!$L$34:$L$38,MATCH(Лист1!$B$8,Лист1!$I$34:$I$38,0),1),(5/384*($AQ$3)*$D$17^4/(2.06*10^8*$AD327/10^8))/($D$17/200))</f>
        <v>9.3344078432868571E-2</v>
      </c>
      <c r="AR327" s="174"/>
      <c r="AS327" s="175"/>
      <c r="AT327" s="174">
        <f>MAX((5/384*($AT$2+$Y327/100)*$D$17^4/(2.06*10^8*$Z327/10^8))/($D$17/300)*INDEX(Лист1!$L$34:$L$38,MATCH(Лист1!$B$8,Лист1!$I$34:$I$38,0),1),(5/384*($AT$3)*$D$17^4/(2.06*10^8*$AD327/10^8))/($D$17/200))</f>
        <v>6.7346390805677059E-2</v>
      </c>
      <c r="AU327" s="174"/>
      <c r="AV327" s="174">
        <f>IF(OR(MAX(AH327,AQ327)&gt;1,AK327&gt;Лист1!$B$20,N327="-"),999999999,Y327*Лист1!$B$7+0.0001*O327)</f>
        <v>999999999</v>
      </c>
      <c r="AX327" s="174">
        <f>IF(OR(MAX(AH327,AT327)&gt;1,AN327&gt;Лист1!$B$20,N327="-"),999999999,Y327*Лист1!$B$7+0.0001*O327)</f>
        <v>999999999</v>
      </c>
    </row>
    <row r="328" spans="14:50" ht="16.5" thickBot="1" x14ac:dyDescent="0.3">
      <c r="N328" t="s">
        <v>344</v>
      </c>
      <c r="O328">
        <f t="shared" si="16"/>
        <v>325</v>
      </c>
      <c r="P328" s="227" t="s">
        <v>297</v>
      </c>
      <c r="Q328" s="227">
        <v>240</v>
      </c>
      <c r="R328" s="154" t="s">
        <v>405</v>
      </c>
      <c r="S328" s="148">
        <v>340</v>
      </c>
      <c r="T328" s="148">
        <v>340</v>
      </c>
      <c r="U328" s="24"/>
      <c r="V328" s="24"/>
      <c r="W328" s="24"/>
      <c r="X328" s="148">
        <v>84.7</v>
      </c>
      <c r="Y328" s="149">
        <v>66.5</v>
      </c>
      <c r="Z328" s="152">
        <v>3793</v>
      </c>
      <c r="AA328" s="150">
        <v>474</v>
      </c>
      <c r="AC328" s="151">
        <v>12.1</v>
      </c>
      <c r="AD328" s="149">
        <v>12306</v>
      </c>
      <c r="AE328" s="150">
        <v>724</v>
      </c>
      <c r="AF328" s="153">
        <v>6.69</v>
      </c>
      <c r="AH328" s="174">
        <f t="shared" si="17"/>
        <v>0.44843049327354256</v>
      </c>
      <c r="AI328" s="174"/>
      <c r="AJ328" s="186"/>
      <c r="AK328" s="174">
        <f>(($AK$2+Y328*Лист1!$B$7^2*Лист1!$G$8/100)/(AA328/10^6)+$AK$3/(AE328/10^6))/1000/($Q328*IF(Лист1!$J$19="да",1/1.05,1))</f>
        <v>7.1675198057401496E-2</v>
      </c>
      <c r="AL328" s="24"/>
      <c r="AM328" s="186"/>
      <c r="AN328" s="174">
        <f>(($AK$2+Y328*Лист1!$B$7^2*Лист1!$G$8/100)/(AA328/10^6)+$AK$3/(AE328/10^6))/1000/($Q328*IF(Лист1!$J$19="да",1/1.05,1))</f>
        <v>7.1675198057401496E-2</v>
      </c>
      <c r="AO328" s="24"/>
      <c r="AP328" s="186"/>
      <c r="AQ328" s="174">
        <f>MAX((5/384*($AQ$2+$Y328/100)*$D$17^4/(2.06*10^8*$Z328/10^8))/($D$17/300)*INDEX(Лист1!$L$34:$L$38,MATCH(Лист1!$B$8,Лист1!$I$34:$I$38,0),1),(5/384*($AQ$3)*$D$17^4/(2.06*10^8*$AD328/10^8))/($D$17/200))</f>
        <v>0.12688245976876159</v>
      </c>
      <c r="AR328" s="174"/>
      <c r="AS328" s="175"/>
      <c r="AT328" s="174">
        <f>MAX((5/384*($AT$2+$Y328/100)*$D$17^4/(2.06*10^8*$Z328/10^8))/($D$17/300)*INDEX(Лист1!$L$34:$L$38,MATCH(Лист1!$B$8,Лист1!$I$34:$I$38,0),1),(5/384*($AT$3)*$D$17^4/(2.06*10^8*$AD328/10^8))/($D$17/200))</f>
        <v>8.1528729468438282E-2</v>
      </c>
      <c r="AU328" s="174"/>
      <c r="AV328" s="174">
        <f>IF(OR(MAX(AH328,AQ328)&gt;1,AK328&gt;Лист1!$B$20,N328="-"),999999999,Y328*Лист1!$B$7+0.0001*O328)</f>
        <v>999999999</v>
      </c>
      <c r="AX328" s="174">
        <f>IF(OR(MAX(AH328,AT328)&gt;1,AN328&gt;Лист1!$B$20,N328="-"),999999999,Y328*Лист1!$B$7+0.0001*O328)</f>
        <v>999999999</v>
      </c>
    </row>
    <row r="329" spans="14:50" ht="16.5" thickBot="1" x14ac:dyDescent="0.3">
      <c r="N329" t="s">
        <v>344</v>
      </c>
      <c r="O329">
        <f t="shared" si="16"/>
        <v>326</v>
      </c>
      <c r="P329" s="227" t="s">
        <v>297</v>
      </c>
      <c r="Q329" s="227">
        <v>240</v>
      </c>
      <c r="R329" s="154" t="s">
        <v>406</v>
      </c>
      <c r="S329" s="148">
        <v>340</v>
      </c>
      <c r="T329" s="148">
        <v>340</v>
      </c>
      <c r="U329" s="24"/>
      <c r="V329" s="24"/>
      <c r="W329" s="24"/>
      <c r="X329" s="148">
        <v>93.4</v>
      </c>
      <c r="Y329" s="149">
        <v>73.3</v>
      </c>
      <c r="Z329" s="152">
        <v>4130</v>
      </c>
      <c r="AA329" s="150">
        <v>516</v>
      </c>
      <c r="AC329" s="151">
        <v>12</v>
      </c>
      <c r="AD329" s="149">
        <v>13446</v>
      </c>
      <c r="AE329" s="150">
        <v>791</v>
      </c>
      <c r="AF329" s="153">
        <v>6.65</v>
      </c>
      <c r="AH329" s="174">
        <f t="shared" si="17"/>
        <v>0.45112781954887216</v>
      </c>
      <c r="AI329" s="174"/>
      <c r="AJ329" s="186"/>
      <c r="AK329" s="174">
        <f>(($AK$2+Y329*Лист1!$B$7^2*Лист1!$G$8/100)/(AA329/10^6)+$AK$3/(AE329/10^6))/1000/($Q329*IF(Лист1!$J$19="да",1/1.05,1))</f>
        <v>6.8229549078002896E-2</v>
      </c>
      <c r="AL329" s="24"/>
      <c r="AM329" s="186"/>
      <c r="AN329" s="174">
        <f>(($AK$2+Y329*Лист1!$B$7^2*Лист1!$G$8/100)/(AA329/10^6)+$AK$3/(AE329/10^6))/1000/($Q329*IF(Лист1!$J$19="да",1/1.05,1))</f>
        <v>6.8229549078002896E-2</v>
      </c>
      <c r="AO329" s="24"/>
      <c r="AP329" s="186"/>
      <c r="AQ329" s="174">
        <f>MAX((5/384*($AQ$2+$Y329/100)*$D$17^4/(2.06*10^8*$Z329/10^8))/($D$17/300)*INDEX(Лист1!$L$34:$L$38,MATCH(Лист1!$B$8,Лист1!$I$34:$I$38,0),1),(5/384*($AQ$3)*$D$17^4/(2.06*10^8*$AD329/10^8))/($D$17/200))</f>
        <v>0.12327290838994806</v>
      </c>
      <c r="AR329" s="174"/>
      <c r="AS329" s="175"/>
      <c r="AT329" s="174">
        <f>MAX((5/384*($AT$2+$Y329/100)*$D$17^4/(2.06*10^8*$Z329/10^8))/($D$17/300)*INDEX(Лист1!$L$34:$L$38,MATCH(Лист1!$B$8,Лист1!$I$34:$I$38,0),1),(5/384*($AT$3)*$D$17^4/(2.06*10^8*$AD329/10^8))/($D$17/200))</f>
        <v>8.1619954629869054E-2</v>
      </c>
      <c r="AU329" s="174"/>
      <c r="AV329" s="174">
        <f>IF(OR(MAX(AH329,AQ329)&gt;1,AK329&gt;Лист1!$B$20,N329="-"),999999999,Y329*Лист1!$B$7+0.0001*O329)</f>
        <v>999999999</v>
      </c>
      <c r="AX329" s="174">
        <f>IF(OR(MAX(AH329,AT329)&gt;1,AN329&gt;Лист1!$B$20,N329="-"),999999999,Y329*Лист1!$B$7+0.0001*O329)</f>
        <v>999999999</v>
      </c>
    </row>
    <row r="330" spans="14:50" ht="16.5" thickBot="1" x14ac:dyDescent="0.3">
      <c r="N330" t="s">
        <v>344</v>
      </c>
      <c r="O330">
        <f t="shared" si="16"/>
        <v>327</v>
      </c>
      <c r="P330" s="227" t="s">
        <v>297</v>
      </c>
      <c r="Q330" s="227">
        <v>240</v>
      </c>
      <c r="R330" s="154" t="s">
        <v>407</v>
      </c>
      <c r="S330" s="148">
        <v>340</v>
      </c>
      <c r="T330" s="148">
        <v>340</v>
      </c>
      <c r="U330" s="24"/>
      <c r="V330" s="24"/>
      <c r="W330" s="24"/>
      <c r="X330" s="148">
        <v>111</v>
      </c>
      <c r="Y330" s="149">
        <v>86.8</v>
      </c>
      <c r="Z330" s="152">
        <v>4755</v>
      </c>
      <c r="AA330" s="150">
        <v>594</v>
      </c>
      <c r="AC330" s="151">
        <v>11.9</v>
      </c>
      <c r="AD330" s="149">
        <v>15596</v>
      </c>
      <c r="AE330" s="150">
        <v>917</v>
      </c>
      <c r="AF330" s="153">
        <v>6.56</v>
      </c>
      <c r="AH330" s="174">
        <f t="shared" si="17"/>
        <v>0.45731707317073172</v>
      </c>
      <c r="AI330" s="174"/>
      <c r="AJ330" s="186"/>
      <c r="AK330" s="174">
        <f>(($AK$2+Y330*Лист1!$B$7^2*Лист1!$G$8/100)/(AA330/10^6)+$AK$3/(AE330/10^6))/1000/($Q330*IF(Лист1!$J$19="да",1/1.05,1))</f>
        <v>6.3392321637341972E-2</v>
      </c>
      <c r="AL330" s="24"/>
      <c r="AM330" s="186"/>
      <c r="AN330" s="174">
        <f>(($AK$2+Y330*Лист1!$B$7^2*Лист1!$G$8/100)/(AA330/10^6)+$AK$3/(AE330/10^6))/1000/($Q330*IF(Лист1!$J$19="да",1/1.05,1))</f>
        <v>6.3392321637341972E-2</v>
      </c>
      <c r="AO330" s="24"/>
      <c r="AP330" s="186"/>
      <c r="AQ330" s="174">
        <f>MAX((5/384*($AQ$2+$Y330/100)*$D$17^4/(2.06*10^8*$Z330/10^8))/($D$17/300)*INDEX(Лист1!$L$34:$L$38,MATCH(Лист1!$B$8,Лист1!$I$34:$I$38,0),1),(5/384*($AQ$3)*$D$17^4/(2.06*10^8*$AD330/10^8))/($D$17/200))</f>
        <v>0.11869850846834709</v>
      </c>
      <c r="AR330" s="174"/>
      <c r="AS330" s="175"/>
      <c r="AT330" s="174">
        <f>MAX((5/384*($AT$2+$Y330/100)*$D$17^4/(2.06*10^8*$Z330/10^8))/($D$17/300)*INDEX(Лист1!$L$34:$L$38,MATCH(Лист1!$B$8,Лист1!$I$34:$I$38,0),1),(5/384*($AT$3)*$D$17^4/(2.06*10^8*$AD330/10^8))/($D$17/200))</f>
        <v>8.2520443477994559E-2</v>
      </c>
      <c r="AU330" s="174"/>
      <c r="AV330" s="174">
        <f>IF(OR(MAX(AH330,AQ330)&gt;1,AK330&gt;Лист1!$B$20,N330="-"),999999999,Y330*Лист1!$B$7+0.0001*O330)</f>
        <v>999999999</v>
      </c>
      <c r="AX330" s="174">
        <f>IF(OR(MAX(AH330,AT330)&gt;1,AN330&gt;Лист1!$B$20,N330="-"),999999999,Y330*Лист1!$B$7+0.0001*O330)</f>
        <v>999999999</v>
      </c>
    </row>
    <row r="331" spans="14:50" ht="16.5" thickBot="1" x14ac:dyDescent="0.3">
      <c r="N331" t="s">
        <v>344</v>
      </c>
      <c r="O331">
        <f t="shared" si="16"/>
        <v>328</v>
      </c>
      <c r="P331" s="227" t="s">
        <v>297</v>
      </c>
      <c r="Q331" s="227">
        <v>240</v>
      </c>
      <c r="R331" s="154" t="s">
        <v>408</v>
      </c>
      <c r="S331" s="148">
        <v>340</v>
      </c>
      <c r="T331" s="148">
        <v>340</v>
      </c>
      <c r="U331" s="24"/>
      <c r="V331" s="24"/>
      <c r="W331" s="24"/>
      <c r="X331" s="148">
        <v>127</v>
      </c>
      <c r="Y331" s="149">
        <v>99.8</v>
      </c>
      <c r="Z331" s="152">
        <v>5319</v>
      </c>
      <c r="AA331" s="150">
        <v>655</v>
      </c>
      <c r="AC331" s="151">
        <v>11.8</v>
      </c>
      <c r="AD331" s="149">
        <v>17576</v>
      </c>
      <c r="AE331" s="150">
        <v>1034</v>
      </c>
      <c r="AF331" s="153">
        <v>6.47</v>
      </c>
      <c r="AH331" s="174">
        <f t="shared" si="17"/>
        <v>0.46367851622874812</v>
      </c>
      <c r="AI331" s="174"/>
      <c r="AJ331" s="186"/>
      <c r="AK331" s="174">
        <f>(($AK$2+Y331*Лист1!$B$7^2*Лист1!$G$8/100)/(AA331/10^6)+$AK$3/(AE331/10^6))/1000/($Q331*IF(Лист1!$J$19="да",1/1.05,1))</f>
        <v>6.081542033887153E-2</v>
      </c>
      <c r="AL331" s="24"/>
      <c r="AM331" s="186"/>
      <c r="AN331" s="174">
        <f>(($AK$2+Y331*Лист1!$B$7^2*Лист1!$G$8/100)/(AA331/10^6)+$AK$3/(AE331/10^6))/1000/($Q331*IF(Лист1!$J$19="да",1/1.05,1))</f>
        <v>6.081542033887153E-2</v>
      </c>
      <c r="AO331" s="24"/>
      <c r="AP331" s="186"/>
      <c r="AQ331" s="174">
        <f>MAX((5/384*($AQ$2+$Y331/100)*$D$17^4/(2.06*10^8*$Z331/10^8))/($D$17/300)*INDEX(Лист1!$L$34:$L$38,MATCH(Лист1!$B$8,Лист1!$I$34:$I$38,0),1),(5/384*($AQ$3)*$D$17^4/(2.06*10^8*$AD331/10^8))/($D$17/200))</f>
        <v>0.11612291163570057</v>
      </c>
      <c r="AR331" s="174"/>
      <c r="AS331" s="175"/>
      <c r="AT331" s="174">
        <f>MAX((5/384*($AT$2+$Y331/100)*$D$17^4/(2.06*10^8*$Z331/10^8))/($D$17/300)*INDEX(Лист1!$L$34:$L$38,MATCH(Лист1!$B$8,Лист1!$I$34:$I$38,0),1),(5/384*($AT$3)*$D$17^4/(2.06*10^8*$AD331/10^8))/($D$17/200))</f>
        <v>8.3780986644325095E-2</v>
      </c>
      <c r="AU331" s="174"/>
      <c r="AV331" s="174">
        <f>IF(OR(MAX(AH331,AQ331)&gt;1,AK331&gt;Лист1!$B$20,N331="-"),999999999,Y331*Лист1!$B$7+0.0001*O331)</f>
        <v>999999999</v>
      </c>
      <c r="AX331" s="174">
        <f>IF(OR(MAX(AH331,AT331)&gt;1,AN331&gt;Лист1!$B$20,N331="-"),999999999,Y331*Лист1!$B$7+0.0001*O331)</f>
        <v>999999999</v>
      </c>
    </row>
    <row r="332" spans="14:50" ht="16.5" thickBot="1" x14ac:dyDescent="0.3">
      <c r="N332" t="s">
        <v>344</v>
      </c>
      <c r="O332">
        <f t="shared" si="16"/>
        <v>329</v>
      </c>
      <c r="P332" s="227" t="s">
        <v>297</v>
      </c>
      <c r="Q332" s="227">
        <v>240</v>
      </c>
      <c r="R332" s="154" t="s">
        <v>409</v>
      </c>
      <c r="S332" s="148">
        <v>340</v>
      </c>
      <c r="T332" s="148">
        <v>340</v>
      </c>
      <c r="U332" s="24"/>
      <c r="V332" s="24"/>
      <c r="W332" s="24"/>
      <c r="X332" s="148">
        <v>113</v>
      </c>
      <c r="Y332" s="149">
        <v>89</v>
      </c>
      <c r="Z332" s="152">
        <v>12510</v>
      </c>
      <c r="AA332" s="150">
        <v>962</v>
      </c>
      <c r="AC332" s="151">
        <v>12.9</v>
      </c>
      <c r="AD332" s="149">
        <v>18892</v>
      </c>
      <c r="AE332" s="150">
        <v>1111</v>
      </c>
      <c r="AF332" s="153">
        <v>10.5</v>
      </c>
      <c r="AH332" s="174">
        <f t="shared" si="17"/>
        <v>0.28571428571428575</v>
      </c>
      <c r="AI332" s="174"/>
      <c r="AJ332" s="186"/>
      <c r="AK332" s="174">
        <f>(($AK$2+Y332*Лист1!$B$7^2*Лист1!$G$8/100)/(AA332/10^6)+$AK$3/(AE332/10^6))/1000/($Q332*IF(Лист1!$J$19="да",1/1.05,1))</f>
        <v>4.3668382927549126E-2</v>
      </c>
      <c r="AL332" s="24"/>
      <c r="AM332" s="186"/>
      <c r="AN332" s="174">
        <f>(($AK$2+Y332*Лист1!$B$7^2*Лист1!$G$8/100)/(AA332/10^6)+$AK$3/(AE332/10^6))/1000/($Q332*IF(Лист1!$J$19="да",1/1.05,1))</f>
        <v>4.3668382927549126E-2</v>
      </c>
      <c r="AO332" s="24"/>
      <c r="AP332" s="186"/>
      <c r="AQ332" s="174">
        <f>MAX((5/384*($AQ$2+$Y332/100)*$D$17^4/(2.06*10^8*$Z332/10^8))/($D$17/300)*INDEX(Лист1!$L$34:$L$38,MATCH(Лист1!$B$8,Лист1!$I$34:$I$38,0),1),(5/384*($AQ$3)*$D$17^4/(2.06*10^8*$AD332/10^8))/($D$17/200))</f>
        <v>4.5837116714395477E-2</v>
      </c>
      <c r="AR332" s="174"/>
      <c r="AS332" s="175"/>
      <c r="AT332" s="174">
        <f>MAX((5/384*($AT$2+$Y332/100)*$D$17^4/(2.06*10^8*$Z332/10^8))/($D$17/300)*INDEX(Лист1!$L$34:$L$38,MATCH(Лист1!$B$8,Лист1!$I$34:$I$38,0),1),(5/384*($AT$3)*$D$17^4/(2.06*10^8*$AD332/10^8))/($D$17/200))</f>
        <v>3.2085981700076836E-2</v>
      </c>
      <c r="AU332" s="174"/>
      <c r="AV332" s="174">
        <f>IF(OR(MAX(AH332,AQ332)&gt;1,AK332&gt;Лист1!$B$20,N332="-"),999999999,Y332*Лист1!$B$7+0.0001*O332)</f>
        <v>999999999</v>
      </c>
      <c r="AX332" s="174">
        <f>IF(OR(MAX(AH332,AT332)&gt;1,AN332&gt;Лист1!$B$20,N332="-"),999999999,Y332*Лист1!$B$7+0.0001*O332)</f>
        <v>999999999</v>
      </c>
    </row>
    <row r="333" spans="14:50" ht="16.5" thickBot="1" x14ac:dyDescent="0.3">
      <c r="N333" t="s">
        <v>344</v>
      </c>
      <c r="O333">
        <f t="shared" si="16"/>
        <v>330</v>
      </c>
      <c r="P333" s="227" t="s">
        <v>297</v>
      </c>
      <c r="Q333" s="227">
        <v>240</v>
      </c>
      <c r="R333" s="154" t="s">
        <v>410</v>
      </c>
      <c r="S333" s="148">
        <v>340</v>
      </c>
      <c r="T333" s="148">
        <v>340</v>
      </c>
      <c r="U333" s="24"/>
      <c r="V333" s="24"/>
      <c r="W333" s="24"/>
      <c r="X333" s="148">
        <v>135</v>
      </c>
      <c r="Y333" s="149">
        <v>106</v>
      </c>
      <c r="Z333" s="152">
        <v>14577</v>
      </c>
      <c r="AA333" s="150">
        <v>1121</v>
      </c>
      <c r="AC333" s="151">
        <v>12.8</v>
      </c>
      <c r="AD333" s="149">
        <v>22054</v>
      </c>
      <c r="AE333" s="150">
        <v>1297</v>
      </c>
      <c r="AF333" s="153">
        <v>10.4</v>
      </c>
      <c r="AH333" s="174">
        <f t="shared" si="17"/>
        <v>0.28846153846153849</v>
      </c>
      <c r="AI333" s="174"/>
      <c r="AJ333" s="186"/>
      <c r="AK333" s="174">
        <f>(($AK$2+Y333*Лист1!$B$7^2*Лист1!$G$8/100)/(AA333/10^6)+$AK$3/(AE333/10^6))/1000/($Q333*IF(Лист1!$J$19="да",1/1.05,1))</f>
        <v>4.0292466797811503E-2</v>
      </c>
      <c r="AL333" s="24"/>
      <c r="AM333" s="186"/>
      <c r="AN333" s="174">
        <f>(($AK$2+Y333*Лист1!$B$7^2*Лист1!$G$8/100)/(AA333/10^6)+$AK$3/(AE333/10^6))/1000/($Q333*IF(Лист1!$J$19="да",1/1.05,1))</f>
        <v>4.0292466797811503E-2</v>
      </c>
      <c r="AO333" s="24"/>
      <c r="AP333" s="186"/>
      <c r="AQ333" s="174">
        <f>MAX((5/384*($AQ$2+$Y333/100)*$D$17^4/(2.06*10^8*$Z333/10^8))/($D$17/300)*INDEX(Лист1!$L$34:$L$38,MATCH(Лист1!$B$8,Лист1!$I$34:$I$38,0),1),(5/384*($AQ$3)*$D$17^4/(2.06*10^8*$AD333/10^8))/($D$17/200))</f>
        <v>4.4114165086507472E-2</v>
      </c>
      <c r="AR333" s="174"/>
      <c r="AS333" s="175"/>
      <c r="AT333" s="174">
        <f>MAX((5/384*($AT$2+$Y333/100)*$D$17^4/(2.06*10^8*$Z333/10^8))/($D$17/300)*INDEX(Лист1!$L$34:$L$38,MATCH(Лист1!$B$8,Лист1!$I$34:$I$38,0),1),(5/384*($AT$3)*$D$17^4/(2.06*10^8*$AD333/10^8))/($D$17/200))</f>
        <v>3.2312923471008663E-2</v>
      </c>
      <c r="AU333" s="174"/>
      <c r="AV333" s="174">
        <f>IF(OR(MAX(AH333,AQ333)&gt;1,AK333&gt;Лист1!$B$20,N333="-"),999999999,Y333*Лист1!$B$7+0.0001*O333)</f>
        <v>999999999</v>
      </c>
      <c r="AX333" s="174">
        <f>IF(OR(MAX(AH333,AT333)&gt;1,AN333&gt;Лист1!$B$20,N333="-"),999999999,Y333*Лист1!$B$7+0.0001*O333)</f>
        <v>999999999</v>
      </c>
    </row>
    <row r="334" spans="14:50" ht="16.5" thickBot="1" x14ac:dyDescent="0.3">
      <c r="N334" t="s">
        <v>344</v>
      </c>
      <c r="O334">
        <f t="shared" si="16"/>
        <v>331</v>
      </c>
      <c r="P334" s="227" t="s">
        <v>297</v>
      </c>
      <c r="Q334" s="227">
        <v>240</v>
      </c>
      <c r="R334" s="154" t="s">
        <v>411</v>
      </c>
      <c r="S334" s="148">
        <v>340</v>
      </c>
      <c r="T334" s="148">
        <v>340</v>
      </c>
      <c r="U334" s="24"/>
      <c r="V334" s="24"/>
      <c r="W334" s="24"/>
      <c r="X334" s="148">
        <v>155</v>
      </c>
      <c r="Y334" s="149">
        <v>122</v>
      </c>
      <c r="Z334" s="152">
        <v>16508</v>
      </c>
      <c r="AA334" s="150">
        <v>1269</v>
      </c>
      <c r="AC334" s="151">
        <v>12.7</v>
      </c>
      <c r="AD334" s="149">
        <v>25020</v>
      </c>
      <c r="AE334" s="150">
        <v>1472</v>
      </c>
      <c r="AF334" s="153">
        <v>10.3</v>
      </c>
      <c r="AH334" s="174">
        <f t="shared" si="17"/>
        <v>0.29126213592233008</v>
      </c>
      <c r="AI334" s="174"/>
      <c r="AJ334" s="186"/>
      <c r="AK334" s="174">
        <f>(($AK$2+Y334*Лист1!$B$7^2*Лист1!$G$8/100)/(AA334/10^6)+$AK$3/(AE334/10^6))/1000/($Q334*IF(Лист1!$J$19="да",1/1.05,1))</f>
        <v>3.7925865727483611E-2</v>
      </c>
      <c r="AL334" s="24"/>
      <c r="AM334" s="186"/>
      <c r="AN334" s="174">
        <f>(($AK$2+Y334*Лист1!$B$7^2*Лист1!$G$8/100)/(AA334/10^6)+$AK$3/(AE334/10^6))/1000/($Q334*IF(Лист1!$J$19="да",1/1.05,1))</f>
        <v>3.7925865727483611E-2</v>
      </c>
      <c r="AO334" s="24"/>
      <c r="AP334" s="186"/>
      <c r="AQ334" s="174">
        <f>MAX((5/384*($AQ$2+$Y334/100)*$D$17^4/(2.06*10^8*$Z334/10^8))/($D$17/300)*INDEX(Лист1!$L$34:$L$38,MATCH(Лист1!$B$8,Лист1!$I$34:$I$38,0),1),(5/384*($AQ$3)*$D$17^4/(2.06*10^8*$AD334/10^8))/($D$17/200))</f>
        <v>4.2923804521961692E-2</v>
      </c>
      <c r="AR334" s="174"/>
      <c r="AS334" s="175"/>
      <c r="AT334" s="174">
        <f>MAX((5/384*($AT$2+$Y334/100)*$D$17^4/(2.06*10^8*$Z334/10^8))/($D$17/300)*INDEX(Лист1!$L$34:$L$38,MATCH(Лист1!$B$8,Лист1!$I$34:$I$38,0),1),(5/384*($AT$3)*$D$17^4/(2.06*10^8*$AD334/10^8))/($D$17/200))</f>
        <v>3.2502996487728225E-2</v>
      </c>
      <c r="AU334" s="174"/>
      <c r="AV334" s="174">
        <f>IF(OR(MAX(AH334,AQ334)&gt;1,AK334&gt;Лист1!$B$20,N334="-"),999999999,Y334*Лист1!$B$7+0.0001*O334)</f>
        <v>999999999</v>
      </c>
      <c r="AX334" s="174">
        <f>IF(OR(MAX(AH334,AT334)&gt;1,AN334&gt;Лист1!$B$20,N334="-"),999999999,Y334*Лист1!$B$7+0.0001*O334)</f>
        <v>999999999</v>
      </c>
    </row>
    <row r="335" spans="14:50" ht="16.5" thickBot="1" x14ac:dyDescent="0.3">
      <c r="N335" t="s">
        <v>344</v>
      </c>
      <c r="O335">
        <f t="shared" si="16"/>
        <v>332</v>
      </c>
      <c r="P335" s="227" t="s">
        <v>297</v>
      </c>
      <c r="Q335" s="227">
        <v>240</v>
      </c>
      <c r="R335" s="154" t="s">
        <v>412</v>
      </c>
      <c r="S335" s="148">
        <v>380</v>
      </c>
      <c r="T335" s="148">
        <v>380</v>
      </c>
      <c r="U335" s="24"/>
      <c r="V335" s="24"/>
      <c r="W335" s="24"/>
      <c r="X335" s="148">
        <v>113</v>
      </c>
      <c r="Y335" s="149">
        <v>89</v>
      </c>
      <c r="Z335" s="152">
        <v>9416</v>
      </c>
      <c r="AA335" s="150">
        <v>856</v>
      </c>
      <c r="AC335" s="151">
        <v>13.9</v>
      </c>
      <c r="AD335" s="149">
        <v>21925</v>
      </c>
      <c r="AE335" s="150">
        <v>1154</v>
      </c>
      <c r="AF335" s="153">
        <v>9.11</v>
      </c>
      <c r="AH335" s="174">
        <f t="shared" si="17"/>
        <v>0.3293084522502745</v>
      </c>
      <c r="AI335" s="174"/>
      <c r="AJ335" s="186"/>
      <c r="AK335" s="174">
        <f>(($AK$2+Y335*Лист1!$B$7^2*Лист1!$G$8/100)/(AA335/10^6)+$AK$3/(AE335/10^6))/1000/($Q335*IF(Лист1!$J$19="да",1/1.05,1))</f>
        <v>4.645580559328373E-2</v>
      </c>
      <c r="AL335" s="24"/>
      <c r="AM335" s="186"/>
      <c r="AN335" s="174">
        <f>(($AK$2+Y335*Лист1!$B$7^2*Лист1!$G$8/100)/(AA335/10^6)+$AK$3/(AE335/10^6))/1000/($Q335*IF(Лист1!$J$19="да",1/1.05,1))</f>
        <v>4.645580559328373E-2</v>
      </c>
      <c r="AO335" s="24"/>
      <c r="AP335" s="186"/>
      <c r="AQ335" s="174">
        <f>MAX((5/384*($AQ$2+$Y335/100)*$D$17^4/(2.06*10^8*$Z335/10^8))/($D$17/300)*INDEX(Лист1!$L$34:$L$38,MATCH(Лист1!$B$8,Лист1!$I$34:$I$38,0),1),(5/384*($AQ$3)*$D$17^4/(2.06*10^8*$AD335/10^8))/($D$17/200))</f>
        <v>6.0898718149648194E-2</v>
      </c>
      <c r="AR335" s="174"/>
      <c r="AS335" s="175"/>
      <c r="AT335" s="174">
        <f>MAX((5/384*($AT$2+$Y335/100)*$D$17^4/(2.06*10^8*$Z335/10^8))/($D$17/300)*INDEX(Лист1!$L$34:$L$38,MATCH(Лист1!$B$8,Лист1!$I$34:$I$38,0),1),(5/384*($AT$3)*$D$17^4/(2.06*10^8*$AD335/10^8))/($D$17/200))</f>
        <v>4.2629102704753744E-2</v>
      </c>
      <c r="AU335" s="174"/>
      <c r="AV335" s="174">
        <f>IF(OR(MAX(AH335,AQ335)&gt;1,AK335&gt;Лист1!$B$20,N335="-"),999999999,Y335*Лист1!$B$7+0.0001*O335)</f>
        <v>999999999</v>
      </c>
      <c r="AX335" s="174">
        <f>IF(OR(MAX(AH335,AT335)&gt;1,AN335&gt;Лист1!$B$20,N335="-"),999999999,Y335*Лист1!$B$7+0.0001*O335)</f>
        <v>999999999</v>
      </c>
    </row>
    <row r="336" spans="14:50" ht="16.5" thickBot="1" x14ac:dyDescent="0.3">
      <c r="N336" t="s">
        <v>344</v>
      </c>
      <c r="O336">
        <f t="shared" si="16"/>
        <v>333</v>
      </c>
      <c r="P336" s="227" t="s">
        <v>297</v>
      </c>
      <c r="Q336" s="227">
        <v>240</v>
      </c>
      <c r="R336" s="154" t="s">
        <v>413</v>
      </c>
      <c r="S336" s="148">
        <v>380</v>
      </c>
      <c r="T336" s="148">
        <v>380</v>
      </c>
      <c r="U336" s="24"/>
      <c r="V336" s="24"/>
      <c r="W336" s="24"/>
      <c r="X336" s="148">
        <v>135</v>
      </c>
      <c r="Y336" s="149">
        <v>106</v>
      </c>
      <c r="Z336" s="152">
        <v>10948</v>
      </c>
      <c r="AA336" s="150">
        <v>995</v>
      </c>
      <c r="AC336" s="151">
        <v>13.8</v>
      </c>
      <c r="AD336" s="149">
        <v>25594</v>
      </c>
      <c r="AE336" s="150">
        <v>1347</v>
      </c>
      <c r="AF336" s="153">
        <v>9.02</v>
      </c>
      <c r="AH336" s="174">
        <f t="shared" si="17"/>
        <v>0.33259423503325941</v>
      </c>
      <c r="AI336" s="174"/>
      <c r="AJ336" s="186"/>
      <c r="AK336" s="174">
        <f>(($AK$2+Y336*Лист1!$B$7^2*Лист1!$G$8/100)/(AA336/10^6)+$AK$3/(AE336/10^6))/1000/($Q336*IF(Лист1!$J$19="да",1/1.05,1))</f>
        <v>4.3113414775291507E-2</v>
      </c>
      <c r="AL336" s="24"/>
      <c r="AM336" s="186"/>
      <c r="AN336" s="174">
        <f>(($AK$2+Y336*Лист1!$B$7^2*Лист1!$G$8/100)/(AA336/10^6)+$AK$3/(AE336/10^6))/1000/($Q336*IF(Лист1!$J$19="да",1/1.05,1))</f>
        <v>4.3113414775291507E-2</v>
      </c>
      <c r="AO336" s="24"/>
      <c r="AP336" s="186"/>
      <c r="AQ336" s="174">
        <f>MAX((5/384*($AQ$2+$Y336/100)*$D$17^4/(2.06*10^8*$Z336/10^8))/($D$17/300)*INDEX(Лист1!$L$34:$L$38,MATCH(Лист1!$B$8,Лист1!$I$34:$I$38,0),1),(5/384*($AQ$3)*$D$17^4/(2.06*10^8*$AD336/10^8))/($D$17/200))</f>
        <v>5.8736955102851603E-2</v>
      </c>
      <c r="AR336" s="174"/>
      <c r="AS336" s="175"/>
      <c r="AT336" s="174">
        <f>MAX((5/384*($AT$2+$Y336/100)*$D$17^4/(2.06*10^8*$Z336/10^8))/($D$17/300)*INDEX(Лист1!$L$34:$L$38,MATCH(Лист1!$B$8,Лист1!$I$34:$I$38,0),1),(5/384*($AT$3)*$D$17^4/(2.06*10^8*$AD336/10^8))/($D$17/200))</f>
        <v>4.3023884311005962E-2</v>
      </c>
      <c r="AU336" s="174"/>
      <c r="AV336" s="174">
        <f>IF(OR(MAX(AH336,AQ336)&gt;1,AK336&gt;Лист1!$B$20,N336="-"),999999999,Y336*Лист1!$B$7+0.0001*O336)</f>
        <v>999999999</v>
      </c>
      <c r="AX336" s="174">
        <f>IF(OR(MAX(AH336,AT336)&gt;1,AN336&gt;Лист1!$B$20,N336="-"),999999999,Y336*Лист1!$B$7+0.0001*O336)</f>
        <v>999999999</v>
      </c>
    </row>
    <row r="337" spans="14:50" ht="16.5" thickBot="1" x14ac:dyDescent="0.3">
      <c r="N337" t="s">
        <v>344</v>
      </c>
      <c r="O337">
        <f t="shared" si="16"/>
        <v>334</v>
      </c>
      <c r="P337" s="227" t="s">
        <v>297</v>
      </c>
      <c r="Q337" s="227">
        <v>240</v>
      </c>
      <c r="R337" s="154" t="s">
        <v>414</v>
      </c>
      <c r="S337" s="148">
        <v>380</v>
      </c>
      <c r="T337" s="148">
        <v>380</v>
      </c>
      <c r="U337" s="24"/>
      <c r="V337" s="24"/>
      <c r="W337" s="24"/>
      <c r="X337" s="148">
        <v>155</v>
      </c>
      <c r="Y337" s="149">
        <v>122</v>
      </c>
      <c r="Z337" s="152">
        <v>12370</v>
      </c>
      <c r="AA337" s="150">
        <v>1125</v>
      </c>
      <c r="AC337" s="151">
        <v>13.7</v>
      </c>
      <c r="AD337" s="149">
        <v>29037</v>
      </c>
      <c r="AE337" s="150">
        <v>1528</v>
      </c>
      <c r="AF337" s="153">
        <v>8.93</v>
      </c>
      <c r="AH337" s="174">
        <f t="shared" si="17"/>
        <v>0.33594624860022398</v>
      </c>
      <c r="AI337" s="174"/>
      <c r="AJ337" s="186"/>
      <c r="AK337" s="174">
        <f>(($AK$2+Y337*Лист1!$B$7^2*Лист1!$G$8/100)/(AA337/10^6)+$AK$3/(AE337/10^6))/1000/($Q337*IF(Лист1!$J$19="да",1/1.05,1))</f>
        <v>4.0759184351385695E-2</v>
      </c>
      <c r="AL337" s="24"/>
      <c r="AM337" s="186"/>
      <c r="AN337" s="174">
        <f>(($AK$2+Y337*Лист1!$B$7^2*Лист1!$G$8/100)/(AA337/10^6)+$AK$3/(AE337/10^6))/1000/($Q337*IF(Лист1!$J$19="да",1/1.05,1))</f>
        <v>4.0759184351385695E-2</v>
      </c>
      <c r="AO337" s="24"/>
      <c r="AP337" s="186"/>
      <c r="AQ337" s="174">
        <f>MAX((5/384*($AQ$2+$Y337/100)*$D$17^4/(2.06*10^8*$Z337/10^8))/($D$17/300)*INDEX(Лист1!$L$34:$L$38,MATCH(Лист1!$B$8,Лист1!$I$34:$I$38,0),1),(5/384*($AQ$3)*$D$17^4/(2.06*10^8*$AD337/10^8))/($D$17/200))</f>
        <v>5.7282632582744034E-2</v>
      </c>
      <c r="AR337" s="174"/>
      <c r="AS337" s="175"/>
      <c r="AT337" s="174">
        <f>MAX((5/384*($AT$2+$Y337/100)*$D$17^4/(2.06*10^8*$Z337/10^8))/($D$17/300)*INDEX(Лист1!$L$34:$L$38,MATCH(Лист1!$B$8,Лист1!$I$34:$I$38,0),1),(5/384*($AT$3)*$D$17^4/(2.06*10^8*$AD337/10^8))/($D$17/200))</f>
        <v>4.3375866290979594E-2</v>
      </c>
      <c r="AU337" s="174"/>
      <c r="AV337" s="174">
        <f>IF(OR(MAX(AH337,AQ337)&gt;1,AK337&gt;Лист1!$B$20,N337="-"),999999999,Y337*Лист1!$B$7+0.0001*O337)</f>
        <v>999999999</v>
      </c>
      <c r="AX337" s="174">
        <f>IF(OR(MAX(AH337,AT337)&gt;1,AN337&gt;Лист1!$B$20,N337="-"),999999999,Y337*Лист1!$B$7+0.0001*O337)</f>
        <v>999999999</v>
      </c>
    </row>
    <row r="338" spans="14:50" ht="16.5" thickBot="1" x14ac:dyDescent="0.3">
      <c r="O338">
        <f t="shared" si="16"/>
        <v>335</v>
      </c>
      <c r="P338" s="227" t="s">
        <v>297</v>
      </c>
      <c r="Q338" s="227">
        <v>240</v>
      </c>
      <c r="R338" s="154" t="s">
        <v>415</v>
      </c>
      <c r="S338" s="148">
        <v>400</v>
      </c>
      <c r="T338" s="148">
        <v>400</v>
      </c>
      <c r="U338" s="24"/>
      <c r="V338" s="24"/>
      <c r="W338" s="24"/>
      <c r="X338" s="148">
        <v>113</v>
      </c>
      <c r="Y338" s="149">
        <v>89</v>
      </c>
      <c r="Z338" s="152">
        <v>7949</v>
      </c>
      <c r="AA338" s="150">
        <v>795</v>
      </c>
      <c r="AC338" s="151">
        <v>14.3</v>
      </c>
      <c r="AD338" s="149">
        <v>23345</v>
      </c>
      <c r="AE338" s="150">
        <v>1167</v>
      </c>
      <c r="AF338" s="153">
        <v>8.3699999999999992</v>
      </c>
      <c r="AH338" s="174">
        <f t="shared" si="17"/>
        <v>0.35842293906810041</v>
      </c>
      <c r="AI338" s="174"/>
      <c r="AJ338" s="186"/>
      <c r="AK338" s="174">
        <f>(($AK$2+Y338*Лист1!$B$7^2*Лист1!$G$8/100)/(AA338/10^6)+$AK$3/(AE338/10^6))/1000/($Q338*IF(Лист1!$J$19="да",1/1.05,1))</f>
        <v>4.8644439359847885E-2</v>
      </c>
      <c r="AL338" s="24"/>
      <c r="AM338" s="186"/>
      <c r="AN338" s="174">
        <f>(($AK$2+Y338*Лист1!$B$7^2*Лист1!$G$8/100)/(AA338/10^6)+$AK$3/(AE338/10^6))/1000/($Q338*IF(Лист1!$J$19="да",1/1.05,1))</f>
        <v>4.8644439359847885E-2</v>
      </c>
      <c r="AO338" s="24"/>
      <c r="AP338" s="186"/>
      <c r="AQ338" s="174">
        <f>MAX((5/384*($AQ$2+$Y338/100)*$D$17^4/(2.06*10^8*$Z338/10^8))/($D$17/300)*INDEX(Лист1!$L$34:$L$38,MATCH(Лист1!$B$8,Лист1!$I$34:$I$38,0),1),(5/384*($AQ$3)*$D$17^4/(2.06*10^8*$AD338/10^8))/($D$17/200))</f>
        <v>7.2137668901382235E-2</v>
      </c>
      <c r="AR338" s="174"/>
      <c r="AS338" s="175"/>
      <c r="AT338" s="174">
        <f>MAX((5/384*($AT$2+$Y338/100)*$D$17^4/(2.06*10^8*$Z338/10^8))/($D$17/300)*INDEX(Лист1!$L$34:$L$38,MATCH(Лист1!$B$8,Лист1!$I$34:$I$38,0),1),(5/384*($AT$3)*$D$17^4/(2.06*10^8*$AD338/10^8))/($D$17/200))</f>
        <v>5.0496368230967564E-2</v>
      </c>
      <c r="AU338" s="174"/>
      <c r="AV338" s="174">
        <f>IF(OR(MAX(AH338,AQ338)&gt;1,AK338&gt;Лист1!$B$20,N338="-"),999999999,Y338*Лист1!$B$7+0.0001*O338)</f>
        <v>534.0335</v>
      </c>
      <c r="AX338" s="174">
        <f>IF(OR(MAX(AH338,AT338)&gt;1,AN338&gt;Лист1!$B$20,N338="-"),999999999,Y338*Лист1!$B$7+0.0001*O338)</f>
        <v>534.0335</v>
      </c>
    </row>
    <row r="339" spans="14:50" ht="16.5" thickBot="1" x14ac:dyDescent="0.3">
      <c r="N339" t="s">
        <v>344</v>
      </c>
      <c r="O339">
        <f t="shared" si="16"/>
        <v>336</v>
      </c>
      <c r="P339" s="227" t="s">
        <v>297</v>
      </c>
      <c r="Q339" s="227">
        <v>240</v>
      </c>
      <c r="R339" s="154" t="s">
        <v>416</v>
      </c>
      <c r="S339" s="148">
        <v>400</v>
      </c>
      <c r="T339" s="148">
        <v>400</v>
      </c>
      <c r="U339" s="24"/>
      <c r="V339" s="24"/>
      <c r="W339" s="24"/>
      <c r="X339" s="148">
        <v>135</v>
      </c>
      <c r="Y339" s="149">
        <v>106</v>
      </c>
      <c r="Z339" s="152">
        <v>9227</v>
      </c>
      <c r="AA339" s="150">
        <v>923</v>
      </c>
      <c r="AC339" s="151">
        <v>14.2</v>
      </c>
      <c r="AD339" s="149">
        <v>27248</v>
      </c>
      <c r="AE339" s="150">
        <v>1362</v>
      </c>
      <c r="AF339" s="153">
        <v>8.2799999999999994</v>
      </c>
      <c r="AH339" s="174">
        <f t="shared" si="17"/>
        <v>0.36231884057971014</v>
      </c>
      <c r="AI339" s="174"/>
      <c r="AJ339" s="186"/>
      <c r="AK339" s="174">
        <f>(($AK$2+Y339*Лист1!$B$7^2*Лист1!$G$8/100)/(AA339/10^6)+$AK$3/(AE339/10^6))/1000/($Q339*IF(Лист1!$J$19="да",1/1.05,1))</f>
        <v>4.5282348808475863E-2</v>
      </c>
      <c r="AL339" s="24"/>
      <c r="AM339" s="186"/>
      <c r="AN339" s="174">
        <f>(($AK$2+Y339*Лист1!$B$7^2*Лист1!$G$8/100)/(AA339/10^6)+$AK$3/(AE339/10^6))/1000/($Q339*IF(Лист1!$J$19="да",1/1.05,1))</f>
        <v>4.5282348808475863E-2</v>
      </c>
      <c r="AO339" s="24"/>
      <c r="AP339" s="186"/>
      <c r="AQ339" s="174">
        <f>MAX((5/384*($AQ$2+$Y339/100)*$D$17^4/(2.06*10^8*$Z339/10^8))/($D$17/300)*INDEX(Лист1!$L$34:$L$38,MATCH(Лист1!$B$8,Лист1!$I$34:$I$38,0),1),(5/384*($AQ$3)*$D$17^4/(2.06*10^8*$AD339/10^8))/($D$17/200))</f>
        <v>6.969244439861487E-2</v>
      </c>
      <c r="AR339" s="174"/>
      <c r="AS339" s="175"/>
      <c r="AT339" s="174">
        <f>MAX((5/384*($AT$2+$Y339/100)*$D$17^4/(2.06*10^8*$Z339/10^8))/($D$17/300)*INDEX(Лист1!$L$34:$L$38,MATCH(Лист1!$B$8,Лист1!$I$34:$I$38,0),1),(5/384*($AT$3)*$D$17^4/(2.06*10^8*$AD339/10^8))/($D$17/200))</f>
        <v>5.1048605769686062E-2</v>
      </c>
      <c r="AU339" s="174"/>
      <c r="AV339" s="174">
        <f>IF(OR(MAX(AH339,AQ339)&gt;1,AK339&gt;Лист1!$B$20,N339="-"),999999999,Y339*Лист1!$B$7+0.0001*O339)</f>
        <v>999999999</v>
      </c>
      <c r="AX339" s="174">
        <f>IF(OR(MAX(AH339,AT339)&gt;1,AN339&gt;Лист1!$B$20,N339="-"),999999999,Y339*Лист1!$B$7+0.0001*O339)</f>
        <v>999999999</v>
      </c>
    </row>
    <row r="340" spans="14:50" ht="16.5" thickBot="1" x14ac:dyDescent="0.3">
      <c r="O340">
        <f t="shared" si="16"/>
        <v>337</v>
      </c>
      <c r="P340" s="227" t="s">
        <v>297</v>
      </c>
      <c r="Q340" s="227">
        <v>240</v>
      </c>
      <c r="R340" s="154" t="s">
        <v>417</v>
      </c>
      <c r="S340" s="148">
        <v>400</v>
      </c>
      <c r="T340" s="148">
        <v>400</v>
      </c>
      <c r="U340" s="24"/>
      <c r="V340" s="24"/>
      <c r="W340" s="24"/>
      <c r="X340" s="165">
        <v>155</v>
      </c>
      <c r="Y340" s="166">
        <v>122</v>
      </c>
      <c r="Z340" s="169">
        <v>10409</v>
      </c>
      <c r="AA340" s="168">
        <v>1041</v>
      </c>
      <c r="AC340" s="164">
        <v>14.1</v>
      </c>
      <c r="AD340" s="167">
        <v>30907</v>
      </c>
      <c r="AE340" s="168">
        <v>1545</v>
      </c>
      <c r="AF340" s="166">
        <v>8.19</v>
      </c>
      <c r="AH340" s="174">
        <f t="shared" si="17"/>
        <v>0.36630036630036633</v>
      </c>
      <c r="AI340" s="174"/>
      <c r="AJ340" s="186"/>
      <c r="AK340" s="174">
        <f>(($AK$2+Y340*Лист1!$B$7^2*Лист1!$G$8/100)/(AA340/10^6)+$AK$3/(AE340/10^6))/1000/($Q340*IF(Лист1!$J$19="да",1/1.05,1))</f>
        <v>4.2963739912868788E-2</v>
      </c>
      <c r="AL340" s="24"/>
      <c r="AM340" s="186"/>
      <c r="AN340" s="174">
        <f>(($AK$2+Y340*Лист1!$B$7^2*Лист1!$G$8/100)/(AA340/10^6)+$AK$3/(AE340/10^6))/1000/($Q340*IF(Лист1!$J$19="да",1/1.05,1))</f>
        <v>4.2963739912868788E-2</v>
      </c>
      <c r="AO340" s="24"/>
      <c r="AP340" s="186"/>
      <c r="AQ340" s="174">
        <f>MAX((5/384*($AQ$2+$Y340/100)*$D$17^4/(2.06*10^8*$Z340/10^8))/($D$17/300)*INDEX(Лист1!$L$34:$L$38,MATCH(Лист1!$B$8,Лист1!$I$34:$I$38,0),1),(5/384*($AQ$3)*$D$17^4/(2.06*10^8*$AD340/10^8))/($D$17/200))</f>
        <v>6.807437458435428E-2</v>
      </c>
      <c r="AR340" s="174"/>
      <c r="AS340" s="175"/>
      <c r="AT340" s="174">
        <f>MAX((5/384*($AT$2+$Y340/100)*$D$17^4/(2.06*10^8*$Z340/10^8))/($D$17/300)*INDEX(Лист1!$L$34:$L$38,MATCH(Лист1!$B$8,Лист1!$I$34:$I$38,0),1),(5/384*($AT$3)*$D$17^4/(2.06*10^8*$AD340/10^8))/($D$17/200))</f>
        <v>5.1547647806649777E-2</v>
      </c>
      <c r="AU340" s="174"/>
      <c r="AV340" s="174">
        <f>IF(OR(MAX(AH340,AQ340)&gt;1,AK340&gt;Лист1!$B$20,N340="-"),999999999,Y340*Лист1!$B$7+0.0001*O340)</f>
        <v>732.03369999999995</v>
      </c>
      <c r="AX340" s="174">
        <f>IF(OR(MAX(AH340,AT340)&gt;1,AN340&gt;Лист1!$B$20,N340="-"),999999999,Y340*Лист1!$B$7+0.0001*O340)</f>
        <v>732.03369999999995</v>
      </c>
    </row>
    <row r="341" spans="14:50" ht="15.75" x14ac:dyDescent="0.25">
      <c r="O341">
        <f t="shared" si="16"/>
        <v>338</v>
      </c>
      <c r="P341" s="211" t="s">
        <v>296</v>
      </c>
      <c r="Q341" s="211">
        <v>340</v>
      </c>
      <c r="R341" s="230" t="s">
        <v>345</v>
      </c>
      <c r="S341" s="142">
        <v>60</v>
      </c>
      <c r="T341" s="142">
        <v>60</v>
      </c>
      <c r="X341" s="142">
        <v>3.8</v>
      </c>
      <c r="Y341" s="143">
        <v>3</v>
      </c>
      <c r="Z341" s="147">
        <v>10</v>
      </c>
      <c r="AA341" s="145">
        <v>5</v>
      </c>
      <c r="AC341" s="146">
        <v>2.23</v>
      </c>
      <c r="AD341" s="144">
        <v>18.8</v>
      </c>
      <c r="AE341" s="145">
        <v>6.2</v>
      </c>
      <c r="AF341" s="143">
        <v>1.63</v>
      </c>
      <c r="AH341" s="174">
        <f t="shared" si="17"/>
        <v>1.8404907975460125</v>
      </c>
      <c r="AI341" s="174"/>
      <c r="AJ341" s="186"/>
      <c r="AK341" s="174">
        <f>(($AK$2+Y341*Лист1!$B$7^2*Лист1!$G$8/100)/(AA341/10^6)+$AK$3/(AE341/10^6))/1000/($Q341*IF(Лист1!$J$19="да",1/1.05,1))</f>
        <v>3.5025882757780642</v>
      </c>
      <c r="AL341" s="24"/>
      <c r="AM341" s="186"/>
      <c r="AN341" s="174">
        <f>(($AK$2+Y341*Лист1!$B$7^2*Лист1!$G$8/100)/(AA341/10^6)+$AK$3/(AE341/10^6))/1000/($Q341*IF(Лист1!$J$19="да",1/1.05,1))</f>
        <v>3.5025882757780642</v>
      </c>
      <c r="AO341" s="24"/>
      <c r="AP341" s="186"/>
      <c r="AQ341" s="174">
        <f>MAX((5/384*($AQ$2+$Y341/100)*$D$17^4/(2.06*10^8*$Z341/10^8))/($D$17/300)*INDEX(Лист1!$L$34:$L$38,MATCH(Лист1!$B$8,Лист1!$I$34:$I$38,0),1),(5/384*($AQ$3)*$D$17^4/(2.06*10^8*$AD341/10^8))/($D$17/200))</f>
        <v>22.117718446601941</v>
      </c>
      <c r="AR341" s="174"/>
      <c r="AS341" s="175"/>
      <c r="AT341" s="174">
        <f>MAX((5/384*($AT$2+$Y341/100)*$D$17^4/(2.06*10^8*$Z341/10^8))/($D$17/300)*INDEX(Лист1!$L$34:$L$38,MATCH(Лист1!$B$8,Лист1!$I$34:$I$38,0),1),(5/384*($AT$3)*$D$17^4/(2.06*10^8*$AD341/10^8))/($D$17/200))</f>
        <v>8.3318733749225391</v>
      </c>
      <c r="AU341" s="174"/>
      <c r="AV341" s="174">
        <f>IF(OR(MAX(AH341,AQ341)&gt;1,AK341&gt;Лист1!$B$20,N341="-"),999999999,Y341*Лист1!$B$7+0.0001*O341)</f>
        <v>999999999</v>
      </c>
      <c r="AX341" s="174">
        <f>IF(OR(MAX(AH341,AT341)&gt;1,AN341&gt;Лист1!$B$20,N341="-"),999999999,Y341*Лист1!$B$7+0.0001*O341)</f>
        <v>999999999</v>
      </c>
    </row>
    <row r="342" spans="14:50" ht="15.75" x14ac:dyDescent="0.25">
      <c r="N342" t="s">
        <v>344</v>
      </c>
      <c r="O342">
        <f t="shared" si="16"/>
        <v>339</v>
      </c>
      <c r="P342" s="211" t="s">
        <v>296</v>
      </c>
      <c r="Q342" s="211">
        <v>340</v>
      </c>
      <c r="R342" s="141" t="s">
        <v>346</v>
      </c>
      <c r="S342" s="142">
        <v>60</v>
      </c>
      <c r="T342" s="142">
        <v>60</v>
      </c>
      <c r="X342" s="148">
        <v>4.7</v>
      </c>
      <c r="Y342" s="149">
        <v>3.6</v>
      </c>
      <c r="Z342" s="152">
        <v>11.8</v>
      </c>
      <c r="AA342" s="150">
        <v>5.9</v>
      </c>
      <c r="AC342" s="151">
        <v>2.2000000000000002</v>
      </c>
      <c r="AD342" s="149">
        <v>22.4</v>
      </c>
      <c r="AE342" s="150">
        <v>7.4</v>
      </c>
      <c r="AF342" s="153">
        <v>1.6</v>
      </c>
      <c r="AH342" s="174">
        <f t="shared" si="17"/>
        <v>1.875</v>
      </c>
      <c r="AI342" s="174"/>
      <c r="AJ342" s="186"/>
      <c r="AK342" s="174">
        <f>(($AK$2+Y342*Лист1!$B$7^2*Лист1!$G$8/100)/(AA342/10^6)+$AK$3/(AE342/10^6))/1000/($Q342*IF(Лист1!$J$19="да",1/1.05,1))</f>
        <v>2.9619640338111974</v>
      </c>
      <c r="AL342" s="24"/>
      <c r="AM342" s="186"/>
      <c r="AN342" s="174">
        <f>(($AK$2+Y342*Лист1!$B$7^2*Лист1!$G$8/100)/(AA342/10^6)+$AK$3/(AE342/10^6))/1000/($Q342*IF(Лист1!$J$19="да",1/1.05,1))</f>
        <v>2.9619640338111974</v>
      </c>
      <c r="AO342" s="24"/>
      <c r="AP342" s="186"/>
      <c r="AQ342" s="174">
        <f>MAX((5/384*($AQ$2+$Y342/100)*$D$17^4/(2.06*10^8*$Z342/10^8))/($D$17/300)*INDEX(Лист1!$L$34:$L$38,MATCH(Лист1!$B$8,Лист1!$I$34:$I$38,0),1),(5/384*($AQ$3)*$D$17^4/(2.06*10^8*$AD342/10^8))/($D$17/200))</f>
        <v>18.952093960835942</v>
      </c>
      <c r="AR342" s="174"/>
      <c r="AS342" s="175"/>
      <c r="AT342" s="174">
        <f>MAX((5/384*($AT$2+$Y342/100)*$D$17^4/(2.06*10^8*$Z342/10^8))/($D$17/300)*INDEX(Лист1!$L$34:$L$38,MATCH(Лист1!$B$8,Лист1!$I$34:$I$38,0),1),(5/384*($AT$3)*$D$17^4/(2.06*10^8*$AD342/10^8))/($D$17/200))</f>
        <v>6.9928222968099885</v>
      </c>
      <c r="AU342" s="174"/>
      <c r="AV342" s="174">
        <f>IF(OR(MAX(AH342,AQ342)&gt;1,AK342&gt;Лист1!$B$20,N342="-"),999999999,Y342*Лист1!$B$7+0.0001*O342)</f>
        <v>999999999</v>
      </c>
      <c r="AX342" s="174">
        <f>IF(OR(MAX(AH342,AT342)&gt;1,AN342&gt;Лист1!$B$20,N342="-"),999999999,Y342*Лист1!$B$7+0.0001*O342)</f>
        <v>999999999</v>
      </c>
    </row>
    <row r="343" spans="14:50" ht="15.75" x14ac:dyDescent="0.25">
      <c r="O343">
        <f t="shared" si="16"/>
        <v>340</v>
      </c>
      <c r="P343" s="211" t="s">
        <v>296</v>
      </c>
      <c r="Q343" s="211">
        <v>340</v>
      </c>
      <c r="R343" s="141" t="s">
        <v>347</v>
      </c>
      <c r="S343" s="142">
        <v>60</v>
      </c>
      <c r="T343" s="142">
        <v>60</v>
      </c>
      <c r="X343" s="148">
        <v>5.5</v>
      </c>
      <c r="Y343" s="149">
        <v>4.3</v>
      </c>
      <c r="Z343" s="152">
        <v>13.7</v>
      </c>
      <c r="AA343" s="150">
        <v>6.8</v>
      </c>
      <c r="AC343" s="151">
        <v>2.1800000000000002</v>
      </c>
      <c r="AD343" s="149">
        <v>26</v>
      </c>
      <c r="AE343" s="150">
        <v>8.6</v>
      </c>
      <c r="AF343" s="153">
        <v>1.58</v>
      </c>
      <c r="AH343" s="174">
        <f t="shared" si="17"/>
        <v>1.89873417721519</v>
      </c>
      <c r="AI343" s="174"/>
      <c r="AJ343" s="186"/>
      <c r="AK343" s="174">
        <f>(($AK$2+Y343*Лист1!$B$7^2*Лист1!$G$8/100)/(AA343/10^6)+$AK$3/(AE343/10^6))/1000/($Q343*IF(Лист1!$J$19="да",1/1.05,1))</f>
        <v>2.5711845870037564</v>
      </c>
      <c r="AL343" s="24"/>
      <c r="AM343" s="186"/>
      <c r="AN343" s="174">
        <f>(($AK$2+Y343*Лист1!$B$7^2*Лист1!$G$8/100)/(AA343/10^6)+$AK$3/(AE343/10^6))/1000/($Q343*IF(Лист1!$J$19="да",1/1.05,1))</f>
        <v>2.5711845870037564</v>
      </c>
      <c r="AO343" s="24"/>
      <c r="AP343" s="186"/>
      <c r="AQ343" s="174">
        <f>MAX((5/384*($AQ$2+$Y343/100)*$D$17^4/(2.06*10^8*$Z343/10^8))/($D$17/300)*INDEX(Лист1!$L$34:$L$38,MATCH(Лист1!$B$8,Лист1!$I$34:$I$38,0),1),(5/384*($AQ$3)*$D$17^4/(2.06*10^8*$AD343/10^8))/($D$17/200))</f>
        <v>16.532979590390475</v>
      </c>
      <c r="AR343" s="174"/>
      <c r="AS343" s="175"/>
      <c r="AT343" s="174">
        <f>MAX((5/384*($AT$2+$Y343/100)*$D$17^4/(2.06*10^8*$Z343/10^8))/($D$17/300)*INDEX(Лист1!$L$34:$L$38,MATCH(Лист1!$B$8,Лист1!$I$34:$I$38,0),1),(5/384*($AT$3)*$D$17^4/(2.06*10^8*$AD343/10^8))/($D$17/200))</f>
        <v>6.024585363405528</v>
      </c>
      <c r="AU343" s="174"/>
      <c r="AV343" s="174">
        <f>IF(OR(MAX(AH343,AQ343)&gt;1,AK343&gt;Лист1!$B$20,N343="-"),999999999,Y343*Лист1!$B$7+0.0001*O343)</f>
        <v>999999999</v>
      </c>
      <c r="AX343" s="174">
        <f>IF(OR(MAX(AH343,AT343)&gt;1,AN343&gt;Лист1!$B$20,N343="-"),999999999,Y343*Лист1!$B$7+0.0001*O343)</f>
        <v>999999999</v>
      </c>
    </row>
    <row r="344" spans="14:50" ht="15.75" x14ac:dyDescent="0.25">
      <c r="O344">
        <f t="shared" si="16"/>
        <v>341</v>
      </c>
      <c r="P344" s="211" t="s">
        <v>296</v>
      </c>
      <c r="Q344" s="211">
        <v>340</v>
      </c>
      <c r="R344" s="141" t="s">
        <v>348</v>
      </c>
      <c r="S344" s="142">
        <v>60</v>
      </c>
      <c r="T344" s="142">
        <v>60</v>
      </c>
      <c r="X344" s="148">
        <v>7.1</v>
      </c>
      <c r="Y344" s="149">
        <v>5.5</v>
      </c>
      <c r="Z344" s="152">
        <v>16.7</v>
      </c>
      <c r="AA344" s="150">
        <v>8.3000000000000007</v>
      </c>
      <c r="AC344" s="151">
        <v>2.13</v>
      </c>
      <c r="AD344" s="149">
        <v>32.200000000000003</v>
      </c>
      <c r="AE344" s="150">
        <v>10.7</v>
      </c>
      <c r="AF344" s="153">
        <v>1.54</v>
      </c>
      <c r="AH344" s="174">
        <f t="shared" si="17"/>
        <v>1.9480519480519478</v>
      </c>
      <c r="AI344" s="174"/>
      <c r="AJ344" s="186"/>
      <c r="AK344" s="174">
        <f>(($AK$2+Y344*Лист1!$B$7^2*Лист1!$G$8/100)/(AA344/10^6)+$AK$3/(AE344/10^6))/1000/($Q344*IF(Лист1!$J$19="да",1/1.05,1))</f>
        <v>2.1026014395677266</v>
      </c>
      <c r="AL344" s="24"/>
      <c r="AM344" s="186"/>
      <c r="AN344" s="174">
        <f>(($AK$2+Y344*Лист1!$B$7^2*Лист1!$G$8/100)/(AA344/10^6)+$AK$3/(AE344/10^6))/1000/($Q344*IF(Лист1!$J$19="да",1/1.05,1))</f>
        <v>2.1026014395677266</v>
      </c>
      <c r="AO344" s="24"/>
      <c r="AP344" s="186"/>
      <c r="AQ344" s="174">
        <f>MAX((5/384*($AQ$2+$Y344/100)*$D$17^4/(2.06*10^8*$Z344/10^8))/($D$17/300)*INDEX(Лист1!$L$34:$L$38,MATCH(Лист1!$B$8,Лист1!$I$34:$I$38,0),1),(5/384*($AQ$3)*$D$17^4/(2.06*10^8*$AD344/10^8))/($D$17/200))</f>
        <v>13.85729754084065</v>
      </c>
      <c r="AR344" s="174"/>
      <c r="AS344" s="175"/>
      <c r="AT344" s="174">
        <f>MAX((5/384*($AT$2+$Y344/100)*$D$17^4/(2.06*10^8*$Z344/10^8))/($D$17/300)*INDEX(Лист1!$L$34:$L$38,MATCH(Лист1!$B$8,Лист1!$I$34:$I$38,0),1),(5/384*($AT$3)*$D$17^4/(2.06*10^8*$AD344/10^8))/($D$17/200))</f>
        <v>4.86457203256347</v>
      </c>
      <c r="AU344" s="174"/>
      <c r="AV344" s="174">
        <f>IF(OR(MAX(AH344,AQ344)&gt;1,AK344&gt;Лист1!$B$20,N344="-"),999999999,Y344*Лист1!$B$7+0.0001*O344)</f>
        <v>999999999</v>
      </c>
      <c r="AX344" s="174">
        <f>IF(OR(MAX(AH344,AT344)&gt;1,AN344&gt;Лист1!$B$20,N344="-"),999999999,Y344*Лист1!$B$7+0.0001*O344)</f>
        <v>999999999</v>
      </c>
    </row>
    <row r="345" spans="14:50" ht="16.5" thickBot="1" x14ac:dyDescent="0.3">
      <c r="O345">
        <f t="shared" si="16"/>
        <v>342</v>
      </c>
      <c r="P345" s="211" t="s">
        <v>296</v>
      </c>
      <c r="Q345" s="211">
        <v>340</v>
      </c>
      <c r="R345" s="141" t="s">
        <v>349</v>
      </c>
      <c r="S345" s="142">
        <v>60</v>
      </c>
      <c r="T345" s="142">
        <v>60</v>
      </c>
      <c r="X345" s="148">
        <v>8.6</v>
      </c>
      <c r="Y345" s="149">
        <v>6.7</v>
      </c>
      <c r="Z345" s="152">
        <v>19.100000000000001</v>
      </c>
      <c r="AA345" s="150">
        <v>9.5</v>
      </c>
      <c r="AC345" s="151">
        <v>2.08</v>
      </c>
      <c r="AD345" s="149">
        <v>37.1</v>
      </c>
      <c r="AE345" s="150">
        <v>12.3</v>
      </c>
      <c r="AF345" s="153">
        <v>1.49</v>
      </c>
      <c r="AH345" s="174">
        <f t="shared" si="17"/>
        <v>2.0134228187919465</v>
      </c>
      <c r="AI345" s="174"/>
      <c r="AJ345" s="186"/>
      <c r="AK345" s="174">
        <f>(($AK$2+Y345*Лист1!$B$7^2*Лист1!$G$8/100)/(AA345/10^6)+$AK$3/(AE345/10^6))/1000/($Q345*IF(Лист1!$J$19="да",1/1.05,1))</f>
        <v>1.849239165615332</v>
      </c>
      <c r="AL345" s="24"/>
      <c r="AM345" s="186"/>
      <c r="AN345" s="174">
        <f>(($AK$2+Y345*Лист1!$B$7^2*Лист1!$G$8/100)/(AA345/10^6)+$AK$3/(AE345/10^6))/1000/($Q345*IF(Лист1!$J$19="да",1/1.05,1))</f>
        <v>1.849239165615332</v>
      </c>
      <c r="AO345" s="24"/>
      <c r="AP345" s="186"/>
      <c r="AQ345" s="174">
        <f>MAX((5/384*($AQ$2+$Y345/100)*$D$17^4/(2.06*10^8*$Z345/10^8))/($D$17/300)*INDEX(Лист1!$L$34:$L$38,MATCH(Лист1!$B$8,Лист1!$I$34:$I$38,0),1),(5/384*($AQ$3)*$D$17^4/(2.06*10^8*$AD345/10^8))/($D$17/200))</f>
        <v>12.37339882071875</v>
      </c>
      <c r="AR345" s="174"/>
      <c r="AS345" s="175"/>
      <c r="AT345" s="174">
        <f>MAX((5/384*($AT$2+$Y345/100)*$D$17^4/(2.06*10^8*$Z345/10^8))/($D$17/300)*INDEX(Лист1!$L$34:$L$38,MATCH(Лист1!$B$8,Лист1!$I$34:$I$38,0),1),(5/384*($AT$3)*$D$17^4/(2.06*10^8*$AD345/10^8))/($D$17/200))</f>
        <v>4.2220813867532003</v>
      </c>
      <c r="AU345" s="174"/>
      <c r="AV345" s="174">
        <f>IF(OR(MAX(AH345,AQ345)&gt;1,AK345&gt;Лист1!$B$20,N345="-"),999999999,Y345*Лист1!$B$7+0.0001*O345)</f>
        <v>999999999</v>
      </c>
      <c r="AX345" s="174">
        <f>IF(OR(MAX(AH345,AT345)&gt;1,AN345&gt;Лист1!$B$20,N345="-"),999999999,Y345*Лист1!$B$7+0.0001*O345)</f>
        <v>999999999</v>
      </c>
    </row>
    <row r="346" spans="14:50" ht="16.5" thickBot="1" x14ac:dyDescent="0.3">
      <c r="O346">
        <f t="shared" si="16"/>
        <v>343</v>
      </c>
      <c r="P346" s="211" t="s">
        <v>296</v>
      </c>
      <c r="Q346" s="211">
        <v>340</v>
      </c>
      <c r="R346" s="154" t="s">
        <v>350</v>
      </c>
      <c r="S346" s="148">
        <v>100</v>
      </c>
      <c r="T346" s="148">
        <v>100</v>
      </c>
      <c r="X346" s="148">
        <v>9.1999999999999993</v>
      </c>
      <c r="Y346" s="149">
        <v>7.2</v>
      </c>
      <c r="Z346" s="152">
        <v>55.6</v>
      </c>
      <c r="AA346" s="150">
        <v>18.5</v>
      </c>
      <c r="AC346" s="151">
        <v>3.66</v>
      </c>
      <c r="AD346" s="149">
        <v>123.2</v>
      </c>
      <c r="AE346" s="150">
        <v>24.6</v>
      </c>
      <c r="AF346" s="153">
        <v>2.46</v>
      </c>
      <c r="AH346" s="174">
        <f t="shared" si="17"/>
        <v>1.2195121951219512</v>
      </c>
      <c r="AI346" s="174"/>
      <c r="AJ346" s="186"/>
      <c r="AK346" s="174">
        <f>(($AK$2+Y346*Лист1!$B$7^2*Лист1!$G$8/100)/(AA346/10^6)+$AK$3/(AE346/10^6))/1000/($Q346*IF(Лист1!$J$19="да",1/1.05,1))</f>
        <v>0.93917275827415436</v>
      </c>
      <c r="AL346" s="24"/>
      <c r="AM346" s="186"/>
      <c r="AN346" s="174">
        <f>(($AK$2+Y346*Лист1!$B$7^2*Лист1!$G$8/100)/(AA346/10^6)+$AK$3/(AE346/10^6))/1000/($Q346*IF(Лист1!$J$19="да",1/1.05,1))</f>
        <v>0.93917275827415436</v>
      </c>
      <c r="AO346" s="24"/>
      <c r="AP346" s="186"/>
      <c r="AQ346" s="174">
        <f>MAX((5/384*($AQ$2+$Y346/100)*$D$17^4/(2.06*10^8*$Z346/10^8))/($D$17/300)*INDEX(Лист1!$L$34:$L$38,MATCH(Лист1!$B$8,Лист1!$I$34:$I$38,0),1),(5/384*($AQ$3)*$D$17^4/(2.06*10^8*$AD346/10^8))/($D$17/200))</f>
        <v>4.287407452678635</v>
      </c>
      <c r="AR346" s="174"/>
      <c r="AS346" s="175"/>
      <c r="AT346" s="174">
        <f>MAX((5/384*($AT$2+$Y346/100)*$D$17^4/(2.06*10^8*$Z346/10^8))/($D$17/300)*INDEX(Лист1!$L$34:$L$38,MATCH(Лист1!$B$8,Лист1!$I$34:$I$38,0),1),(5/384*($AT$3)*$D$17^4/(2.06*10^8*$AD346/10^8))/($D$17/200))</f>
        <v>1.2714222357836342</v>
      </c>
      <c r="AU346" s="174"/>
      <c r="AV346" s="174">
        <f>IF(OR(MAX(AH346,AQ346)&gt;1,AK346&gt;Лист1!$B$20,N346="-"),999999999,Y346*Лист1!$B$7+0.0001*O346)</f>
        <v>999999999</v>
      </c>
      <c r="AX346" s="174">
        <f>IF(OR(MAX(AH346,AT346)&gt;1,AN346&gt;Лист1!$B$20,N346="-"),999999999,Y346*Лист1!$B$7+0.0001*O346)</f>
        <v>999999999</v>
      </c>
    </row>
    <row r="347" spans="14:50" ht="16.5" thickBot="1" x14ac:dyDescent="0.3">
      <c r="O347">
        <f t="shared" si="16"/>
        <v>344</v>
      </c>
      <c r="P347" s="211" t="s">
        <v>296</v>
      </c>
      <c r="Q347" s="211">
        <v>340</v>
      </c>
      <c r="R347" s="154" t="s">
        <v>351</v>
      </c>
      <c r="S347" s="148">
        <v>100</v>
      </c>
      <c r="T347" s="148">
        <v>100</v>
      </c>
      <c r="X347" s="148">
        <v>12.2</v>
      </c>
      <c r="Y347" s="149">
        <v>9.6</v>
      </c>
      <c r="Z347" s="152">
        <v>70.8</v>
      </c>
      <c r="AA347" s="150">
        <v>23.6</v>
      </c>
      <c r="AC347" s="151">
        <v>3.59</v>
      </c>
      <c r="AD347" s="149">
        <v>157.6</v>
      </c>
      <c r="AE347" s="150">
        <v>31.5</v>
      </c>
      <c r="AF347" s="153">
        <v>2.41</v>
      </c>
      <c r="AH347" s="174">
        <f t="shared" si="17"/>
        <v>1.2448132780082988</v>
      </c>
      <c r="AI347" s="174"/>
      <c r="AJ347" s="186"/>
      <c r="AK347" s="174">
        <f>(($AK$2+Y347*Лист1!$B$7^2*Лист1!$G$8/100)/(AA347/10^6)+$AK$3/(AE347/10^6))/1000/($Q347*IF(Лист1!$J$19="да",1/1.05,1))</f>
        <v>0.74814807804375683</v>
      </c>
      <c r="AL347" s="24"/>
      <c r="AM347" s="186"/>
      <c r="AN347" s="174">
        <f>(($AK$2+Y347*Лист1!$B$7^2*Лист1!$G$8/100)/(AA347/10^6)+$AK$3/(AE347/10^6))/1000/($Q347*IF(Лист1!$J$19="да",1/1.05,1))</f>
        <v>0.74814807804375683</v>
      </c>
      <c r="AO347" s="24"/>
      <c r="AP347" s="186"/>
      <c r="AQ347" s="174">
        <f>MAX((5/384*($AQ$2+$Y347/100)*$D$17^4/(2.06*10^8*$Z347/10^8))/($D$17/300)*INDEX(Лист1!$L$34:$L$38,MATCH(Лист1!$B$8,Лист1!$I$34:$I$38,0),1),(5/384*($AQ$3)*$D$17^4/(2.06*10^8*$AD347/10^8))/($D$17/200))</f>
        <v>3.5057902748066478</v>
      </c>
      <c r="AR347" s="174"/>
      <c r="AS347" s="175"/>
      <c r="AT347" s="174">
        <f>MAX((5/384*($AT$2+$Y347/100)*$D$17^4/(2.06*10^8*$Z347/10^8))/($D$17/300)*INDEX(Лист1!$L$34:$L$38,MATCH(Лист1!$B$8,Лист1!$I$34:$I$38,0),1),(5/384*($AT$3)*$D$17^4/(2.06*10^8*$AD347/10^8))/($D$17/200))</f>
        <v>1.0760346388020403</v>
      </c>
      <c r="AU347" s="174"/>
      <c r="AV347" s="174">
        <f>IF(OR(MAX(AH347,AQ347)&gt;1,AK347&gt;Лист1!$B$20,N347="-"),999999999,Y347*Лист1!$B$7+0.0001*O347)</f>
        <v>999999999</v>
      </c>
      <c r="AX347" s="174">
        <f>IF(OR(MAX(AH347,AT347)&gt;1,AN347&gt;Лист1!$B$20,N347="-"),999999999,Y347*Лист1!$B$7+0.0001*O347)</f>
        <v>999999999</v>
      </c>
    </row>
    <row r="348" spans="14:50" ht="16.5" thickBot="1" x14ac:dyDescent="0.3">
      <c r="O348">
        <f t="shared" si="16"/>
        <v>345</v>
      </c>
      <c r="P348" s="211" t="s">
        <v>296</v>
      </c>
      <c r="Q348" s="211">
        <v>340</v>
      </c>
      <c r="R348" s="154" t="s">
        <v>352</v>
      </c>
      <c r="S348" s="148">
        <v>100</v>
      </c>
      <c r="T348" s="148">
        <v>100</v>
      </c>
      <c r="X348" s="155">
        <v>15</v>
      </c>
      <c r="Y348" s="149">
        <v>11.8</v>
      </c>
      <c r="Z348" s="152">
        <v>83.8</v>
      </c>
      <c r="AA348" s="150">
        <v>27.9</v>
      </c>
      <c r="AC348" s="151">
        <v>3.54</v>
      </c>
      <c r="AD348" s="149">
        <v>187.8</v>
      </c>
      <c r="AE348" s="150">
        <v>37.6</v>
      </c>
      <c r="AF348" s="153">
        <v>2.36</v>
      </c>
      <c r="AH348" s="174">
        <f t="shared" si="17"/>
        <v>1.2711864406779663</v>
      </c>
      <c r="AI348" s="174"/>
      <c r="AJ348" s="186"/>
      <c r="AK348" s="174">
        <f>(($AK$2+Y348*Лист1!$B$7^2*Лист1!$G$8/100)/(AA348/10^6)+$AK$3/(AE348/10^6))/1000/($Q348*IF(Лист1!$J$19="да",1/1.05,1))</f>
        <v>0.63999368829369629</v>
      </c>
      <c r="AL348" s="24"/>
      <c r="AM348" s="186"/>
      <c r="AN348" s="174">
        <f>(($AK$2+Y348*Лист1!$B$7^2*Лист1!$G$8/100)/(AA348/10^6)+$AK$3/(AE348/10^6))/1000/($Q348*IF(Лист1!$J$19="да",1/1.05,1))</f>
        <v>0.63999368829369629</v>
      </c>
      <c r="AO348" s="24"/>
      <c r="AP348" s="186"/>
      <c r="AQ348" s="174">
        <f>MAX((5/384*($AQ$2+$Y348/100)*$D$17^4/(2.06*10^8*$Z348/10^8))/($D$17/300)*INDEX(Лист1!$L$34:$L$38,MATCH(Лист1!$B$8,Лист1!$I$34:$I$38,0),1),(5/384*($AQ$3)*$D$17^4/(2.06*10^8*$AD348/10^8))/($D$17/200))</f>
        <v>3.0694615010311188</v>
      </c>
      <c r="AR348" s="174"/>
      <c r="AS348" s="175"/>
      <c r="AT348" s="174">
        <f>MAX((5/384*($AT$2+$Y348/100)*$D$17^4/(2.06*10^8*$Z348/10^8))/($D$17/300)*INDEX(Лист1!$L$34:$L$38,MATCH(Лист1!$B$8,Лист1!$I$34:$I$38,0),1),(5/384*($AT$3)*$D$17^4/(2.06*10^8*$AD348/10^8))/($D$17/200))</f>
        <v>1.0166369302778231</v>
      </c>
      <c r="AU348" s="174"/>
      <c r="AV348" s="174">
        <f>IF(OR(MAX(AH348,AQ348)&gt;1,AK348&gt;Лист1!$B$20,N348="-"),999999999,Y348*Лист1!$B$7+0.0001*O348)</f>
        <v>999999999</v>
      </c>
      <c r="AX348" s="174">
        <f>IF(OR(MAX(AH348,AT348)&gt;1,AN348&gt;Лист1!$B$20,N348="-"),999999999,Y348*Лист1!$B$7+0.0001*O348)</f>
        <v>999999999</v>
      </c>
    </row>
    <row r="349" spans="14:50" ht="16.5" thickBot="1" x14ac:dyDescent="0.3">
      <c r="O349">
        <f t="shared" si="16"/>
        <v>346</v>
      </c>
      <c r="P349" s="211" t="s">
        <v>296</v>
      </c>
      <c r="Q349" s="211">
        <v>340</v>
      </c>
      <c r="R349" s="154" t="s">
        <v>353</v>
      </c>
      <c r="S349" s="148">
        <v>100</v>
      </c>
      <c r="T349" s="148">
        <v>100</v>
      </c>
      <c r="X349" s="148">
        <v>17.8</v>
      </c>
      <c r="Y349" s="149">
        <v>14</v>
      </c>
      <c r="Z349" s="152">
        <v>96.2</v>
      </c>
      <c r="AA349" s="150">
        <v>32.1</v>
      </c>
      <c r="AC349" s="151">
        <v>3.48</v>
      </c>
      <c r="AD349" s="149">
        <v>216.3</v>
      </c>
      <c r="AE349" s="150">
        <v>43.3</v>
      </c>
      <c r="AF349" s="153">
        <v>2.3199999999999998</v>
      </c>
      <c r="AH349" s="174">
        <f t="shared" si="17"/>
        <v>1.2931034482758621</v>
      </c>
      <c r="AI349" s="174"/>
      <c r="AJ349" s="186"/>
      <c r="AK349" s="174">
        <f>(($AK$2+Y349*Лист1!$B$7^2*Лист1!$G$8/100)/(AA349/10^6)+$AK$3/(AE349/10^6))/1000/($Q349*IF(Лист1!$J$19="да",1/1.05,1))</f>
        <v>0.56505620117860178</v>
      </c>
      <c r="AL349" s="24"/>
      <c r="AM349" s="186"/>
      <c r="AN349" s="174">
        <f>(($AK$2+Y349*Лист1!$B$7^2*Лист1!$G$8/100)/(AA349/10^6)+$AK$3/(AE349/10^6))/1000/($Q349*IF(Лист1!$J$19="да",1/1.05,1))</f>
        <v>0.56505620117860178</v>
      </c>
      <c r="AO349" s="24"/>
      <c r="AP349" s="186"/>
      <c r="AQ349" s="174">
        <f>MAX((5/384*($AQ$2+$Y349/100)*$D$17^4/(2.06*10^8*$Z349/10^8))/($D$17/300)*INDEX(Лист1!$L$34:$L$38,MATCH(Лист1!$B$8,Лист1!$I$34:$I$38,0),1),(5/384*($AQ$3)*$D$17^4/(2.06*10^8*$AD349/10^8))/($D$17/200))</f>
        <v>2.7674822881133565</v>
      </c>
      <c r="AR349" s="174"/>
      <c r="AS349" s="175"/>
      <c r="AT349" s="174">
        <f>MAX((5/384*($AT$2+$Y349/100)*$D$17^4/(2.06*10^8*$Z349/10^8))/($D$17/300)*INDEX(Лист1!$L$34:$L$38,MATCH(Лист1!$B$8,Лист1!$I$34:$I$38,0),1),(5/384*($AT$3)*$D$17^4/(2.06*10^8*$AD349/10^8))/($D$17/200))</f>
        <v>0.97926296348626451</v>
      </c>
      <c r="AU349" s="174"/>
      <c r="AV349" s="174">
        <f>IF(OR(MAX(AH349,AQ349)&gt;1,AK349&gt;Лист1!$B$20,N349="-"),999999999,Y349*Лист1!$B$7+0.0001*O349)</f>
        <v>999999999</v>
      </c>
      <c r="AX349" s="174">
        <f>IF(OR(MAX(AH349,AT349)&gt;1,AN349&gt;Лист1!$B$20,N349="-"),999999999,Y349*Лист1!$B$7+0.0001*O349)</f>
        <v>999999999</v>
      </c>
    </row>
    <row r="350" spans="14:50" ht="16.5" thickBot="1" x14ac:dyDescent="0.3">
      <c r="O350">
        <f t="shared" si="16"/>
        <v>347</v>
      </c>
      <c r="P350" s="211" t="s">
        <v>296</v>
      </c>
      <c r="Q350" s="211">
        <v>340</v>
      </c>
      <c r="R350" s="154" t="s">
        <v>354</v>
      </c>
      <c r="S350" s="148">
        <v>120</v>
      </c>
      <c r="T350" s="148">
        <v>120</v>
      </c>
      <c r="X350" s="148">
        <v>11.6</v>
      </c>
      <c r="Y350" s="149">
        <v>9.1</v>
      </c>
      <c r="Z350" s="152">
        <v>124.8</v>
      </c>
      <c r="AA350" s="150">
        <v>31.2</v>
      </c>
      <c r="AC350" s="151">
        <v>4.4800000000000004</v>
      </c>
      <c r="AD350" s="149">
        <v>233.4</v>
      </c>
      <c r="AE350" s="150">
        <v>38.9</v>
      </c>
      <c r="AF350" s="153">
        <v>3.27</v>
      </c>
      <c r="AH350" s="174">
        <f t="shared" si="17"/>
        <v>0.91743119266055051</v>
      </c>
      <c r="AI350" s="174"/>
      <c r="AJ350" s="186"/>
      <c r="AK350" s="174">
        <f>(($AK$2+Y350*Лист1!$B$7^2*Лист1!$G$8/100)/(AA350/10^6)+$AK$3/(AE350/10^6))/1000/($Q350*IF(Лист1!$J$19="да",1/1.05,1))</f>
        <v>0.58539212744955782</v>
      </c>
      <c r="AL350" s="24"/>
      <c r="AM350" s="186"/>
      <c r="AN350" s="174">
        <f>(($AK$2+Y350*Лист1!$B$7^2*Лист1!$G$8/100)/(AA350/10^6)+$AK$3/(AE350/10^6))/1000/($Q350*IF(Лист1!$J$19="да",1/1.05,1))</f>
        <v>0.58539212744955782</v>
      </c>
      <c r="AO350" s="24"/>
      <c r="AP350" s="186"/>
      <c r="AQ350" s="174">
        <f>MAX((5/384*($AQ$2+$Y350/100)*$D$17^4/(2.06*10^8*$Z350/10^8))/($D$17/300)*INDEX(Лист1!$L$34:$L$38,MATCH(Лист1!$B$8,Лист1!$I$34:$I$38,0),1),(5/384*($AQ$3)*$D$17^4/(2.06*10^8*$AD350/10^8))/($D$17/200))</f>
        <v>1.9724520397684839</v>
      </c>
      <c r="AR350" s="174"/>
      <c r="AS350" s="175"/>
      <c r="AT350" s="174">
        <f>MAX((5/384*($AT$2+$Y350/100)*$D$17^4/(2.06*10^8*$Z350/10^8))/($D$17/300)*INDEX(Лист1!$L$34:$L$38,MATCH(Лист1!$B$8,Лист1!$I$34:$I$38,0),1),(5/384*($AT$3)*$D$17^4/(2.06*10^8*$AD350/10^8))/($D$17/200))</f>
        <v>0.67111919215314375</v>
      </c>
      <c r="AU350" s="174"/>
      <c r="AV350" s="174">
        <f>IF(OR(MAX(AH350,AQ350)&gt;1,AK350&gt;Лист1!$B$20,N350="-"),999999999,Y350*Лист1!$B$7+0.0001*O350)</f>
        <v>999999999</v>
      </c>
      <c r="AX350" s="174">
        <f>IF(OR(MAX(AH350,AT350)&gt;1,AN350&gt;Лист1!$B$20,N350="-"),999999999,Y350*Лист1!$B$7+0.0001*O350)</f>
        <v>54.634699999999995</v>
      </c>
    </row>
    <row r="351" spans="14:50" ht="16.5" thickBot="1" x14ac:dyDescent="0.3">
      <c r="O351">
        <f t="shared" si="16"/>
        <v>348</v>
      </c>
      <c r="P351" s="211" t="s">
        <v>296</v>
      </c>
      <c r="Q351" s="211">
        <v>340</v>
      </c>
      <c r="R351" s="154" t="s">
        <v>355</v>
      </c>
      <c r="S351" s="148">
        <v>120</v>
      </c>
      <c r="T351" s="148">
        <v>120</v>
      </c>
      <c r="X351" s="148">
        <v>15.3</v>
      </c>
      <c r="Y351" s="149">
        <v>12</v>
      </c>
      <c r="Z351" s="152">
        <v>159.69999999999999</v>
      </c>
      <c r="AA351" s="150">
        <v>39.9</v>
      </c>
      <c r="AC351" s="151">
        <v>4.42</v>
      </c>
      <c r="AD351" s="149">
        <v>299</v>
      </c>
      <c r="AE351" s="150">
        <v>49.8</v>
      </c>
      <c r="AF351" s="153">
        <v>3.23</v>
      </c>
      <c r="AH351" s="174">
        <f t="shared" si="17"/>
        <v>0.92879256965944279</v>
      </c>
      <c r="AI351" s="174"/>
      <c r="AJ351" s="186"/>
      <c r="AK351" s="174">
        <f>(($AK$2+Y351*Лист1!$B$7^2*Лист1!$G$8/100)/(AA351/10^6)+$AK$3/(AE351/10^6))/1000/($Q351*IF(Лист1!$J$19="да",1/1.05,1))</f>
        <v>0.46709758954004482</v>
      </c>
      <c r="AL351" s="24"/>
      <c r="AM351" s="186"/>
      <c r="AN351" s="174">
        <f>(($AK$2+Y351*Лист1!$B$7^2*Лист1!$G$8/100)/(AA351/10^6)+$AK$3/(AE351/10^6))/1000/($Q351*IF(Лист1!$J$19="да",1/1.05,1))</f>
        <v>0.46709758954004482</v>
      </c>
      <c r="AO351" s="24"/>
      <c r="AP351" s="186"/>
      <c r="AQ351" s="174">
        <f>MAX((5/384*($AQ$2+$Y351/100)*$D$17^4/(2.06*10^8*$Z351/10^8))/($D$17/300)*INDEX(Лист1!$L$34:$L$38,MATCH(Лист1!$B$8,Лист1!$I$34:$I$38,0),1),(5/384*($AQ$3)*$D$17^4/(2.06*10^8*$AD351/10^8))/($D$17/200))</f>
        <v>1.615779890693108</v>
      </c>
      <c r="AR351" s="174"/>
      <c r="AS351" s="175"/>
      <c r="AT351" s="174">
        <f>MAX((5/384*($AT$2+$Y351/100)*$D$17^4/(2.06*10^8*$Z351/10^8))/($D$17/300)*INDEX(Лист1!$L$34:$L$38,MATCH(Лист1!$B$8,Лист1!$I$34:$I$38,0),1),(5/384*($AT$3)*$D$17^4/(2.06*10^8*$AD351/10^8))/($D$17/200))</f>
        <v>0.53859329689770252</v>
      </c>
      <c r="AU351" s="174"/>
      <c r="AV351" s="174">
        <f>IF(OR(MAX(AH351,AQ351)&gt;1,AK351&gt;Лист1!$B$20,N351="-"),999999999,Y351*Лист1!$B$7+0.0001*O351)</f>
        <v>999999999</v>
      </c>
      <c r="AX351" s="174">
        <f>IF(OR(MAX(AH351,AT351)&gt;1,AN351&gt;Лист1!$B$20,N351="-"),999999999,Y351*Лист1!$B$7+0.0001*O351)</f>
        <v>72.034800000000004</v>
      </c>
    </row>
    <row r="352" spans="14:50" ht="16.5" thickBot="1" x14ac:dyDescent="0.3">
      <c r="O352">
        <f t="shared" si="16"/>
        <v>349</v>
      </c>
      <c r="P352" s="211" t="s">
        <v>296</v>
      </c>
      <c r="Q352" s="211">
        <v>340</v>
      </c>
      <c r="R352" s="154" t="s">
        <v>356</v>
      </c>
      <c r="S352" s="148">
        <v>120</v>
      </c>
      <c r="T352" s="148">
        <v>120</v>
      </c>
      <c r="X352" s="148">
        <v>18.899999999999999</v>
      </c>
      <c r="Y352" s="149">
        <v>14.8</v>
      </c>
      <c r="Z352" s="152">
        <v>192.4</v>
      </c>
      <c r="AA352" s="150">
        <v>48.1</v>
      </c>
      <c r="AC352" s="151">
        <v>4.37</v>
      </c>
      <c r="AD352" s="149">
        <v>361.4</v>
      </c>
      <c r="AE352" s="150">
        <v>60.2</v>
      </c>
      <c r="AF352" s="153">
        <v>3.19</v>
      </c>
      <c r="AH352" s="174">
        <f t="shared" si="17"/>
        <v>0.94043887147335425</v>
      </c>
      <c r="AI352" s="174"/>
      <c r="AJ352" s="186"/>
      <c r="AK352" s="174">
        <f>(($AK$2+Y352*Лист1!$B$7^2*Лист1!$G$8/100)/(AA352/10^6)+$AK$3/(AE352/10^6))/1000/($Q352*IF(Лист1!$J$19="да",1/1.05,1))</f>
        <v>0.39458838816685576</v>
      </c>
      <c r="AL352" s="24"/>
      <c r="AM352" s="186"/>
      <c r="AN352" s="174">
        <f>(($AK$2+Y352*Лист1!$B$7^2*Лист1!$G$8/100)/(AA352/10^6)+$AK$3/(AE352/10^6))/1000/($Q352*IF(Лист1!$J$19="да",1/1.05,1))</f>
        <v>0.39458838816685576</v>
      </c>
      <c r="AO352" s="24"/>
      <c r="AP352" s="186"/>
      <c r="AQ352" s="174">
        <f>MAX((5/384*($AQ$2+$Y352/100)*$D$17^4/(2.06*10^8*$Z352/10^8))/($D$17/300)*INDEX(Лист1!$L$34:$L$38,MATCH(Лист1!$B$8,Лист1!$I$34:$I$38,0),1),(5/384*($AQ$3)*$D$17^4/(2.06*10^8*$AD352/10^8))/($D$17/200))</f>
        <v>1.4007718042912218</v>
      </c>
      <c r="AR352" s="174"/>
      <c r="AS352" s="175"/>
      <c r="AT352" s="174">
        <f>MAX((5/384*($AT$2+$Y352/100)*$D$17^4/(2.06*10^8*$Z352/10^8))/($D$17/300)*INDEX(Лист1!$L$34:$L$38,MATCH(Лист1!$B$8,Лист1!$I$34:$I$38,0),1),(5/384*($AT$3)*$D$17^4/(2.06*10^8*$AD352/10^8))/($D$17/200))</f>
        <v>0.50666214197767601</v>
      </c>
      <c r="AU352" s="174"/>
      <c r="AV352" s="174">
        <f>IF(OR(MAX(AH352,AQ352)&gt;1,AK352&gt;Лист1!$B$20,N352="-"),999999999,Y352*Лист1!$B$7+0.0001*O352)</f>
        <v>999999999</v>
      </c>
      <c r="AX352" s="174">
        <f>IF(OR(MAX(AH352,AT352)&gt;1,AN352&gt;Лист1!$B$20,N352="-"),999999999,Y352*Лист1!$B$7+0.0001*O352)</f>
        <v>88.834900000000005</v>
      </c>
    </row>
    <row r="353" spans="14:50" ht="16.5" thickBot="1" x14ac:dyDescent="0.3">
      <c r="O353">
        <f t="shared" si="16"/>
        <v>350</v>
      </c>
      <c r="P353" s="211" t="s">
        <v>296</v>
      </c>
      <c r="Q353" s="211">
        <v>340</v>
      </c>
      <c r="R353" s="154" t="s">
        <v>357</v>
      </c>
      <c r="S353" s="148">
        <v>120</v>
      </c>
      <c r="T353" s="148">
        <v>120</v>
      </c>
      <c r="X353" s="148">
        <v>22.6</v>
      </c>
      <c r="Y353" s="149">
        <v>17.7</v>
      </c>
      <c r="Z353" s="152">
        <v>224.1</v>
      </c>
      <c r="AA353" s="150">
        <v>56</v>
      </c>
      <c r="AC353" s="151">
        <v>4.33</v>
      </c>
      <c r="AD353" s="149">
        <v>423.2</v>
      </c>
      <c r="AE353" s="150">
        <v>70.5</v>
      </c>
      <c r="AF353" s="153">
        <v>3.15</v>
      </c>
      <c r="AH353" s="174">
        <f t="shared" si="17"/>
        <v>0.95238095238095244</v>
      </c>
      <c r="AI353" s="174"/>
      <c r="AJ353" s="186"/>
      <c r="AK353" s="174">
        <f>(($AK$2+Y353*Лист1!$B$7^2*Лист1!$G$8/100)/(AA353/10^6)+$AK$3/(AE353/10^6))/1000/($Q353*IF(Лист1!$J$19="да",1/1.05,1))</f>
        <v>0.34471192471172962</v>
      </c>
      <c r="AL353" s="24"/>
      <c r="AM353" s="186"/>
      <c r="AN353" s="174">
        <f>(($AK$2+Y353*Лист1!$B$7^2*Лист1!$G$8/100)/(AA353/10^6)+$AK$3/(AE353/10^6))/1000/($Q353*IF(Лист1!$J$19="да",1/1.05,1))</f>
        <v>0.34471192471172962</v>
      </c>
      <c r="AO353" s="24"/>
      <c r="AP353" s="186"/>
      <c r="AQ353" s="174">
        <f>MAX((5/384*($AQ$2+$Y353/100)*$D$17^4/(2.06*10^8*$Z353/10^8))/($D$17/300)*INDEX(Лист1!$L$34:$L$38,MATCH(Лист1!$B$8,Лист1!$I$34:$I$38,0),1),(5/384*($AQ$3)*$D$17^4/(2.06*10^8*$AD353/10^8))/($D$17/200))</f>
        <v>1.255629313369985</v>
      </c>
      <c r="AR353" s="174"/>
      <c r="AS353" s="175"/>
      <c r="AT353" s="174">
        <f>MAX((5/384*($AT$2+$Y353/100)*$D$17^4/(2.06*10^8*$Z353/10^8))/($D$17/300)*INDEX(Лист1!$L$34:$L$38,MATCH(Лист1!$B$8,Лист1!$I$34:$I$38,0),1),(5/384*($AT$3)*$D$17^4/(2.06*10^8*$AD353/10^8))/($D$17/200))</f>
        <v>0.48799567200842198</v>
      </c>
      <c r="AU353" s="174"/>
      <c r="AV353" s="174">
        <f>IF(OR(MAX(AH353,AQ353)&gt;1,AK353&gt;Лист1!$B$20,N353="-"),999999999,Y353*Лист1!$B$7+0.0001*O353)</f>
        <v>999999999</v>
      </c>
      <c r="AX353" s="174">
        <f>IF(OR(MAX(AH353,AT353)&gt;1,AN353&gt;Лист1!$B$20,N353="-"),999999999,Y353*Лист1!$B$7+0.0001*O353)</f>
        <v>106.23499999999999</v>
      </c>
    </row>
    <row r="354" spans="14:50" ht="16.5" thickBot="1" x14ac:dyDescent="0.3">
      <c r="O354">
        <f t="shared" si="16"/>
        <v>351</v>
      </c>
      <c r="P354" s="211" t="s">
        <v>296</v>
      </c>
      <c r="Q354" s="211">
        <v>340</v>
      </c>
      <c r="R354" s="154" t="s">
        <v>358</v>
      </c>
      <c r="S354" s="148">
        <v>120</v>
      </c>
      <c r="T354" s="148">
        <v>120</v>
      </c>
      <c r="X354" s="148">
        <v>26.3</v>
      </c>
      <c r="Y354" s="149">
        <v>20.6</v>
      </c>
      <c r="Z354" s="152">
        <v>254.6</v>
      </c>
      <c r="AA354" s="150">
        <v>63.8</v>
      </c>
      <c r="AC354" s="151">
        <v>4.28</v>
      </c>
      <c r="AD354" s="149">
        <v>483.2</v>
      </c>
      <c r="AE354" s="150">
        <v>80.400000000000006</v>
      </c>
      <c r="AF354" s="153">
        <v>3.1</v>
      </c>
      <c r="AH354" s="174">
        <f t="shared" si="17"/>
        <v>0.96774193548387089</v>
      </c>
      <c r="AI354" s="174"/>
      <c r="AJ354" s="186"/>
      <c r="AK354" s="174">
        <f>(($AK$2+Y354*Лист1!$B$7^2*Лист1!$G$8/100)/(AA354/10^6)+$AK$3/(AE354/10^6))/1000/($Q354*IF(Лист1!$J$19="да",1/1.05,1))</f>
        <v>0.30842578221096151</v>
      </c>
      <c r="AL354" s="24"/>
      <c r="AM354" s="186"/>
      <c r="AN354" s="174">
        <f>(($AK$2+Y354*Лист1!$B$7^2*Лист1!$G$8/100)/(AA354/10^6)+$AK$3/(AE354/10^6))/1000/($Q354*IF(Лист1!$J$19="да",1/1.05,1))</f>
        <v>0.30842578221096151</v>
      </c>
      <c r="AO354" s="24"/>
      <c r="AP354" s="186"/>
      <c r="AQ354" s="174">
        <f>MAX((5/384*($AQ$2+$Y354/100)*$D$17^4/(2.06*10^8*$Z354/10^8))/($D$17/300)*INDEX(Лист1!$L$34:$L$38,MATCH(Лист1!$B$8,Лист1!$I$34:$I$38,0),1),(5/384*($AQ$3)*$D$17^4/(2.06*10^8*$AD354/10^8))/($D$17/200))</f>
        <v>1.1518639556433468</v>
      </c>
      <c r="AR354" s="174"/>
      <c r="AS354" s="175"/>
      <c r="AT354" s="174">
        <f>MAX((5/384*($AT$2+$Y354/100)*$D$17^4/(2.06*10^8*$Z354/10^8))/($D$17/300)*INDEX(Лист1!$L$34:$L$38,MATCH(Лист1!$B$8,Лист1!$I$34:$I$38,0),1),(5/384*($AT$3)*$D$17^4/(2.06*10^8*$AD354/10^8))/($D$17/200))</f>
        <v>0.47618956825479153</v>
      </c>
      <c r="AU354" s="174"/>
      <c r="AV354" s="174">
        <f>IF(OR(MAX(AH354,AQ354)&gt;1,AK354&gt;Лист1!$B$20,N354="-"),999999999,Y354*Лист1!$B$7+0.0001*O354)</f>
        <v>999999999</v>
      </c>
      <c r="AX354" s="174">
        <f>IF(OR(MAX(AH354,AT354)&gt;1,AN354&gt;Лист1!$B$20,N354="-"),999999999,Y354*Лист1!$B$7+0.0001*O354)</f>
        <v>123.63510000000001</v>
      </c>
    </row>
    <row r="355" spans="14:50" ht="16.5" thickBot="1" x14ac:dyDescent="0.3">
      <c r="O355">
        <f t="shared" si="16"/>
        <v>352</v>
      </c>
      <c r="P355" s="211" t="s">
        <v>296</v>
      </c>
      <c r="Q355" s="211">
        <v>340</v>
      </c>
      <c r="R355" s="156" t="s">
        <v>359</v>
      </c>
      <c r="S355" s="157">
        <v>140</v>
      </c>
      <c r="T355" s="157">
        <v>140</v>
      </c>
      <c r="X355" s="157">
        <v>15.3</v>
      </c>
      <c r="Y355" s="158">
        <v>12</v>
      </c>
      <c r="Z355" s="161">
        <v>95.4</v>
      </c>
      <c r="AA355" s="159">
        <v>31.8</v>
      </c>
      <c r="AC355" s="160">
        <v>4.8600000000000003</v>
      </c>
      <c r="AD355" s="158">
        <v>362.1</v>
      </c>
      <c r="AE355" s="159">
        <v>51.7</v>
      </c>
      <c r="AF355" s="162">
        <v>2.5</v>
      </c>
      <c r="AH355" s="174">
        <f t="shared" si="17"/>
        <v>1.2</v>
      </c>
      <c r="AI355" s="174"/>
      <c r="AJ355" s="186"/>
      <c r="AK355" s="174">
        <f>(($AK$2+Y355*Лист1!$B$7^2*Лист1!$G$8/100)/(AA355/10^6)+$AK$3/(AE355/10^6))/1000/($Q355*IF(Лист1!$J$19="да",1/1.05,1))</f>
        <v>0.51142200963364215</v>
      </c>
      <c r="AL355" s="24"/>
      <c r="AM355" s="186"/>
      <c r="AN355" s="174">
        <f>(($AK$2+Y355*Лист1!$B$7^2*Лист1!$G$8/100)/(AA355/10^6)+$AK$3/(AE355/10^6))/1000/($Q355*IF(Лист1!$J$19="да",1/1.05,1))</f>
        <v>0.51142200963364215</v>
      </c>
      <c r="AO355" s="24"/>
      <c r="AP355" s="186"/>
      <c r="AQ355" s="174">
        <f>MAX((5/384*($AQ$2+$Y355/100)*$D$17^4/(2.06*10^8*$Z355/10^8))/($D$17/300)*INDEX(Лист1!$L$34:$L$38,MATCH(Лист1!$B$8,Лист1!$I$34:$I$38,0),1),(5/384*($AQ$3)*$D$17^4/(2.06*10^8*$AD355/10^8))/($D$17/200))</f>
        <v>2.704822311778714</v>
      </c>
      <c r="AR355" s="174"/>
      <c r="AS355" s="175"/>
      <c r="AT355" s="174">
        <f>MAX((5/384*($AT$2+$Y355/100)*$D$17^4/(2.06*10^8*$Z355/10^8))/($D$17/300)*INDEX(Лист1!$L$34:$L$38,MATCH(Лист1!$B$8,Лист1!$I$34:$I$38,0),1),(5/384*($AT$3)*$D$17^4/(2.06*10^8*$AD355/10^8))/($D$17/200))</f>
        <v>0.90160743725957138</v>
      </c>
      <c r="AU355" s="174"/>
      <c r="AV355" s="174">
        <f>IF(OR(MAX(AH355,AQ355)&gt;1,AK355&gt;Лист1!$B$20,N355="-"),999999999,Y355*Лист1!$B$7+0.0001*O355)</f>
        <v>999999999</v>
      </c>
      <c r="AX355" s="174">
        <f>IF(OR(MAX(AH355,AT355)&gt;1,AN355&gt;Лист1!$B$20,N355="-"),999999999,Y355*Лист1!$B$7+0.0001*O355)</f>
        <v>999999999</v>
      </c>
    </row>
    <row r="356" spans="14:50" ht="16.5" thickBot="1" x14ac:dyDescent="0.3">
      <c r="O356">
        <f t="shared" si="16"/>
        <v>353</v>
      </c>
      <c r="P356" s="211" t="s">
        <v>296</v>
      </c>
      <c r="Q356" s="211">
        <v>340</v>
      </c>
      <c r="R356" s="156" t="s">
        <v>360</v>
      </c>
      <c r="S356" s="157">
        <v>140</v>
      </c>
      <c r="T356" s="157">
        <v>140</v>
      </c>
      <c r="X356" s="157">
        <v>18.899999999999999</v>
      </c>
      <c r="Y356" s="158">
        <v>14.8</v>
      </c>
      <c r="Z356" s="161">
        <v>113.6</v>
      </c>
      <c r="AA356" s="159">
        <v>37.9</v>
      </c>
      <c r="AC356" s="160">
        <v>4.8</v>
      </c>
      <c r="AD356" s="158">
        <v>436.1</v>
      </c>
      <c r="AE356" s="159">
        <v>62.3</v>
      </c>
      <c r="AF356" s="162">
        <v>2.4500000000000002</v>
      </c>
      <c r="AH356" s="174">
        <f t="shared" si="17"/>
        <v>1.2244897959183674</v>
      </c>
      <c r="AI356" s="174"/>
      <c r="AJ356" s="186"/>
      <c r="AK356" s="174">
        <f>(($AK$2+Y356*Лист1!$B$7^2*Лист1!$G$8/100)/(AA356/10^6)+$AK$3/(AE356/10^6))/1000/($Q356*IF(Лист1!$J$19="да",1/1.05,1))</f>
        <v>0.43661830368044374</v>
      </c>
      <c r="AL356" s="24"/>
      <c r="AM356" s="186"/>
      <c r="AN356" s="174">
        <f>(($AK$2+Y356*Лист1!$B$7^2*Лист1!$G$8/100)/(AA356/10^6)+$AK$3/(AE356/10^6))/1000/($Q356*IF(Лист1!$J$19="да",1/1.05,1))</f>
        <v>0.43661830368044374</v>
      </c>
      <c r="AO356" s="24"/>
      <c r="AP356" s="186"/>
      <c r="AQ356" s="174">
        <f>MAX((5/384*($AQ$2+$Y356/100)*$D$17^4/(2.06*10^8*$Z356/10^8))/($D$17/300)*INDEX(Лист1!$L$34:$L$38,MATCH(Лист1!$B$8,Лист1!$I$34:$I$38,0),1),(5/384*($AQ$3)*$D$17^4/(2.06*10^8*$AD356/10^8))/($D$17/200))</f>
        <v>2.3724339361411184</v>
      </c>
      <c r="AR356" s="174"/>
      <c r="AS356" s="175"/>
      <c r="AT356" s="174">
        <f>MAX((5/384*($AT$2+$Y356/100)*$D$17^4/(2.06*10^8*$Z356/10^8))/($D$17/300)*INDEX(Лист1!$L$34:$L$38,MATCH(Лист1!$B$8,Лист1!$I$34:$I$38,0),1),(5/384*($AT$3)*$D$17^4/(2.06*10^8*$AD356/10^8))/($D$17/200))</f>
        <v>0.85811440243402159</v>
      </c>
      <c r="AU356" s="174"/>
      <c r="AV356" s="174">
        <f>IF(OR(MAX(AH356,AQ356)&gt;1,AK356&gt;Лист1!$B$20,N356="-"),999999999,Y356*Лист1!$B$7+0.0001*O356)</f>
        <v>999999999</v>
      </c>
      <c r="AX356" s="174">
        <f>IF(OR(MAX(AH356,AT356)&gt;1,AN356&gt;Лист1!$B$20,N356="-"),999999999,Y356*Лист1!$B$7+0.0001*O356)</f>
        <v>999999999</v>
      </c>
    </row>
    <row r="357" spans="14:50" ht="16.5" thickBot="1" x14ac:dyDescent="0.3">
      <c r="O357">
        <f t="shared" si="16"/>
        <v>354</v>
      </c>
      <c r="P357" s="211" t="s">
        <v>296</v>
      </c>
      <c r="Q357" s="211">
        <v>340</v>
      </c>
      <c r="R357" s="156" t="s">
        <v>361</v>
      </c>
      <c r="S357" s="157">
        <v>140</v>
      </c>
      <c r="T357" s="157">
        <v>140</v>
      </c>
      <c r="X357" s="157">
        <v>22.6</v>
      </c>
      <c r="Y357" s="158">
        <v>17.7</v>
      </c>
      <c r="Z357" s="161">
        <v>131.30000000000001</v>
      </c>
      <c r="AA357" s="159">
        <v>43.8</v>
      </c>
      <c r="AC357" s="160">
        <v>4.75</v>
      </c>
      <c r="AD357" s="158">
        <v>509.7</v>
      </c>
      <c r="AE357" s="159">
        <v>72.8</v>
      </c>
      <c r="AF357" s="162">
        <v>2.41</v>
      </c>
      <c r="AH357" s="174">
        <f t="shared" si="17"/>
        <v>1.2448132780082988</v>
      </c>
      <c r="AI357" s="174"/>
      <c r="AJ357" s="186"/>
      <c r="AK357" s="174">
        <f>(($AK$2+Y357*Лист1!$B$7^2*Лист1!$G$8/100)/(AA357/10^6)+$AK$3/(AE357/10^6))/1000/($Q357*IF(Лист1!$J$19="да",1/1.05,1))</f>
        <v>0.384616853559824</v>
      </c>
      <c r="AL357" s="24"/>
      <c r="AM357" s="186"/>
      <c r="AN357" s="174">
        <f>(($AK$2+Y357*Лист1!$B$7^2*Лист1!$G$8/100)/(AA357/10^6)+$AK$3/(AE357/10^6))/1000/($Q357*IF(Лист1!$J$19="да",1/1.05,1))</f>
        <v>0.384616853559824</v>
      </c>
      <c r="AO357" s="24"/>
      <c r="AP357" s="186"/>
      <c r="AQ357" s="174">
        <f>MAX((5/384*($AQ$2+$Y357/100)*$D$17^4/(2.06*10^8*$Z357/10^8))/($D$17/300)*INDEX(Лист1!$L$34:$L$38,MATCH(Лист1!$B$8,Лист1!$I$34:$I$38,0),1),(5/384*($AQ$3)*$D$17^4/(2.06*10^8*$AD357/10^8))/($D$17/200))</f>
        <v>2.1430809529795396</v>
      </c>
      <c r="AR357" s="174"/>
      <c r="AS357" s="175"/>
      <c r="AT357" s="174">
        <f>MAX((5/384*($AT$2+$Y357/100)*$D$17^4/(2.06*10^8*$Z357/10^8))/($D$17/300)*INDEX(Лист1!$L$34:$L$38,MATCH(Лист1!$B$8,Лист1!$I$34:$I$38,0),1),(5/384*($AT$3)*$D$17^4/(2.06*10^8*$AD357/10^8))/($D$17/200))</f>
        <v>0.83290045770820531</v>
      </c>
      <c r="AU357" s="174"/>
      <c r="AV357" s="174">
        <f>IF(OR(MAX(AH357,AQ357)&gt;1,AK357&gt;Лист1!$B$20,N357="-"),999999999,Y357*Лист1!$B$7+0.0001*O357)</f>
        <v>999999999</v>
      </c>
      <c r="AX357" s="174">
        <f>IF(OR(MAX(AH357,AT357)&gt;1,AN357&gt;Лист1!$B$20,N357="-"),999999999,Y357*Лист1!$B$7+0.0001*O357)</f>
        <v>999999999</v>
      </c>
    </row>
    <row r="358" spans="14:50" ht="16.5" thickBot="1" x14ac:dyDescent="0.3">
      <c r="N358" t="s">
        <v>344</v>
      </c>
      <c r="O358">
        <f t="shared" si="16"/>
        <v>355</v>
      </c>
      <c r="P358" s="211" t="s">
        <v>296</v>
      </c>
      <c r="Q358" s="211">
        <v>340</v>
      </c>
      <c r="R358" s="154" t="s">
        <v>362</v>
      </c>
      <c r="S358" s="157">
        <v>140</v>
      </c>
      <c r="T358" s="157">
        <v>140</v>
      </c>
      <c r="X358" s="148">
        <v>14.2</v>
      </c>
      <c r="Y358" s="149">
        <v>11.1</v>
      </c>
      <c r="Z358" s="152">
        <v>241.2</v>
      </c>
      <c r="AA358" s="150">
        <v>48.2</v>
      </c>
      <c r="AC358" s="151">
        <v>5.31</v>
      </c>
      <c r="AD358" s="149">
        <v>404.2</v>
      </c>
      <c r="AE358" s="150">
        <v>57.7</v>
      </c>
      <c r="AF358" s="153">
        <v>4.0999999999999996</v>
      </c>
      <c r="AH358" s="174">
        <f t="shared" si="17"/>
        <v>0.73170731707317072</v>
      </c>
      <c r="AI358" s="174"/>
      <c r="AJ358" s="186"/>
      <c r="AK358" s="174">
        <f>(($AK$2+Y358*Лист1!$B$7^2*Лист1!$G$8/100)/(AA358/10^6)+$AK$3/(AE358/10^6))/1000/($Q358*IF(Лист1!$J$19="да",1/1.05,1))</f>
        <v>0.39322973071283474</v>
      </c>
      <c r="AL358" s="24"/>
      <c r="AM358" s="186"/>
      <c r="AN358" s="174">
        <f>(($AK$2+Y358*Лист1!$B$7^2*Лист1!$G$8/100)/(AA358/10^6)+$AK$3/(AE358/10^6))/1000/($Q358*IF(Лист1!$J$19="да",1/1.05,1))</f>
        <v>0.39322973071283474</v>
      </c>
      <c r="AO358" s="24"/>
      <c r="AP358" s="186"/>
      <c r="AQ358" s="174">
        <f>MAX((5/384*($AQ$2+$Y358/100)*$D$17^4/(2.06*10^8*$Z358/10^8))/($D$17/300)*INDEX(Лист1!$L$34:$L$38,MATCH(Лист1!$B$8,Лист1!$I$34:$I$38,0),1),(5/384*($AQ$3)*$D$17^4/(2.06*10^8*$AD358/10^8))/($D$17/200))</f>
        <v>1.0545346688885668</v>
      </c>
      <c r="AR358" s="174"/>
      <c r="AS358" s="175"/>
      <c r="AT358" s="174">
        <f>MAX((5/384*($AT$2+$Y358/100)*$D$17^4/(2.06*10^8*$Z358/10^8))/($D$17/300)*INDEX(Лист1!$L$34:$L$38,MATCH(Лист1!$B$8,Лист1!$I$34:$I$38,0),1),(5/384*($AT$3)*$D$17^4/(2.06*10^8*$AD358/10^8))/($D$17/200))</f>
        <v>0.38752899418244369</v>
      </c>
      <c r="AU358" s="174"/>
      <c r="AV358" s="174">
        <f>IF(OR(MAX(AH358,AQ358)&gt;1,AK358&gt;Лист1!$B$20,N358="-"),999999999,Y358*Лист1!$B$7+0.0001*O358)</f>
        <v>999999999</v>
      </c>
      <c r="AX358" s="174">
        <f>IF(OR(MAX(AH358,AT358)&gt;1,AN358&gt;Лист1!$B$20,N358="-"),999999999,Y358*Лист1!$B$7+0.0001*O358)</f>
        <v>999999999</v>
      </c>
    </row>
    <row r="359" spans="14:50" ht="16.5" thickBot="1" x14ac:dyDescent="0.3">
      <c r="O359">
        <f t="shared" si="16"/>
        <v>356</v>
      </c>
      <c r="P359" s="211" t="s">
        <v>296</v>
      </c>
      <c r="Q359" s="211">
        <v>340</v>
      </c>
      <c r="R359" s="154" t="s">
        <v>363</v>
      </c>
      <c r="S359" s="157">
        <v>140</v>
      </c>
      <c r="T359" s="157">
        <v>140</v>
      </c>
      <c r="X359" s="148">
        <v>18.5</v>
      </c>
      <c r="Y359" s="149">
        <v>14.5</v>
      </c>
      <c r="Z359" s="152">
        <v>304.3</v>
      </c>
      <c r="AA359" s="150">
        <v>60.9</v>
      </c>
      <c r="AC359" s="151">
        <v>5.26</v>
      </c>
      <c r="AD359" s="149">
        <v>511.3</v>
      </c>
      <c r="AE359" s="150">
        <v>73</v>
      </c>
      <c r="AF359" s="153">
        <v>4.05</v>
      </c>
      <c r="AH359" s="174">
        <f t="shared" si="17"/>
        <v>0.74074074074074081</v>
      </c>
      <c r="AI359" s="174"/>
      <c r="AJ359" s="186"/>
      <c r="AK359" s="174">
        <f>(($AK$2+Y359*Лист1!$B$7^2*Лист1!$G$8/100)/(AA359/10^6)+$AK$3/(AE359/10^6))/1000/($Q359*IF(Лист1!$J$19="да",1/1.05,1))</f>
        <v>0.31838310621182908</v>
      </c>
      <c r="AL359" s="24"/>
      <c r="AM359" s="186"/>
      <c r="AN359" s="174">
        <f>(($AK$2+Y359*Лист1!$B$7^2*Лист1!$G$8/100)/(AA359/10^6)+$AK$3/(AE359/10^6))/1000/($Q359*IF(Лист1!$J$19="да",1/1.05,1))</f>
        <v>0.31838310621182908</v>
      </c>
      <c r="AO359" s="24"/>
      <c r="AP359" s="186"/>
      <c r="AQ359" s="174">
        <f>MAX((5/384*($AQ$2+$Y359/100)*$D$17^4/(2.06*10^8*$Z359/10^8))/($D$17/300)*INDEX(Лист1!$L$34:$L$38,MATCH(Лист1!$B$8,Лист1!$I$34:$I$38,0),1),(5/384*($AQ$3)*$D$17^4/(2.06*10^8*$AD359/10^8))/($D$17/200))</f>
        <v>0.88162909303223391</v>
      </c>
      <c r="AR359" s="174"/>
      <c r="AS359" s="175"/>
      <c r="AT359" s="174">
        <f>MAX((5/384*($AT$2+$Y359/100)*$D$17^4/(2.06*10^8*$Z359/10^8))/($D$17/300)*INDEX(Лист1!$L$34:$L$38,MATCH(Лист1!$B$8,Лист1!$I$34:$I$38,0),1),(5/384*($AT$3)*$D$17^4/(2.06*10^8*$AD359/10^8))/($D$17/200))</f>
        <v>0.31630967459935111</v>
      </c>
      <c r="AU359" s="174"/>
      <c r="AV359" s="174">
        <f>IF(OR(MAX(AH359,AQ359)&gt;1,AK359&gt;Лист1!$B$20,N359="-"),999999999,Y359*Лист1!$B$7+0.0001*O359)</f>
        <v>87.035600000000002</v>
      </c>
      <c r="AX359" s="174">
        <f>IF(OR(MAX(AH359,AT359)&gt;1,AN359&gt;Лист1!$B$20,N359="-"),999999999,Y359*Лист1!$B$7+0.0001*O359)</f>
        <v>87.035600000000002</v>
      </c>
    </row>
    <row r="360" spans="14:50" ht="16.5" thickBot="1" x14ac:dyDescent="0.3">
      <c r="O360">
        <f t="shared" si="16"/>
        <v>357</v>
      </c>
      <c r="P360" s="211" t="s">
        <v>296</v>
      </c>
      <c r="Q360" s="211">
        <v>340</v>
      </c>
      <c r="R360" s="154" t="s">
        <v>364</v>
      </c>
      <c r="S360" s="157">
        <v>140</v>
      </c>
      <c r="T360" s="157">
        <v>140</v>
      </c>
      <c r="X360" s="148">
        <v>22.9</v>
      </c>
      <c r="Y360" s="149">
        <v>18</v>
      </c>
      <c r="Z360" s="152">
        <v>368</v>
      </c>
      <c r="AA360" s="150">
        <v>73.599999999999994</v>
      </c>
      <c r="AC360" s="151">
        <v>5.2</v>
      </c>
      <c r="AD360" s="149">
        <v>619.70000000000005</v>
      </c>
      <c r="AE360" s="150">
        <v>88.5</v>
      </c>
      <c r="AF360" s="153">
        <v>4.01</v>
      </c>
      <c r="AH360" s="174">
        <f t="shared" si="17"/>
        <v>0.74812967581047385</v>
      </c>
      <c r="AI360" s="174"/>
      <c r="AJ360" s="186"/>
      <c r="AK360" s="174">
        <f>(($AK$2+Y360*Лист1!$B$7^2*Лист1!$G$8/100)/(AA360/10^6)+$AK$3/(AE360/10^6))/1000/($Q360*IF(Лист1!$J$19="да",1/1.05,1))</f>
        <v>0.26928666892485398</v>
      </c>
      <c r="AL360" s="24"/>
      <c r="AM360" s="186"/>
      <c r="AN360" s="174">
        <f>(($AK$2+Y360*Лист1!$B$7^2*Лист1!$G$8/100)/(AA360/10^6)+$AK$3/(AE360/10^6))/1000/($Q360*IF(Лист1!$J$19="да",1/1.05,1))</f>
        <v>0.26928666892485398</v>
      </c>
      <c r="AO360" s="24"/>
      <c r="AP360" s="186"/>
      <c r="AQ360" s="174">
        <f>MAX((5/384*($AQ$2+$Y360/100)*$D$17^4/(2.06*10^8*$Z360/10^8))/($D$17/300)*INDEX(Лист1!$L$34:$L$38,MATCH(Лист1!$B$8,Лист1!$I$34:$I$38,0),1),(5/384*($AQ$3)*$D$17^4/(2.06*10^8*$AD360/10^8))/($D$17/200))</f>
        <v>0.76797633495145623</v>
      </c>
      <c r="AR360" s="174"/>
      <c r="AS360" s="175"/>
      <c r="AT360" s="174">
        <f>MAX((5/384*($AT$2+$Y360/100)*$D$17^4/(2.06*10^8*$Z360/10^8))/($D$17/300)*INDEX(Лист1!$L$34:$L$38,MATCH(Лист1!$B$8,Лист1!$I$34:$I$38,0),1),(5/384*($AT$3)*$D$17^4/(2.06*10^8*$AD360/10^8))/($D$17/200))</f>
        <v>0.30051247889404809</v>
      </c>
      <c r="AU360" s="174"/>
      <c r="AV360" s="174">
        <f>IF(OR(MAX(AH360,AQ360)&gt;1,AK360&gt;Лист1!$B$20,N360="-"),999999999,Y360*Лист1!$B$7+0.0001*O360)</f>
        <v>108.03570000000001</v>
      </c>
      <c r="AX360" s="174">
        <f>IF(OR(MAX(AH360,AT360)&gt;1,AN360&gt;Лист1!$B$20,N360="-"),999999999,Y360*Лист1!$B$7+0.0001*O360)</f>
        <v>108.03570000000001</v>
      </c>
    </row>
    <row r="361" spans="14:50" ht="16.5" thickBot="1" x14ac:dyDescent="0.3">
      <c r="O361">
        <f t="shared" si="16"/>
        <v>358</v>
      </c>
      <c r="P361" s="211" t="s">
        <v>296</v>
      </c>
      <c r="Q361" s="211">
        <v>340</v>
      </c>
      <c r="R361" s="154" t="s">
        <v>365</v>
      </c>
      <c r="S361" s="157">
        <v>140</v>
      </c>
      <c r="T361" s="157">
        <v>140</v>
      </c>
      <c r="X361" s="148">
        <v>27.4</v>
      </c>
      <c r="Y361" s="149">
        <v>21.5</v>
      </c>
      <c r="Z361" s="152">
        <v>432.4</v>
      </c>
      <c r="AA361" s="150">
        <v>86.5</v>
      </c>
      <c r="AC361" s="151">
        <v>5.16</v>
      </c>
      <c r="AD361" s="149">
        <v>729.2</v>
      </c>
      <c r="AE361" s="150">
        <v>104.2</v>
      </c>
      <c r="AF361" s="153">
        <v>3.97</v>
      </c>
      <c r="AH361" s="174">
        <f t="shared" si="17"/>
        <v>0.75566750629722923</v>
      </c>
      <c r="AI361" s="174"/>
      <c r="AJ361" s="186"/>
      <c r="AK361" s="174">
        <f>(($AK$2+Y361*Лист1!$B$7^2*Лист1!$G$8/100)/(AA361/10^6)+$AK$3/(AE361/10^6))/1000/($Q361*IF(Лист1!$J$19="да",1/1.05,1))</f>
        <v>0.23426068776204709</v>
      </c>
      <c r="AL361" s="24"/>
      <c r="AM361" s="186"/>
      <c r="AN361" s="174">
        <f>(($AK$2+Y361*Лист1!$B$7^2*Лист1!$G$8/100)/(AA361/10^6)+$AK$3/(AE361/10^6))/1000/($Q361*IF(Лист1!$J$19="да",1/1.05,1))</f>
        <v>0.23426068776204709</v>
      </c>
      <c r="AO361" s="24"/>
      <c r="AP361" s="186"/>
      <c r="AQ361" s="174">
        <f>MAX((5/384*($AQ$2+$Y361/100)*$D$17^4/(2.06*10^8*$Z361/10^8))/($D$17/300)*INDEX(Лист1!$L$34:$L$38,MATCH(Лист1!$B$8,Лист1!$I$34:$I$38,0),1),(5/384*($AQ$3)*$D$17^4/(2.06*10^8*$AD361/10^8))/($D$17/200))</f>
        <v>0.68675034577836058</v>
      </c>
      <c r="AR361" s="174"/>
      <c r="AS361" s="175"/>
      <c r="AT361" s="174">
        <f>MAX((5/384*($AT$2+$Y361/100)*$D$17^4/(2.06*10^8*$Z361/10^8))/($D$17/300)*INDEX(Лист1!$L$34:$L$38,MATCH(Лист1!$B$8,Лист1!$I$34:$I$38,0),1),(5/384*($AT$3)*$D$17^4/(2.06*10^8*$AD361/10^8))/($D$17/200))</f>
        <v>0.28890876615503441</v>
      </c>
      <c r="AU361" s="174"/>
      <c r="AV361" s="174">
        <f>IF(OR(MAX(AH361,AQ361)&gt;1,AK361&gt;Лист1!$B$20,N361="-"),999999999,Y361*Лист1!$B$7+0.0001*O361)</f>
        <v>129.03579999999999</v>
      </c>
      <c r="AX361" s="174">
        <f>IF(OR(MAX(AH361,AT361)&gt;1,AN361&gt;Лист1!$B$20,N361="-"),999999999,Y361*Лист1!$B$7+0.0001*O361)</f>
        <v>129.03579999999999</v>
      </c>
    </row>
    <row r="362" spans="14:50" ht="16.5" thickBot="1" x14ac:dyDescent="0.3">
      <c r="N362" t="s">
        <v>344</v>
      </c>
      <c r="O362">
        <f t="shared" si="16"/>
        <v>359</v>
      </c>
      <c r="P362" s="211" t="s">
        <v>296</v>
      </c>
      <c r="Q362" s="211">
        <v>340</v>
      </c>
      <c r="R362" s="154" t="s">
        <v>366</v>
      </c>
      <c r="S362" s="157">
        <v>140</v>
      </c>
      <c r="T362" s="157">
        <v>140</v>
      </c>
      <c r="X362" s="155">
        <v>32</v>
      </c>
      <c r="Y362" s="149">
        <v>25.1</v>
      </c>
      <c r="Z362" s="152">
        <v>497.5</v>
      </c>
      <c r="AA362" s="150">
        <v>99.5</v>
      </c>
      <c r="AC362" s="151">
        <v>5.1100000000000003</v>
      </c>
      <c r="AD362" s="149">
        <v>839.8</v>
      </c>
      <c r="AE362" s="150">
        <v>120</v>
      </c>
      <c r="AF362" s="153">
        <v>3.92</v>
      </c>
      <c r="AH362" s="174">
        <f t="shared" si="17"/>
        <v>0.76530612244897966</v>
      </c>
      <c r="AI362" s="174"/>
      <c r="AJ362" s="186"/>
      <c r="AK362" s="174">
        <f>(($AK$2+Y362*Лист1!$B$7^2*Лист1!$G$8/100)/(AA362/10^6)+$AK$3/(AE362/10^6))/1000/($Q362*IF(Лист1!$J$19="да",1/1.05,1))</f>
        <v>0.20831836153595079</v>
      </c>
      <c r="AL362" s="24"/>
      <c r="AM362" s="186"/>
      <c r="AN362" s="174">
        <f>(($AK$2+Y362*Лист1!$B$7^2*Лист1!$G$8/100)/(AA362/10^6)+$AK$3/(AE362/10^6))/1000/($Q362*IF(Лист1!$J$19="да",1/1.05,1))</f>
        <v>0.20831836153595079</v>
      </c>
      <c r="AO362" s="24"/>
      <c r="AP362" s="186"/>
      <c r="AQ362" s="174">
        <f>MAX((5/384*($AQ$2+$Y362/100)*$D$17^4/(2.06*10^8*$Z362/10^8))/($D$17/300)*INDEX(Лист1!$L$34:$L$38,MATCH(Лист1!$B$8,Лист1!$I$34:$I$38,0),1),(5/384*($AQ$3)*$D$17^4/(2.06*10^8*$AD362/10^8))/($D$17/200))</f>
        <v>0.62652461335805243</v>
      </c>
      <c r="AR362" s="174"/>
      <c r="AS362" s="175"/>
      <c r="AT362" s="174">
        <f>MAX((5/384*($AT$2+$Y362/100)*$D$17^4/(2.06*10^8*$Z362/10^8))/($D$17/300)*INDEX(Лист1!$L$34:$L$38,MATCH(Лист1!$B$8,Лист1!$I$34:$I$38,0),1),(5/384*($AT$3)*$D$17^4/(2.06*10^8*$AD362/10^8))/($D$17/200))</f>
        <v>0.28074230375176856</v>
      </c>
      <c r="AU362" s="174"/>
      <c r="AV362" s="174">
        <f>IF(OR(MAX(AH362,AQ362)&gt;1,AK362&gt;Лист1!$B$20,N362="-"),999999999,Y362*Лист1!$B$7+0.0001*O362)</f>
        <v>999999999</v>
      </c>
      <c r="AX362" s="174">
        <f>IF(OR(MAX(AH362,AT362)&gt;1,AN362&gt;Лист1!$B$20,N362="-"),999999999,Y362*Лист1!$B$7+0.0001*O362)</f>
        <v>999999999</v>
      </c>
    </row>
    <row r="363" spans="14:50" ht="16.5" thickBot="1" x14ac:dyDescent="0.3">
      <c r="N363" t="s">
        <v>344</v>
      </c>
      <c r="O363">
        <f t="shared" si="16"/>
        <v>360</v>
      </c>
      <c r="P363" s="211" t="s">
        <v>296</v>
      </c>
      <c r="Q363" s="211">
        <v>340</v>
      </c>
      <c r="R363" s="154" t="s">
        <v>367</v>
      </c>
      <c r="S363" s="148">
        <v>160</v>
      </c>
      <c r="T363" s="148">
        <v>160</v>
      </c>
      <c r="X363" s="148">
        <v>13.9</v>
      </c>
      <c r="Y363" s="149">
        <v>10.9</v>
      </c>
      <c r="Z363" s="152">
        <v>155.19999999999999</v>
      </c>
      <c r="AA363" s="150">
        <v>38.799999999999997</v>
      </c>
      <c r="AC363" s="151">
        <v>5.7</v>
      </c>
      <c r="AD363" s="149">
        <v>455</v>
      </c>
      <c r="AE363" s="150">
        <v>56.9</v>
      </c>
      <c r="AF363" s="153">
        <v>3.34</v>
      </c>
      <c r="AH363" s="174">
        <f t="shared" si="17"/>
        <v>0.89820359281437134</v>
      </c>
      <c r="AI363" s="174"/>
      <c r="AJ363" s="186"/>
      <c r="AK363" s="174">
        <f>(($AK$2+Y363*Лист1!$B$7^2*Лист1!$G$8/100)/(AA363/10^6)+$AK$3/(AE363/10^6))/1000/($Q363*IF(Лист1!$J$19="да",1/1.05,1))</f>
        <v>0.43736652733988829</v>
      </c>
      <c r="AL363" s="24"/>
      <c r="AM363" s="186"/>
      <c r="AN363" s="174">
        <f>(($AK$2+Y363*Лист1!$B$7^2*Лист1!$G$8/100)/(AA363/10^6)+$AK$3/(AE363/10^6))/1000/($Q363*IF(Лист1!$J$19="да",1/1.05,1))</f>
        <v>0.43736652733988829</v>
      </c>
      <c r="AO363" s="24"/>
      <c r="AP363" s="186"/>
      <c r="AQ363" s="174">
        <f>MAX((5/384*($AQ$2+$Y363/100)*$D$17^4/(2.06*10^8*$Z363/10^8))/($D$17/300)*INDEX(Лист1!$L$34:$L$38,MATCH(Лист1!$B$8,Лист1!$I$34:$I$38,0),1),(5/384*($AQ$3)*$D$17^4/(2.06*10^8*$AD363/10^8))/($D$17/200))</f>
        <v>1.6335991454809329</v>
      </c>
      <c r="AR363" s="174"/>
      <c r="AS363" s="175"/>
      <c r="AT363" s="174">
        <f>MAX((5/384*($AT$2+$Y363/100)*$D$17^4/(2.06*10^8*$Z363/10^8))/($D$17/300)*INDEX(Лист1!$L$34:$L$38,MATCH(Лист1!$B$8,Лист1!$I$34:$I$38,0),1),(5/384*($AT$3)*$D$17^4/(2.06*10^8*$AD363/10^8))/($D$17/200))</f>
        <v>0.52517969297367639</v>
      </c>
      <c r="AU363" s="174"/>
      <c r="AV363" s="174">
        <f>IF(OR(MAX(AH363,AQ363)&gt;1,AK363&gt;Лист1!$B$20,N363="-"),999999999,Y363*Лист1!$B$7+0.0001*O363)</f>
        <v>999999999</v>
      </c>
      <c r="AX363" s="174">
        <f>IF(OR(MAX(AH363,AT363)&gt;1,AN363&gt;Лист1!$B$20,N363="-"),999999999,Y363*Лист1!$B$7+0.0001*O363)</f>
        <v>999999999</v>
      </c>
    </row>
    <row r="364" spans="14:50" ht="16.5" thickBot="1" x14ac:dyDescent="0.3">
      <c r="O364">
        <f t="shared" si="16"/>
        <v>361</v>
      </c>
      <c r="P364" s="211" t="s">
        <v>296</v>
      </c>
      <c r="Q364" s="211">
        <v>340</v>
      </c>
      <c r="R364" s="154" t="s">
        <v>368</v>
      </c>
      <c r="S364" s="148">
        <v>160</v>
      </c>
      <c r="T364" s="148">
        <v>160</v>
      </c>
      <c r="X364" s="148">
        <v>18.5</v>
      </c>
      <c r="Y364" s="149">
        <v>14.5</v>
      </c>
      <c r="Z364" s="152">
        <v>206.9</v>
      </c>
      <c r="AA364" s="150">
        <v>51.7</v>
      </c>
      <c r="AC364" s="151">
        <v>5.73</v>
      </c>
      <c r="AD364" s="149">
        <v>606.70000000000005</v>
      </c>
      <c r="AE364" s="150">
        <v>75.8</v>
      </c>
      <c r="AF364" s="153">
        <v>3.34</v>
      </c>
      <c r="AH364" s="174">
        <f t="shared" si="17"/>
        <v>0.89820359281437134</v>
      </c>
      <c r="AI364" s="174"/>
      <c r="AJ364" s="186"/>
      <c r="AK364" s="174">
        <f>(($AK$2+Y364*Лист1!$B$7^2*Лист1!$G$8/100)/(AA364/10^6)+$AK$3/(AE364/10^6))/1000/($Q364*IF(Лист1!$J$19="да",1/1.05,1))</f>
        <v>0.33749192338054368</v>
      </c>
      <c r="AL364" s="24"/>
      <c r="AM364" s="186"/>
      <c r="AN364" s="174">
        <f>(($AK$2+Y364*Лист1!$B$7^2*Лист1!$G$8/100)/(AA364/10^6)+$AK$3/(AE364/10^6))/1000/($Q364*IF(Лист1!$J$19="да",1/1.05,1))</f>
        <v>0.33749192338054368</v>
      </c>
      <c r="AO364" s="24"/>
      <c r="AP364" s="186"/>
      <c r="AQ364" s="174">
        <f>MAX((5/384*($AQ$2+$Y364/100)*$D$17^4/(2.06*10^8*$Z364/10^8))/($D$17/300)*INDEX(Лист1!$L$34:$L$38,MATCH(Лист1!$B$8,Лист1!$I$34:$I$38,0),1),(5/384*($AQ$3)*$D$17^4/(2.06*10^8*$AD364/10^8))/($D$17/200))</f>
        <v>1.2966637651508399</v>
      </c>
      <c r="AR364" s="174"/>
      <c r="AS364" s="175"/>
      <c r="AT364" s="174">
        <f>MAX((5/384*($AT$2+$Y364/100)*$D$17^4/(2.06*10^8*$Z364/10^8))/($D$17/300)*INDEX(Лист1!$L$34:$L$38,MATCH(Лист1!$B$8,Лист1!$I$34:$I$38,0),1),(5/384*($AT$3)*$D$17^4/(2.06*10^8*$AD364/10^8))/($D$17/200))</f>
        <v>0.46521524398541581</v>
      </c>
      <c r="AU364" s="174"/>
      <c r="AV364" s="174">
        <f>IF(OR(MAX(AH364,AQ364)&gt;1,AK364&gt;Лист1!$B$20,N364="-"),999999999,Y364*Лист1!$B$7+0.0001*O364)</f>
        <v>999999999</v>
      </c>
      <c r="AX364" s="174">
        <f>IF(OR(MAX(AH364,AT364)&gt;1,AN364&gt;Лист1!$B$20,N364="-"),999999999,Y364*Лист1!$B$7+0.0001*O364)</f>
        <v>87.036100000000005</v>
      </c>
    </row>
    <row r="365" spans="14:50" ht="16.5" thickBot="1" x14ac:dyDescent="0.3">
      <c r="O365">
        <f t="shared" si="16"/>
        <v>362</v>
      </c>
      <c r="P365" s="211" t="s">
        <v>296</v>
      </c>
      <c r="Q365" s="211">
        <v>340</v>
      </c>
      <c r="R365" s="154" t="s">
        <v>369</v>
      </c>
      <c r="S365" s="148">
        <v>160</v>
      </c>
      <c r="T365" s="148">
        <v>160</v>
      </c>
      <c r="X365" s="148">
        <v>22.9</v>
      </c>
      <c r="Y365" s="149">
        <v>18</v>
      </c>
      <c r="Z365" s="152">
        <v>248.7</v>
      </c>
      <c r="AA365" s="150">
        <v>62.2</v>
      </c>
      <c r="AC365" s="151">
        <v>5.67</v>
      </c>
      <c r="AD365" s="149">
        <v>735.9</v>
      </c>
      <c r="AE365" s="150">
        <v>92</v>
      </c>
      <c r="AF365" s="153">
        <v>3.29</v>
      </c>
      <c r="AH365" s="174">
        <f t="shared" si="17"/>
        <v>0.91185410334346495</v>
      </c>
      <c r="AI365" s="174"/>
      <c r="AJ365" s="186"/>
      <c r="AK365" s="174">
        <f>(($AK$2+Y365*Лист1!$B$7^2*Лист1!$G$8/100)/(AA365/10^6)+$AK$3/(AE365/10^6))/1000/($Q365*IF(Лист1!$J$19="да",1/1.05,1))</f>
        <v>0.28674284777065873</v>
      </c>
      <c r="AL365" s="24"/>
      <c r="AM365" s="186"/>
      <c r="AN365" s="174">
        <f>(($AK$2+Y365*Лист1!$B$7^2*Лист1!$G$8/100)/(AA365/10^6)+$AK$3/(AE365/10^6))/1000/($Q365*IF(Лист1!$J$19="да",1/1.05,1))</f>
        <v>0.28674284777065873</v>
      </c>
      <c r="AO365" s="24"/>
      <c r="AP365" s="186"/>
      <c r="AQ365" s="174">
        <f>MAX((5/384*($AQ$2+$Y365/100)*$D$17^4/(2.06*10^8*$Z365/10^8))/($D$17/300)*INDEX(Лист1!$L$34:$L$38,MATCH(Лист1!$B$8,Лист1!$I$34:$I$38,0),1),(5/384*($AQ$3)*$D$17^4/(2.06*10^8*$AD365/10^8))/($D$17/200))</f>
        <v>1.1363702905594528</v>
      </c>
      <c r="AR365" s="174"/>
      <c r="AS365" s="175"/>
      <c r="AT365" s="174">
        <f>MAX((5/384*($AT$2+$Y365/100)*$D$17^4/(2.06*10^8*$Z365/10^8))/($D$17/300)*INDEX(Лист1!$L$34:$L$38,MATCH(Лист1!$B$8,Лист1!$I$34:$I$38,0),1),(5/384*($AT$3)*$D$17^4/(2.06*10^8*$AD365/10^8))/($D$17/200))</f>
        <v>0.44466663543630763</v>
      </c>
      <c r="AU365" s="174"/>
      <c r="AV365" s="174">
        <f>IF(OR(MAX(AH365,AQ365)&gt;1,AK365&gt;Лист1!$B$20,N365="-"),999999999,Y365*Лист1!$B$7+0.0001*O365)</f>
        <v>999999999</v>
      </c>
      <c r="AX365" s="174">
        <f>IF(OR(MAX(AH365,AT365)&gt;1,AN365&gt;Лист1!$B$20,N365="-"),999999999,Y365*Лист1!$B$7+0.0001*O365)</f>
        <v>108.03619999999999</v>
      </c>
    </row>
    <row r="366" spans="14:50" ht="16.5" thickBot="1" x14ac:dyDescent="0.3">
      <c r="O366">
        <f t="shared" si="16"/>
        <v>363</v>
      </c>
      <c r="P366" s="211" t="s">
        <v>296</v>
      </c>
      <c r="Q366" s="211">
        <v>340</v>
      </c>
      <c r="R366" s="154" t="s">
        <v>370</v>
      </c>
      <c r="S366" s="148">
        <v>160</v>
      </c>
      <c r="T366" s="148">
        <v>160</v>
      </c>
      <c r="X366" s="148">
        <v>27.4</v>
      </c>
      <c r="Y366" s="149">
        <v>21.5</v>
      </c>
      <c r="Z366" s="152">
        <v>280.7</v>
      </c>
      <c r="AA366" s="150">
        <v>72.7</v>
      </c>
      <c r="AC366" s="151">
        <v>5.62</v>
      </c>
      <c r="AD366" s="149">
        <v>864.7</v>
      </c>
      <c r="AE366" s="150">
        <v>108.1</v>
      </c>
      <c r="AF366" s="153">
        <v>3.26</v>
      </c>
      <c r="AH366" s="174">
        <f t="shared" si="17"/>
        <v>0.92024539877300626</v>
      </c>
      <c r="AI366" s="174"/>
      <c r="AJ366" s="186"/>
      <c r="AK366" s="174">
        <f>(($AK$2+Y366*Лист1!$B$7^2*Лист1!$G$8/100)/(AA366/10^6)+$AK$3/(AE366/10^6))/1000/($Q366*IF(Лист1!$J$19="да",1/1.05,1))</f>
        <v>0.2510758250023184</v>
      </c>
      <c r="AL366" s="24"/>
      <c r="AM366" s="186"/>
      <c r="AN366" s="174">
        <f>(($AK$2+Y366*Лист1!$B$7^2*Лист1!$G$8/100)/(AA366/10^6)+$AK$3/(AE366/10^6))/1000/($Q366*IF(Лист1!$J$19="да",1/1.05,1))</f>
        <v>0.2510758250023184</v>
      </c>
      <c r="AO366" s="24"/>
      <c r="AP366" s="186"/>
      <c r="AQ366" s="174">
        <f>MAX((5/384*($AQ$2+$Y366/100)*$D$17^4/(2.06*10^8*$Z366/10^8))/($D$17/300)*INDEX(Лист1!$L$34:$L$38,MATCH(Лист1!$B$8,Лист1!$I$34:$I$38,0),1),(5/384*($AQ$3)*$D$17^4/(2.06*10^8*$AD366/10^8))/($D$17/200))</f>
        <v>1.0578940132332137</v>
      </c>
      <c r="AR366" s="174"/>
      <c r="AS366" s="175"/>
      <c r="AT366" s="174">
        <f>MAX((5/384*($AT$2+$Y366/100)*$D$17^4/(2.06*10^8*$Z366/10^8))/($D$17/300)*INDEX(Лист1!$L$34:$L$38,MATCH(Лист1!$B$8,Лист1!$I$34:$I$38,0),1),(5/384*($AT$3)*$D$17^4/(2.06*10^8*$AD366/10^8))/($D$17/200))</f>
        <v>0.44504506763604162</v>
      </c>
      <c r="AU366" s="174"/>
      <c r="AV366" s="174">
        <f>IF(OR(MAX(AH366,AQ366)&gt;1,AK366&gt;Лист1!$B$20,N366="-"),999999999,Y366*Лист1!$B$7+0.0001*O366)</f>
        <v>999999999</v>
      </c>
      <c r="AX366" s="174">
        <f>IF(OR(MAX(AH366,AT366)&gt;1,AN366&gt;Лист1!$B$20,N366="-"),999999999,Y366*Лист1!$B$7+0.0001*O366)</f>
        <v>129.03630000000001</v>
      </c>
    </row>
    <row r="367" spans="14:50" ht="16.5" thickBot="1" x14ac:dyDescent="0.3">
      <c r="O367">
        <f t="shared" si="16"/>
        <v>364</v>
      </c>
      <c r="P367" s="211" t="s">
        <v>296</v>
      </c>
      <c r="Q367" s="211">
        <v>340</v>
      </c>
      <c r="R367" s="154" t="s">
        <v>371</v>
      </c>
      <c r="S367" s="148">
        <v>160</v>
      </c>
      <c r="T367" s="148">
        <v>160</v>
      </c>
      <c r="X367" s="148">
        <v>21.6</v>
      </c>
      <c r="Y367" s="149">
        <v>17</v>
      </c>
      <c r="Z367" s="152">
        <v>514</v>
      </c>
      <c r="AA367" s="150">
        <v>85.7</v>
      </c>
      <c r="AC367" s="151">
        <v>6.08</v>
      </c>
      <c r="AD367" s="149">
        <v>799.2</v>
      </c>
      <c r="AE367" s="150">
        <v>99.9</v>
      </c>
      <c r="AF367" s="153">
        <v>4.88</v>
      </c>
      <c r="AH367" s="174">
        <f t="shared" si="17"/>
        <v>0.61475409836065575</v>
      </c>
      <c r="AI367" s="174"/>
      <c r="AJ367" s="186"/>
      <c r="AK367" s="174">
        <f>(($AK$2+Y367*Лист1!$B$7^2*Лист1!$G$8/100)/(AA367/10^6)+$AK$3/(AE367/10^6))/1000/($Q367*IF(Лист1!$J$19="да",1/1.05,1))</f>
        <v>0.23362404566473663</v>
      </c>
      <c r="AL367" s="24"/>
      <c r="AM367" s="186"/>
      <c r="AN367" s="174">
        <f>(($AK$2+Y367*Лист1!$B$7^2*Лист1!$G$8/100)/(AA367/10^6)+$AK$3/(AE367/10^6))/1000/($Q367*IF(Лист1!$J$19="да",1/1.05,1))</f>
        <v>0.23362404566473663</v>
      </c>
      <c r="AO367" s="24"/>
      <c r="AP367" s="186"/>
      <c r="AQ367" s="174">
        <f>MAX((5/384*($AQ$2+$Y367/100)*$D$17^4/(2.06*10^8*$Z367/10^8))/($D$17/300)*INDEX(Лист1!$L$34:$L$38,MATCH(Лист1!$B$8,Лист1!$I$34:$I$38,0),1),(5/384*($AQ$3)*$D$17^4/(2.06*10^8*$AD367/10^8))/($D$17/200))</f>
        <v>0.54186657096445179</v>
      </c>
      <c r="AR367" s="174"/>
      <c r="AS367" s="175"/>
      <c r="AT367" s="174">
        <f>MAX((5/384*($AT$2+$Y367/100)*$D$17^4/(2.06*10^8*$Z367/10^8))/($D$17/300)*INDEX(Лист1!$L$34:$L$38,MATCH(Лист1!$B$8,Лист1!$I$34:$I$38,0),1),(5/384*($AT$3)*$D$17^4/(2.06*10^8*$AD367/10^8))/($D$17/200))</f>
        <v>0.20718427713346685</v>
      </c>
      <c r="AU367" s="174"/>
      <c r="AV367" s="174">
        <f>IF(OR(MAX(AH367,AQ367)&gt;1,AK367&gt;Лист1!$B$20,N367="-"),999999999,Y367*Лист1!$B$7+0.0001*O367)</f>
        <v>102.0364</v>
      </c>
      <c r="AX367" s="174">
        <f>IF(OR(MAX(AH367,AT367)&gt;1,AN367&gt;Лист1!$B$20,N367="-"),999999999,Y367*Лист1!$B$7+0.0001*O367)</f>
        <v>102.0364</v>
      </c>
    </row>
    <row r="368" spans="14:50" ht="16.5" thickBot="1" x14ac:dyDescent="0.3">
      <c r="O368">
        <f t="shared" si="16"/>
        <v>365</v>
      </c>
      <c r="P368" s="211" t="s">
        <v>296</v>
      </c>
      <c r="Q368" s="211">
        <v>340</v>
      </c>
      <c r="R368" s="154" t="s">
        <v>372</v>
      </c>
      <c r="S368" s="148">
        <v>160</v>
      </c>
      <c r="T368" s="148">
        <v>160</v>
      </c>
      <c r="X368" s="148">
        <v>26.9</v>
      </c>
      <c r="Y368" s="149">
        <v>21.1</v>
      </c>
      <c r="Z368" s="152">
        <v>628.4</v>
      </c>
      <c r="AA368" s="150">
        <v>104.7</v>
      </c>
      <c r="AC368" s="151">
        <v>6.03</v>
      </c>
      <c r="AD368" s="149">
        <v>978.2</v>
      </c>
      <c r="AE368" s="150">
        <v>122.3</v>
      </c>
      <c r="AF368" s="153">
        <v>4.83</v>
      </c>
      <c r="AH368" s="174">
        <f t="shared" si="17"/>
        <v>0.62111801242236031</v>
      </c>
      <c r="AI368" s="174"/>
      <c r="AJ368" s="186"/>
      <c r="AK368" s="174">
        <f>(($AK$2+Y368*Лист1!$B$7^2*Лист1!$G$8/100)/(AA368/10^6)+$AK$3/(AE368/10^6))/1000/($Q368*IF(Лист1!$J$19="да",1/1.05,1))</f>
        <v>0.19619578298520696</v>
      </c>
      <c r="AL368" s="24"/>
      <c r="AM368" s="186"/>
      <c r="AN368" s="174">
        <f>(($AK$2+Y368*Лист1!$B$7^2*Лист1!$G$8/100)/(AA368/10^6)+$AK$3/(AE368/10^6))/1000/($Q368*IF(Лист1!$J$19="да",1/1.05,1))</f>
        <v>0.19619578298520696</v>
      </c>
      <c r="AO368" s="24"/>
      <c r="AP368" s="186"/>
      <c r="AQ368" s="174">
        <f>MAX((5/384*($AQ$2+$Y368/100)*$D$17^4/(2.06*10^8*$Z368/10^8))/($D$17/300)*INDEX(Лист1!$L$34:$L$38,MATCH(Лист1!$B$8,Лист1!$I$34:$I$38,0),1),(5/384*($AQ$3)*$D$17^4/(2.06*10^8*$AD368/10^8))/($D$17/200))</f>
        <v>0.46994350732017842</v>
      </c>
      <c r="AR368" s="174"/>
      <c r="AS368" s="175"/>
      <c r="AT368" s="174">
        <f>MAX((5/384*($AT$2+$Y368/100)*$D$17^4/(2.06*10^8*$Z368/10^8))/($D$17/300)*INDEX(Лист1!$L$34:$L$38,MATCH(Лист1!$B$8,Лист1!$I$34:$I$38,0),1),(5/384*($AT$3)*$D$17^4/(2.06*10^8*$AD368/10^8))/($D$17/200))</f>
        <v>0.19619000791036575</v>
      </c>
      <c r="AU368" s="174"/>
      <c r="AV368" s="174">
        <f>IF(OR(MAX(AH368,AQ368)&gt;1,AK368&gt;Лист1!$B$20,N368="-"),999999999,Y368*Лист1!$B$7+0.0001*O368)</f>
        <v>126.63650000000001</v>
      </c>
      <c r="AX368" s="174">
        <f>IF(OR(MAX(AH368,AT368)&gt;1,AN368&gt;Лист1!$B$20,N368="-"),999999999,Y368*Лист1!$B$7+0.0001*O368)</f>
        <v>126.63650000000001</v>
      </c>
    </row>
    <row r="369" spans="14:50" ht="16.5" thickBot="1" x14ac:dyDescent="0.3">
      <c r="O369">
        <f t="shared" si="16"/>
        <v>366</v>
      </c>
      <c r="P369" s="211" t="s">
        <v>296</v>
      </c>
      <c r="Q369" s="211">
        <v>340</v>
      </c>
      <c r="R369" s="154" t="s">
        <v>373</v>
      </c>
      <c r="S369" s="148">
        <v>160</v>
      </c>
      <c r="T369" s="148">
        <v>160</v>
      </c>
      <c r="X369" s="148">
        <v>32.1</v>
      </c>
      <c r="Y369" s="149">
        <v>25.2</v>
      </c>
      <c r="Z369" s="152">
        <v>736.9</v>
      </c>
      <c r="AA369" s="150">
        <v>122.8</v>
      </c>
      <c r="AC369" s="151">
        <v>5.99</v>
      </c>
      <c r="AD369" s="149">
        <v>1150.5</v>
      </c>
      <c r="AE369" s="150">
        <v>143.80000000000001</v>
      </c>
      <c r="AF369" s="153">
        <v>4.79</v>
      </c>
      <c r="AH369" s="174">
        <f t="shared" si="17"/>
        <v>0.62630480167014613</v>
      </c>
      <c r="AI369" s="174"/>
      <c r="AJ369" s="186"/>
      <c r="AK369" s="174">
        <f>(($AK$2+Y369*Лист1!$B$7^2*Лист1!$G$8/100)/(AA369/10^6)+$AK$3/(AE369/10^6))/1000/($Q369*IF(Лист1!$J$19="да",1/1.05,1))</f>
        <v>0.17147561681516671</v>
      </c>
      <c r="AL369" s="24"/>
      <c r="AM369" s="186"/>
      <c r="AN369" s="174">
        <f>(($AK$2+Y369*Лист1!$B$7^2*Лист1!$G$8/100)/(AA369/10^6)+$AK$3/(AE369/10^6))/1000/($Q369*IF(Лист1!$J$19="да",1/1.05,1))</f>
        <v>0.17147561681516671</v>
      </c>
      <c r="AO369" s="24"/>
      <c r="AP369" s="186"/>
      <c r="AQ369" s="174">
        <f>MAX((5/384*($AQ$2+$Y369/100)*$D$17^4/(2.06*10^8*$Z369/10^8))/($D$17/300)*INDEX(Лист1!$L$34:$L$38,MATCH(Лист1!$B$8,Лист1!$I$34:$I$38,0),1),(5/384*($AQ$3)*$D$17^4/(2.06*10^8*$AD369/10^8))/($D$17/200))</f>
        <v>0.42353858396562882</v>
      </c>
      <c r="AR369" s="174"/>
      <c r="AS369" s="175"/>
      <c r="AT369" s="174">
        <f>MAX((5/384*($AT$2+$Y369/100)*$D$17^4/(2.06*10^8*$Z369/10^8))/($D$17/300)*INDEX(Лист1!$L$34:$L$38,MATCH(Лист1!$B$8,Лист1!$I$34:$I$38,0),1),(5/384*($AT$3)*$D$17^4/(2.06*10^8*$AD369/10^8))/($D$17/200))</f>
        <v>0.19009212036252629</v>
      </c>
      <c r="AU369" s="174"/>
      <c r="AV369" s="174">
        <f>IF(OR(MAX(AH369,AQ369)&gt;1,AK369&gt;Лист1!$B$20,N369="-"),999999999,Y369*Лист1!$B$7+0.0001*O369)</f>
        <v>151.23659999999998</v>
      </c>
      <c r="AX369" s="174">
        <f>IF(OR(MAX(AH369,AT369)&gt;1,AN369&gt;Лист1!$B$20,N369="-"),999999999,Y369*Лист1!$B$7+0.0001*O369)</f>
        <v>151.23659999999998</v>
      </c>
    </row>
    <row r="370" spans="14:50" ht="16.5" thickBot="1" x14ac:dyDescent="0.3">
      <c r="O370">
        <f t="shared" si="16"/>
        <v>367</v>
      </c>
      <c r="P370" s="211" t="s">
        <v>296</v>
      </c>
      <c r="Q370" s="211">
        <v>340</v>
      </c>
      <c r="R370" s="154" t="s">
        <v>374</v>
      </c>
      <c r="S370" s="148">
        <v>160</v>
      </c>
      <c r="T370" s="148">
        <v>160</v>
      </c>
      <c r="X370" s="148">
        <v>37.200000000000003</v>
      </c>
      <c r="Y370" s="149">
        <v>29.2</v>
      </c>
      <c r="Z370" s="152">
        <v>836.6</v>
      </c>
      <c r="AA370" s="150">
        <v>139.4</v>
      </c>
      <c r="AC370" s="151">
        <v>5.93</v>
      </c>
      <c r="AD370" s="149">
        <v>1307.4000000000001</v>
      </c>
      <c r="AE370" s="150">
        <v>163.4</v>
      </c>
      <c r="AF370" s="153">
        <v>4.74</v>
      </c>
      <c r="AH370" s="174">
        <f t="shared" si="17"/>
        <v>0.63291139240506322</v>
      </c>
      <c r="AI370" s="174"/>
      <c r="AJ370" s="186"/>
      <c r="AK370" s="174">
        <f>(($AK$2+Y370*Лист1!$B$7^2*Лист1!$G$8/100)/(AA370/10^6)+$AK$3/(AE370/10^6))/1000/($Q370*IF(Лист1!$J$19="да",1/1.05,1))</f>
        <v>0.15477667967275724</v>
      </c>
      <c r="AL370" s="24"/>
      <c r="AM370" s="186"/>
      <c r="AN370" s="174">
        <f>(($AK$2+Y370*Лист1!$B$7^2*Лист1!$G$8/100)/(AA370/10^6)+$AK$3/(AE370/10^6))/1000/($Q370*IF(Лист1!$J$19="да",1/1.05,1))</f>
        <v>0.15477667967275724</v>
      </c>
      <c r="AO370" s="24"/>
      <c r="AP370" s="186"/>
      <c r="AQ370" s="174">
        <f>MAX((5/384*($AQ$2+$Y370/100)*$D$17^4/(2.06*10^8*$Z370/10^8))/($D$17/300)*INDEX(Лист1!$L$34:$L$38,MATCH(Лист1!$B$8,Лист1!$I$34:$I$38,0),1),(5/384*($AQ$3)*$D$17^4/(2.06*10^8*$AD370/10^8))/($D$17/200))</f>
        <v>0.39264771416435928</v>
      </c>
      <c r="AR370" s="174"/>
      <c r="AS370" s="175"/>
      <c r="AT370" s="174">
        <f>MAX((5/384*($AT$2+$Y370/100)*$D$17^4/(2.06*10^8*$Z370/10^8))/($D$17/300)*INDEX(Лист1!$L$34:$L$38,MATCH(Лист1!$B$8,Лист1!$I$34:$I$38,0),1),(5/384*($AT$3)*$D$17^4/(2.06*10^8*$AD370/10^8))/($D$17/200))</f>
        <v>0.18702172919050528</v>
      </c>
      <c r="AU370" s="174"/>
      <c r="AV370" s="174">
        <f>IF(OR(MAX(AH370,AQ370)&gt;1,AK370&gt;Лист1!$B$20,N370="-"),999999999,Y370*Лист1!$B$7+0.0001*O370)</f>
        <v>175.23669999999998</v>
      </c>
      <c r="AX370" s="174">
        <f>IF(OR(MAX(AH370,AT370)&gt;1,AN370&gt;Лист1!$B$20,N370="-"),999999999,Y370*Лист1!$B$7+0.0001*O370)</f>
        <v>175.23669999999998</v>
      </c>
    </row>
    <row r="371" spans="14:50" ht="16.5" thickBot="1" x14ac:dyDescent="0.3">
      <c r="O371">
        <f t="shared" si="16"/>
        <v>368</v>
      </c>
      <c r="P371" s="211" t="s">
        <v>296</v>
      </c>
      <c r="Q371" s="211">
        <v>340</v>
      </c>
      <c r="R371" s="154" t="s">
        <v>375</v>
      </c>
      <c r="S371" s="148">
        <v>160</v>
      </c>
      <c r="T371" s="148">
        <v>160</v>
      </c>
      <c r="X371" s="148">
        <v>42.3</v>
      </c>
      <c r="Y371" s="149">
        <v>33.200000000000003</v>
      </c>
      <c r="Z371" s="152">
        <v>932.5</v>
      </c>
      <c r="AA371" s="150">
        <v>155.4</v>
      </c>
      <c r="AC371" s="151">
        <v>5.88</v>
      </c>
      <c r="AD371" s="149">
        <v>1461</v>
      </c>
      <c r="AE371" s="150">
        <v>182.6</v>
      </c>
      <c r="AF371" s="153">
        <v>4.6900000000000004</v>
      </c>
      <c r="AH371" s="174">
        <f t="shared" si="17"/>
        <v>0.63965884861407252</v>
      </c>
      <c r="AI371" s="174"/>
      <c r="AJ371" s="186"/>
      <c r="AK371" s="174">
        <f>(($AK$2+Y371*Лист1!$B$7^2*Лист1!$G$8/100)/(AA371/10^6)+$AK$3/(AE371/10^6))/1000/($Q371*IF(Лист1!$J$19="да",1/1.05,1))</f>
        <v>0.14207684532670156</v>
      </c>
      <c r="AL371" s="24"/>
      <c r="AM371" s="186"/>
      <c r="AN371" s="174">
        <f>(($AK$2+Y371*Лист1!$B$7^2*Лист1!$G$8/100)/(AA371/10^6)+$AK$3/(AE371/10^6))/1000/($Q371*IF(Лист1!$J$19="да",1/1.05,1))</f>
        <v>0.14207684532670156</v>
      </c>
      <c r="AO371" s="24"/>
      <c r="AP371" s="186"/>
      <c r="AQ371" s="174">
        <f>MAX((5/384*($AQ$2+$Y371/100)*$D$17^4/(2.06*10^8*$Z371/10^8))/($D$17/300)*INDEX(Лист1!$L$34:$L$38,MATCH(Лист1!$B$8,Лист1!$I$34:$I$38,0),1),(5/384*($AQ$3)*$D$17^4/(2.06*10^8*$AD371/10^8))/($D$17/200))</f>
        <v>0.36983653921236892</v>
      </c>
      <c r="AR371" s="174"/>
      <c r="AS371" s="175"/>
      <c r="AT371" s="174">
        <f>MAX((5/384*($AT$2+$Y371/100)*$D$17^4/(2.06*10^8*$Z371/10^8))/($D$17/300)*INDEX(Лист1!$L$34:$L$38,MATCH(Лист1!$B$8,Лист1!$I$34:$I$38,0),1),(5/384*($AT$3)*$D$17^4/(2.06*10^8*$AD371/10^8))/($D$17/200))</f>
        <v>0.18535750540097351</v>
      </c>
      <c r="AU371" s="174"/>
      <c r="AV371" s="174">
        <f>IF(OR(MAX(AH371,AQ371)&gt;1,AK371&gt;Лист1!$B$20,N371="-"),999999999,Y371*Лист1!$B$7+0.0001*O371)</f>
        <v>199.23680000000002</v>
      </c>
      <c r="AX371" s="174">
        <f>IF(OR(MAX(AH371,AT371)&gt;1,AN371&gt;Лист1!$B$20,N371="-"),999999999,Y371*Лист1!$B$7+0.0001*O371)</f>
        <v>199.23680000000002</v>
      </c>
    </row>
    <row r="372" spans="14:50" ht="16.5" thickBot="1" x14ac:dyDescent="0.3">
      <c r="N372" t="s">
        <v>344</v>
      </c>
      <c r="O372">
        <f t="shared" si="16"/>
        <v>369</v>
      </c>
      <c r="P372" s="211" t="s">
        <v>296</v>
      </c>
      <c r="Q372" s="211">
        <v>340</v>
      </c>
      <c r="R372" s="154" t="s">
        <v>376</v>
      </c>
      <c r="S372" s="148">
        <v>180</v>
      </c>
      <c r="T372" s="148">
        <v>180</v>
      </c>
      <c r="X372" s="148">
        <v>22.9</v>
      </c>
      <c r="Y372" s="149">
        <v>18</v>
      </c>
      <c r="Z372" s="152">
        <v>144.69999999999999</v>
      </c>
      <c r="AA372" s="150">
        <v>48.2</v>
      </c>
      <c r="AC372" s="151">
        <v>6.03</v>
      </c>
      <c r="AD372" s="149">
        <v>833.8</v>
      </c>
      <c r="AE372" s="150">
        <v>92.6</v>
      </c>
      <c r="AF372" s="153">
        <v>2.5099999999999998</v>
      </c>
      <c r="AH372" s="174">
        <f t="shared" si="17"/>
        <v>1.1952191235059761</v>
      </c>
      <c r="AI372" s="174"/>
      <c r="AJ372" s="186"/>
      <c r="AK372" s="174">
        <f>(($AK$2+Y372*Лист1!$B$7^2*Лист1!$G$8/100)/(AA372/10^6)+$AK$3/(AE372/10^6))/1000/($Q372*IF(Лист1!$J$19="да",1/1.05,1))</f>
        <v>0.32886084752618583</v>
      </c>
      <c r="AL372" s="24"/>
      <c r="AM372" s="186"/>
      <c r="AN372" s="174">
        <f>(($AK$2+Y372*Лист1!$B$7^2*Лист1!$G$8/100)/(AA372/10^6)+$AK$3/(AE372/10^6))/1000/($Q372*IF(Лист1!$J$19="да",1/1.05,1))</f>
        <v>0.32886084752618583</v>
      </c>
      <c r="AO372" s="24"/>
      <c r="AP372" s="186"/>
      <c r="AQ372" s="174">
        <f>MAX((5/384*($AQ$2+$Y372/100)*$D$17^4/(2.06*10^8*$Z372/10^8))/($D$17/300)*INDEX(Лист1!$L$34:$L$38,MATCH(Лист1!$B$8,Лист1!$I$34:$I$38,0),1),(5/384*($AQ$3)*$D$17^4/(2.06*10^8*$AD372/10^8))/($D$17/200))</f>
        <v>1.9531118953844917</v>
      </c>
      <c r="AR372" s="174"/>
      <c r="AS372" s="175"/>
      <c r="AT372" s="174">
        <f>MAX((5/384*($AT$2+$Y372/100)*$D$17^4/(2.06*10^8*$Z372/10^8))/($D$17/300)*INDEX(Лист1!$L$34:$L$38,MATCH(Лист1!$B$8,Лист1!$I$34:$I$38,0),1),(5/384*($AT$3)*$D$17^4/(2.06*10^8*$AD372/10^8))/($D$17/200))</f>
        <v>0.76426117645480118</v>
      </c>
      <c r="AU372" s="174"/>
      <c r="AV372" s="174">
        <f>IF(OR(MAX(AH372,AQ372)&gt;1,AK372&gt;Лист1!$B$20,N372="-"),999999999,Y372*Лист1!$B$7+0.0001*O372)</f>
        <v>999999999</v>
      </c>
      <c r="AX372" s="174">
        <f>IF(OR(MAX(AH372,AT372)&gt;1,AN372&gt;Лист1!$B$20,N372="-"),999999999,Y372*Лист1!$B$7+0.0001*O372)</f>
        <v>999999999</v>
      </c>
    </row>
    <row r="373" spans="14:50" ht="16.5" thickBot="1" x14ac:dyDescent="0.3">
      <c r="N373" t="s">
        <v>344</v>
      </c>
      <c r="O373">
        <f t="shared" si="16"/>
        <v>370</v>
      </c>
      <c r="P373" s="211" t="s">
        <v>296</v>
      </c>
      <c r="Q373" s="211">
        <v>340</v>
      </c>
      <c r="R373" s="154" t="s">
        <v>377</v>
      </c>
      <c r="S373" s="148">
        <v>180</v>
      </c>
      <c r="T373" s="148">
        <v>180</v>
      </c>
      <c r="X373" s="148">
        <v>27.4</v>
      </c>
      <c r="Y373" s="149">
        <v>21.5</v>
      </c>
      <c r="Z373" s="152">
        <v>166.5</v>
      </c>
      <c r="AA373" s="150">
        <v>55.5</v>
      </c>
      <c r="AC373" s="151">
        <v>5.97</v>
      </c>
      <c r="AD373" s="149">
        <v>978.5</v>
      </c>
      <c r="AE373" s="150">
        <v>108.7</v>
      </c>
      <c r="AF373" s="153">
        <v>2.46</v>
      </c>
      <c r="AH373" s="174">
        <f t="shared" si="17"/>
        <v>1.2195121951219512</v>
      </c>
      <c r="AI373" s="174"/>
      <c r="AJ373" s="186"/>
      <c r="AK373" s="174">
        <f>(($AK$2+Y373*Лист1!$B$7^2*Лист1!$G$8/100)/(AA373/10^6)+$AK$3/(AE373/10^6))/1000/($Q373*IF(Лист1!$J$19="да",1/1.05,1))</f>
        <v>0.29166768936951515</v>
      </c>
      <c r="AL373" s="24"/>
      <c r="AM373" s="186"/>
      <c r="AN373" s="174">
        <f>(($AK$2+Y373*Лист1!$B$7^2*Лист1!$G$8/100)/(AA373/10^6)+$AK$3/(AE373/10^6))/1000/($Q373*IF(Лист1!$J$19="да",1/1.05,1))</f>
        <v>0.29166768936951515</v>
      </c>
      <c r="AO373" s="24"/>
      <c r="AP373" s="186"/>
      <c r="AQ373" s="174">
        <f>MAX((5/384*($AQ$2+$Y373/100)*$D$17^4/(2.06*10^8*$Z373/10^8))/($D$17/300)*INDEX(Лист1!$L$34:$L$38,MATCH(Лист1!$B$8,Лист1!$I$34:$I$38,0),1),(5/384*($AQ$3)*$D$17^4/(2.06*10^8*$AD373/10^8))/($D$17/200))</f>
        <v>1.7834885856730518</v>
      </c>
      <c r="AR373" s="174"/>
      <c r="AS373" s="175"/>
      <c r="AT373" s="174">
        <f>MAX((5/384*($AT$2+$Y373/100)*$D$17^4/(2.06*10^8*$Z373/10^8))/($D$17/300)*INDEX(Лист1!$L$34:$L$38,MATCH(Лист1!$B$8,Лист1!$I$34:$I$38,0),1),(5/384*($AT$3)*$D$17^4/(2.06*10^8*$AD373/10^8))/($D$17/200))</f>
        <v>0.75029519811073198</v>
      </c>
      <c r="AU373" s="174"/>
      <c r="AV373" s="174">
        <f>IF(OR(MAX(AH373,AQ373)&gt;1,AK373&gt;Лист1!$B$20,N373="-"),999999999,Y373*Лист1!$B$7+0.0001*O373)</f>
        <v>999999999</v>
      </c>
      <c r="AX373" s="174">
        <f>IF(OR(MAX(AH373,AT373)&gt;1,AN373&gt;Лист1!$B$20,N373="-"),999999999,Y373*Лист1!$B$7+0.0001*O373)</f>
        <v>999999999</v>
      </c>
    </row>
    <row r="374" spans="14:50" ht="16.5" thickBot="1" x14ac:dyDescent="0.3">
      <c r="O374">
        <f t="shared" si="16"/>
        <v>371</v>
      </c>
      <c r="P374" s="211" t="s">
        <v>296</v>
      </c>
      <c r="Q374" s="211">
        <v>340</v>
      </c>
      <c r="R374" s="154" t="s">
        <v>378</v>
      </c>
      <c r="S374" s="148">
        <v>180</v>
      </c>
      <c r="T374" s="148">
        <v>180</v>
      </c>
      <c r="X374" s="148">
        <v>26.9</v>
      </c>
      <c r="Y374" s="149">
        <v>21.1</v>
      </c>
      <c r="Z374" s="152">
        <v>459.6</v>
      </c>
      <c r="AA374" s="150">
        <v>91.9</v>
      </c>
      <c r="AC374" s="151">
        <v>6.52</v>
      </c>
      <c r="AD374" s="149">
        <v>1143</v>
      </c>
      <c r="AE374" s="150">
        <v>127</v>
      </c>
      <c r="AF374" s="153">
        <v>4.13</v>
      </c>
      <c r="AH374" s="174">
        <f t="shared" si="17"/>
        <v>0.72639225181598066</v>
      </c>
      <c r="AI374" s="174"/>
      <c r="AJ374" s="186"/>
      <c r="AK374" s="174">
        <f>(($AK$2+Y374*Лист1!$B$7^2*Лист1!$G$8/100)/(AA374/10^6)+$AK$3/(AE374/10^6))/1000/($Q374*IF(Лист1!$J$19="да",1/1.05,1))</f>
        <v>0.20513623469605954</v>
      </c>
      <c r="AL374" s="24"/>
      <c r="AM374" s="186"/>
      <c r="AN374" s="174">
        <f>(($AK$2+Y374*Лист1!$B$7^2*Лист1!$G$8/100)/(AA374/10^6)+$AK$3/(AE374/10^6))/1000/($Q374*IF(Лист1!$J$19="да",1/1.05,1))</f>
        <v>0.20513623469605954</v>
      </c>
      <c r="AO374" s="24"/>
      <c r="AP374" s="186"/>
      <c r="AQ374" s="174">
        <f>MAX((5/384*($AQ$2+$Y374/100)*$D$17^4/(2.06*10^8*$Z374/10^8))/($D$17/300)*INDEX(Лист1!$L$34:$L$38,MATCH(Лист1!$B$8,Лист1!$I$34:$I$38,0),1),(5/384*($AQ$3)*$D$17^4/(2.06*10^8*$AD374/10^8))/($D$17/200))</f>
        <v>0.64254242819843355</v>
      </c>
      <c r="AR374" s="174"/>
      <c r="AS374" s="175"/>
      <c r="AT374" s="174">
        <f>MAX((5/384*($AT$2+$Y374/100)*$D$17^4/(2.06*10^8*$Z374/10^8))/($D$17/300)*INDEX(Лист1!$L$34:$L$38,MATCH(Лист1!$B$8,Лист1!$I$34:$I$38,0),1),(5/384*($AT$3)*$D$17^4/(2.06*10^8*$AD374/10^8))/($D$17/200))</f>
        <v>0.26824586808284123</v>
      </c>
      <c r="AU374" s="174"/>
      <c r="AV374" s="174">
        <f>IF(OR(MAX(AH374,AQ374)&gt;1,AK374&gt;Лист1!$B$20,N374="-"),999999999,Y374*Лист1!$B$7+0.0001*O374)</f>
        <v>126.6371</v>
      </c>
      <c r="AX374" s="174">
        <f>IF(OR(MAX(AH374,AT374)&gt;1,AN374&gt;Лист1!$B$20,N374="-"),999999999,Y374*Лист1!$B$7+0.0001*O374)</f>
        <v>126.6371</v>
      </c>
    </row>
    <row r="375" spans="14:50" ht="16.5" thickBot="1" x14ac:dyDescent="0.3">
      <c r="O375">
        <f t="shared" si="16"/>
        <v>372</v>
      </c>
      <c r="P375" s="211" t="s">
        <v>296</v>
      </c>
      <c r="Q375" s="211">
        <v>340</v>
      </c>
      <c r="R375" s="154" t="s">
        <v>379</v>
      </c>
      <c r="S375" s="148">
        <v>180</v>
      </c>
      <c r="T375" s="148">
        <v>180</v>
      </c>
      <c r="X375" s="148">
        <v>32.1</v>
      </c>
      <c r="Y375" s="149">
        <v>25.2</v>
      </c>
      <c r="Z375" s="152">
        <v>537.79999999999995</v>
      </c>
      <c r="AA375" s="150">
        <v>107.6</v>
      </c>
      <c r="AC375" s="151">
        <v>6.47</v>
      </c>
      <c r="AD375" s="149">
        <v>1344.4</v>
      </c>
      <c r="AE375" s="150">
        <v>149.4</v>
      </c>
      <c r="AF375" s="153">
        <v>4.09</v>
      </c>
      <c r="AH375" s="174">
        <f t="shared" si="17"/>
        <v>0.73349633251833735</v>
      </c>
      <c r="AI375" s="174"/>
      <c r="AJ375" s="186"/>
      <c r="AK375" s="174">
        <f>(($AK$2+Y375*Лист1!$B$7^2*Лист1!$G$8/100)/(AA375/10^6)+$AK$3/(AE375/10^6))/1000/($Q375*IF(Лист1!$J$19="да",1/1.05,1))</f>
        <v>0.17984385731251437</v>
      </c>
      <c r="AL375" s="24"/>
      <c r="AM375" s="186"/>
      <c r="AN375" s="174">
        <f>(($AK$2+Y375*Лист1!$B$7^2*Лист1!$G$8/100)/(AA375/10^6)+$AK$3/(AE375/10^6))/1000/($Q375*IF(Лист1!$J$19="да",1/1.05,1))</f>
        <v>0.17984385731251437</v>
      </c>
      <c r="AO375" s="24"/>
      <c r="AP375" s="186"/>
      <c r="AQ375" s="174">
        <f>MAX((5/384*($AQ$2+$Y375/100)*$D$17^4/(2.06*10^8*$Z375/10^8))/($D$17/300)*INDEX(Лист1!$L$34:$L$38,MATCH(Лист1!$B$8,Лист1!$I$34:$I$38,0),1),(5/384*($AQ$3)*$D$17^4/(2.06*10^8*$AD375/10^8))/($D$17/200))</f>
        <v>0.58033763950217898</v>
      </c>
      <c r="AR375" s="174"/>
      <c r="AS375" s="175"/>
      <c r="AT375" s="174">
        <f>MAX((5/384*($AT$2+$Y375/100)*$D$17^4/(2.06*10^8*$Z375/10^8))/($D$17/300)*INDEX(Лист1!$L$34:$L$38,MATCH(Лист1!$B$8,Лист1!$I$34:$I$38,0),1),(5/384*($AT$3)*$D$17^4/(2.06*10^8*$AD375/10^8))/($D$17/200))</f>
        <v>0.26046649961908819</v>
      </c>
      <c r="AU375" s="174"/>
      <c r="AV375" s="174">
        <f>IF(OR(MAX(AH375,AQ375)&gt;1,AK375&gt;Лист1!$B$20,N375="-"),999999999,Y375*Лист1!$B$7+0.0001*O375)</f>
        <v>151.2372</v>
      </c>
      <c r="AX375" s="174">
        <f>IF(OR(MAX(AH375,AT375)&gt;1,AN375&gt;Лист1!$B$20,N375="-"),999999999,Y375*Лист1!$B$7+0.0001*O375)</f>
        <v>151.2372</v>
      </c>
    </row>
    <row r="376" spans="14:50" ht="16.5" thickBot="1" x14ac:dyDescent="0.3">
      <c r="N376" t="s">
        <v>344</v>
      </c>
      <c r="O376">
        <f t="shared" si="16"/>
        <v>373</v>
      </c>
      <c r="P376" s="211" t="s">
        <v>296</v>
      </c>
      <c r="Q376" s="211">
        <v>340</v>
      </c>
      <c r="R376" s="154" t="s">
        <v>380</v>
      </c>
      <c r="S376" s="148">
        <v>180</v>
      </c>
      <c r="T376" s="148">
        <v>180</v>
      </c>
      <c r="X376" s="148">
        <v>37.200000000000003</v>
      </c>
      <c r="Y376" s="149">
        <v>29.2</v>
      </c>
      <c r="Z376" s="152">
        <v>607.9</v>
      </c>
      <c r="AA376" s="150">
        <v>121.6</v>
      </c>
      <c r="AC376" s="151">
        <v>6.41</v>
      </c>
      <c r="AD376" s="149">
        <v>1527.9</v>
      </c>
      <c r="AE376" s="150">
        <v>169.8</v>
      </c>
      <c r="AF376" s="153">
        <v>4.04</v>
      </c>
      <c r="AH376" s="174">
        <f t="shared" si="17"/>
        <v>0.74257425742574257</v>
      </c>
      <c r="AI376" s="174"/>
      <c r="AJ376" s="186"/>
      <c r="AK376" s="174">
        <f>(($AK$2+Y376*Лист1!$B$7^2*Лист1!$G$8/100)/(AA376/10^6)+$AK$3/(AE376/10^6))/1000/($Q376*IF(Лист1!$J$19="да",1/1.05,1))</f>
        <v>0.16306414997562518</v>
      </c>
      <c r="AL376" s="24"/>
      <c r="AM376" s="186"/>
      <c r="AN376" s="174">
        <f>(($AK$2+Y376*Лист1!$B$7^2*Лист1!$G$8/100)/(AA376/10^6)+$AK$3/(AE376/10^6))/1000/($Q376*IF(Лист1!$J$19="да",1/1.05,1))</f>
        <v>0.16306414997562518</v>
      </c>
      <c r="AO376" s="24"/>
      <c r="AP376" s="186"/>
      <c r="AQ376" s="174">
        <f>MAX((5/384*($AQ$2+$Y376/100)*$D$17^4/(2.06*10^8*$Z376/10^8))/($D$17/300)*INDEX(Лист1!$L$34:$L$38,MATCH(Лист1!$B$8,Лист1!$I$34:$I$38,0),1),(5/384*($AQ$3)*$D$17^4/(2.06*10^8*$AD376/10^8))/($D$17/200))</f>
        <v>0.54036696441833032</v>
      </c>
      <c r="AR376" s="174"/>
      <c r="AS376" s="175"/>
      <c r="AT376" s="174">
        <f>MAX((5/384*($AT$2+$Y376/100)*$D$17^4/(2.06*10^8*$Z376/10^8))/($D$17/300)*INDEX(Лист1!$L$34:$L$38,MATCH(Лист1!$B$8,Лист1!$I$34:$I$38,0),1),(5/384*($AT$3)*$D$17^4/(2.06*10^8*$AD376/10^8))/($D$17/200))</f>
        <v>0.25738177108204757</v>
      </c>
      <c r="AU376" s="174"/>
      <c r="AV376" s="174">
        <f>IF(OR(MAX(AH376,AQ376)&gt;1,AK376&gt;Лист1!$B$20,N376="-"),999999999,Y376*Лист1!$B$7+0.0001*O376)</f>
        <v>999999999</v>
      </c>
      <c r="AX376" s="174">
        <f>IF(OR(MAX(AH376,AT376)&gt;1,AN376&gt;Лист1!$B$20,N376="-"),999999999,Y376*Лист1!$B$7+0.0001*O376)</f>
        <v>999999999</v>
      </c>
    </row>
    <row r="377" spans="14:50" ht="16.5" thickBot="1" x14ac:dyDescent="0.3">
      <c r="O377">
        <f t="shared" si="16"/>
        <v>374</v>
      </c>
      <c r="P377" s="211" t="s">
        <v>296</v>
      </c>
      <c r="Q377" s="211">
        <v>340</v>
      </c>
      <c r="R377" s="154" t="s">
        <v>381</v>
      </c>
      <c r="S377" s="148">
        <v>180</v>
      </c>
      <c r="T377" s="148">
        <v>180</v>
      </c>
      <c r="X377" s="148">
        <v>42.3</v>
      </c>
      <c r="Y377" s="149">
        <v>33.200000000000003</v>
      </c>
      <c r="Z377" s="152">
        <v>676</v>
      </c>
      <c r="AA377" s="150">
        <v>135.19999999999999</v>
      </c>
      <c r="AC377" s="151">
        <v>6.35</v>
      </c>
      <c r="AD377" s="149">
        <v>1706.1</v>
      </c>
      <c r="AE377" s="150">
        <v>189.6</v>
      </c>
      <c r="AF377" s="153">
        <v>4</v>
      </c>
      <c r="AH377" s="174">
        <f t="shared" si="17"/>
        <v>0.75</v>
      </c>
      <c r="AI377" s="174"/>
      <c r="AJ377" s="186"/>
      <c r="AK377" s="174">
        <f>(($AK$2+Y377*Лист1!$B$7^2*Лист1!$G$8/100)/(AA377/10^6)+$AK$3/(AE377/10^6))/1000/($Q377*IF(Лист1!$J$19="да",1/1.05,1))</f>
        <v>0.15028865782456693</v>
      </c>
      <c r="AL377" s="24"/>
      <c r="AM377" s="186"/>
      <c r="AN377" s="174">
        <f>(($AK$2+Y377*Лист1!$B$7^2*Лист1!$G$8/100)/(AA377/10^6)+$AK$3/(AE377/10^6))/1000/($Q377*IF(Лист1!$J$19="да",1/1.05,1))</f>
        <v>0.15028865782456693</v>
      </c>
      <c r="AO377" s="24"/>
      <c r="AP377" s="186"/>
      <c r="AQ377" s="174">
        <f>MAX((5/384*($AQ$2+$Y377/100)*$D$17^4/(2.06*10^8*$Z377/10^8))/($D$17/300)*INDEX(Лист1!$L$34:$L$38,MATCH(Лист1!$B$8,Лист1!$I$34:$I$38,0),1),(5/384*($AQ$3)*$D$17^4/(2.06*10^8*$AD377/10^8))/($D$17/200))</f>
        <v>0.51016652783363026</v>
      </c>
      <c r="AR377" s="174"/>
      <c r="AS377" s="175"/>
      <c r="AT377" s="174">
        <f>MAX((5/384*($AT$2+$Y377/100)*$D$17^4/(2.06*10^8*$Z377/10^8))/($D$17/300)*INDEX(Лист1!$L$34:$L$38,MATCH(Лист1!$B$8,Лист1!$I$34:$I$38,0),1),(5/384*($AT$3)*$D$17^4/(2.06*10^8*$AD377/10^8))/($D$17/200))</f>
        <v>0.2556891624059287</v>
      </c>
      <c r="AU377" s="174"/>
      <c r="AV377" s="174">
        <f>IF(OR(MAX(AH377,AQ377)&gt;1,AK377&gt;Лист1!$B$20,N377="-"),999999999,Y377*Лист1!$B$7+0.0001*O377)</f>
        <v>199.23740000000001</v>
      </c>
      <c r="AX377" s="174">
        <f>IF(OR(MAX(AH377,AT377)&gt;1,AN377&gt;Лист1!$B$20,N377="-"),999999999,Y377*Лист1!$B$7+0.0001*O377)</f>
        <v>199.23740000000001</v>
      </c>
    </row>
    <row r="378" spans="14:50" ht="16.5" thickBot="1" x14ac:dyDescent="0.3">
      <c r="O378">
        <f t="shared" ref="O378:O413" si="18">O377+1</f>
        <v>375</v>
      </c>
      <c r="P378" s="211" t="s">
        <v>296</v>
      </c>
      <c r="Q378" s="211">
        <v>340</v>
      </c>
      <c r="R378" s="154" t="s">
        <v>382</v>
      </c>
      <c r="S378" s="148">
        <v>180</v>
      </c>
      <c r="T378" s="148">
        <v>180</v>
      </c>
      <c r="X378" s="148">
        <v>24.6</v>
      </c>
      <c r="Y378" s="149">
        <v>19.3</v>
      </c>
      <c r="Z378" s="152">
        <v>782.4</v>
      </c>
      <c r="AA378" s="150">
        <v>111.8</v>
      </c>
      <c r="AC378" s="151">
        <v>6.91</v>
      </c>
      <c r="AD378" s="149">
        <v>1165</v>
      </c>
      <c r="AE378" s="150">
        <v>128.19999999999999</v>
      </c>
      <c r="AF378" s="153">
        <v>5.7</v>
      </c>
      <c r="AH378" s="174">
        <f t="shared" si="17"/>
        <v>0.52631578947368418</v>
      </c>
      <c r="AI378" s="174"/>
      <c r="AJ378" s="186"/>
      <c r="AK378" s="174">
        <f>(($AK$2+Y378*Лист1!$B$7^2*Лист1!$G$8/100)/(AA378/10^6)+$AK$3/(AE378/10^6))/1000/($Q378*IF(Лист1!$J$19="да",1/1.05,1))</f>
        <v>0.18342874611175211</v>
      </c>
      <c r="AL378" s="24"/>
      <c r="AM378" s="186"/>
      <c r="AN378" s="174">
        <f>(($AK$2+Y378*Лист1!$B$7^2*Лист1!$G$8/100)/(AA378/10^6)+$AK$3/(AE378/10^6))/1000/($Q378*IF(Лист1!$J$19="да",1/1.05,1))</f>
        <v>0.18342874611175211</v>
      </c>
      <c r="AO378" s="24"/>
      <c r="AP378" s="186"/>
      <c r="AQ378" s="174">
        <f>MAX((5/384*($AQ$2+$Y378/100)*$D$17^4/(2.06*10^8*$Z378/10^8))/($D$17/300)*INDEX(Лист1!$L$34:$L$38,MATCH(Лист1!$B$8,Лист1!$I$34:$I$38,0),1),(5/384*($AQ$3)*$D$17^4/(2.06*10^8*$AD378/10^8))/($D$17/200))</f>
        <v>0.36802137932574908</v>
      </c>
      <c r="AR378" s="174"/>
      <c r="AS378" s="175"/>
      <c r="AT378" s="174">
        <f>MAX((5/384*($AT$2+$Y378/100)*$D$17^4/(2.06*10^8*$Z378/10^8))/($D$17/300)*INDEX(Лист1!$L$34:$L$38,MATCH(Лист1!$B$8,Лист1!$I$34:$I$38,0),1),(5/384*($AT$3)*$D$17^4/(2.06*10^8*$AD378/10^8))/($D$17/200))</f>
        <v>0.1481508539817738</v>
      </c>
      <c r="AU378" s="174"/>
      <c r="AV378" s="174">
        <f>IF(OR(MAX(AH378,AQ378)&gt;1,AK378&gt;Лист1!$B$20,N378="-"),999999999,Y378*Лист1!$B$7+0.0001*O378)</f>
        <v>115.83750000000001</v>
      </c>
      <c r="AX378" s="174">
        <f>IF(OR(MAX(AH378,AT378)&gt;1,AN378&gt;Лист1!$B$20,N378="-"),999999999,Y378*Лист1!$B$7+0.0001*O378)</f>
        <v>115.83750000000001</v>
      </c>
    </row>
    <row r="379" spans="14:50" ht="16.5" thickBot="1" x14ac:dyDescent="0.3">
      <c r="O379">
        <f t="shared" si="18"/>
        <v>376</v>
      </c>
      <c r="P379" s="211" t="s">
        <v>296</v>
      </c>
      <c r="Q379" s="211">
        <v>340</v>
      </c>
      <c r="R379" s="154" t="s">
        <v>383</v>
      </c>
      <c r="S379" s="148">
        <v>180</v>
      </c>
      <c r="T379" s="148">
        <v>180</v>
      </c>
      <c r="X379" s="148">
        <v>30.7</v>
      </c>
      <c r="Y379" s="149">
        <v>24.1</v>
      </c>
      <c r="Z379" s="152">
        <v>981.2</v>
      </c>
      <c r="AA379" s="150">
        <v>140.19999999999999</v>
      </c>
      <c r="AC379" s="151">
        <v>6.85</v>
      </c>
      <c r="AD379" s="149">
        <v>1443</v>
      </c>
      <c r="AE379" s="150">
        <v>160.30000000000001</v>
      </c>
      <c r="AF379" s="153">
        <v>5.65</v>
      </c>
      <c r="AH379" s="174">
        <f t="shared" si="17"/>
        <v>0.53097345132743357</v>
      </c>
      <c r="AI379" s="174"/>
      <c r="AJ379" s="186"/>
      <c r="AK379" s="174">
        <f>(($AK$2+Y379*Лист1!$B$7^2*Лист1!$G$8/100)/(AA379/10^6)+$AK$3/(AE379/10^6))/1000/($Q379*IF(Лист1!$J$19="да",1/1.05,1))</f>
        <v>0.15103398908952478</v>
      </c>
      <c r="AL379" s="24"/>
      <c r="AM379" s="186"/>
      <c r="AN379" s="174">
        <f>(($AK$2+Y379*Лист1!$B$7^2*Лист1!$G$8/100)/(AA379/10^6)+$AK$3/(AE379/10^6))/1000/($Q379*IF(Лист1!$J$19="да",1/1.05,1))</f>
        <v>0.15103398908952478</v>
      </c>
      <c r="AO379" s="24"/>
      <c r="AP379" s="186"/>
      <c r="AQ379" s="174">
        <f>MAX((5/384*($AQ$2+$Y379/100)*$D$17^4/(2.06*10^8*$Z379/10^8))/($D$17/300)*INDEX(Лист1!$L$34:$L$38,MATCH(Лист1!$B$8,Лист1!$I$34:$I$38,0),1),(5/384*($AQ$3)*$D$17^4/(2.06*10^8*$AD379/10^8))/($D$17/200))</f>
        <v>0.31349380489117745</v>
      </c>
      <c r="AR379" s="174"/>
      <c r="AS379" s="175"/>
      <c r="AT379" s="174">
        <f>MAX((5/384*($AT$2+$Y379/100)*$D$17^4/(2.06*10^8*$Z379/10^8))/($D$17/300)*INDEX(Лист1!$L$34:$L$38,MATCH(Лист1!$B$8,Лист1!$I$34:$I$38,0),1),(5/384*($AT$3)*$D$17^4/(2.06*10^8*$AD379/10^8))/($D$17/200))</f>
        <v>0.13817103784151766</v>
      </c>
      <c r="AU379" s="174"/>
      <c r="AV379" s="174">
        <f>IF(OR(MAX(AH379,AQ379)&gt;1,AK379&gt;Лист1!$B$20,N379="-"),999999999,Y379*Лист1!$B$7+0.0001*O379)</f>
        <v>144.63760000000002</v>
      </c>
      <c r="AX379" s="174">
        <f>IF(OR(MAX(AH379,AT379)&gt;1,AN379&gt;Лист1!$B$20,N379="-"),999999999,Y379*Лист1!$B$7+0.0001*O379)</f>
        <v>144.63760000000002</v>
      </c>
    </row>
    <row r="380" spans="14:50" ht="16.5" thickBot="1" x14ac:dyDescent="0.3">
      <c r="O380">
        <f t="shared" si="18"/>
        <v>377</v>
      </c>
      <c r="P380" s="211" t="s">
        <v>296</v>
      </c>
      <c r="Q380" s="211">
        <v>340</v>
      </c>
      <c r="R380" s="154" t="s">
        <v>384</v>
      </c>
      <c r="S380" s="148">
        <v>180</v>
      </c>
      <c r="T380" s="148">
        <v>180</v>
      </c>
      <c r="X380" s="148">
        <v>36.799999999999997</v>
      </c>
      <c r="Y380" s="149">
        <v>28.9</v>
      </c>
      <c r="Z380" s="152">
        <v>1158.9000000000001</v>
      </c>
      <c r="AA380" s="150">
        <v>165.6</v>
      </c>
      <c r="AC380" s="151">
        <v>6.81</v>
      </c>
      <c r="AD380" s="149">
        <v>1706.8</v>
      </c>
      <c r="AE380" s="150">
        <v>189.6</v>
      </c>
      <c r="AF380" s="153">
        <v>5.61</v>
      </c>
      <c r="AH380" s="174">
        <f t="shared" si="17"/>
        <v>0.53475935828876997</v>
      </c>
      <c r="AI380" s="174"/>
      <c r="AJ380" s="186"/>
      <c r="AK380" s="174">
        <f>(($AK$2+Y380*Лист1!$B$7^2*Лист1!$G$8/100)/(AA380/10^6)+$AK$3/(AE380/10^6))/1000/($Q380*IF(Лист1!$J$19="да",1/1.05,1))</f>
        <v>0.13161262232160834</v>
      </c>
      <c r="AL380" s="24"/>
      <c r="AM380" s="186"/>
      <c r="AN380" s="174">
        <f>(($AK$2+Y380*Лист1!$B$7^2*Лист1!$G$8/100)/(AA380/10^6)+$AK$3/(AE380/10^6))/1000/($Q380*IF(Лист1!$J$19="да",1/1.05,1))</f>
        <v>0.13161262232160834</v>
      </c>
      <c r="AO380" s="24"/>
      <c r="AP380" s="186"/>
      <c r="AQ380" s="174">
        <f>MAX((5/384*($AQ$2+$Y380/100)*$D$17^4/(2.06*10^8*$Z380/10^8))/($D$17/300)*INDEX(Лист1!$L$34:$L$38,MATCH(Лист1!$B$8,Лист1!$I$34:$I$38,0),1),(5/384*($AQ$3)*$D$17^4/(2.06*10^8*$AD380/10^8))/($D$17/200))</f>
        <v>0.28238874409697168</v>
      </c>
      <c r="AR380" s="174"/>
      <c r="AS380" s="175"/>
      <c r="AT380" s="174">
        <f>MAX((5/384*($AT$2+$Y380/100)*$D$17^4/(2.06*10^8*$Z380/10^8))/($D$17/300)*INDEX(Лист1!$L$34:$L$38,MATCH(Лист1!$B$8,Лист1!$I$34:$I$38,0),1),(5/384*($AT$3)*$D$17^4/(2.06*10^8*$AD380/10^8))/($D$17/200))</f>
        <v>0.13394910389581013</v>
      </c>
      <c r="AU380" s="174"/>
      <c r="AV380" s="174">
        <f>IF(OR(MAX(AH380,AQ380)&gt;1,AK380&gt;Лист1!$B$20,N380="-"),999999999,Y380*Лист1!$B$7+0.0001*O380)</f>
        <v>173.43769999999998</v>
      </c>
      <c r="AX380" s="174">
        <f>IF(OR(MAX(AH380,AT380)&gt;1,AN380&gt;Лист1!$B$20,N380="-"),999999999,Y380*Лист1!$B$7+0.0001*O380)</f>
        <v>173.43769999999998</v>
      </c>
    </row>
    <row r="381" spans="14:50" ht="16.5" thickBot="1" x14ac:dyDescent="0.3">
      <c r="O381">
        <f t="shared" si="18"/>
        <v>378</v>
      </c>
      <c r="P381" s="211" t="s">
        <v>296</v>
      </c>
      <c r="Q381" s="211">
        <v>340</v>
      </c>
      <c r="R381" s="154" t="s">
        <v>385</v>
      </c>
      <c r="S381" s="148">
        <v>180</v>
      </c>
      <c r="T381" s="148">
        <v>180</v>
      </c>
      <c r="X381" s="148">
        <v>42.8</v>
      </c>
      <c r="Y381" s="149">
        <v>33.6</v>
      </c>
      <c r="Z381" s="152">
        <v>1322.9</v>
      </c>
      <c r="AA381" s="150">
        <v>189</v>
      </c>
      <c r="AC381" s="151">
        <v>6.75</v>
      </c>
      <c r="AD381" s="149">
        <v>1952</v>
      </c>
      <c r="AE381" s="150">
        <v>216.9</v>
      </c>
      <c r="AF381" s="153">
        <v>5.56</v>
      </c>
      <c r="AH381" s="174">
        <f t="shared" si="17"/>
        <v>0.53956834532374098</v>
      </c>
      <c r="AI381" s="174"/>
      <c r="AJ381" s="186"/>
      <c r="AK381" s="174">
        <f>(($AK$2+Y381*Лист1!$B$7^2*Лист1!$G$8/100)/(AA381/10^6)+$AK$3/(AE381/10^6))/1000/($Q381*IF(Лист1!$J$19="да",1/1.05,1))</f>
        <v>0.11847079860482725</v>
      </c>
      <c r="AL381" s="24"/>
      <c r="AM381" s="186"/>
      <c r="AN381" s="174">
        <f>(($AK$2+Y381*Лист1!$B$7^2*Лист1!$G$8/100)/(AA381/10^6)+$AK$3/(AE381/10^6))/1000/($Q381*IF(Лист1!$J$19="да",1/1.05,1))</f>
        <v>0.11847079860482725</v>
      </c>
      <c r="AO381" s="24"/>
      <c r="AP381" s="186"/>
      <c r="AQ381" s="174">
        <f>MAX((5/384*($AQ$2+$Y381/100)*$D$17^4/(2.06*10^8*$Z381/10^8))/($D$17/300)*INDEX(Лист1!$L$34:$L$38,MATCH(Лист1!$B$8,Лист1!$I$34:$I$38,0),1),(5/384*($AQ$3)*$D$17^4/(2.06*10^8*$AD381/10^8))/($D$17/200))</f>
        <v>0.26193281603303126</v>
      </c>
      <c r="AR381" s="174"/>
      <c r="AS381" s="175"/>
      <c r="AT381" s="174">
        <f>MAX((5/384*($AT$2+$Y381/100)*$D$17^4/(2.06*10^8*$Z381/10^8))/($D$17/300)*INDEX(Лист1!$L$34:$L$38,MATCH(Лист1!$B$8,Лист1!$I$34:$I$38,0),1),(5/384*($AT$3)*$D$17^4/(2.06*10^8*$AD381/10^8))/($D$17/200))</f>
        <v>0.1318952477896824</v>
      </c>
      <c r="AU381" s="174"/>
      <c r="AV381" s="174">
        <f>IF(OR(MAX(AH381,AQ381)&gt;1,AK381&gt;Лист1!$B$20,N381="-"),999999999,Y381*Лист1!$B$7+0.0001*O381)</f>
        <v>201.63780000000003</v>
      </c>
      <c r="AX381" s="174">
        <f>IF(OR(MAX(AH381,AT381)&gt;1,AN381&gt;Лист1!$B$20,N381="-"),999999999,Y381*Лист1!$B$7+0.0001*O381)</f>
        <v>201.63780000000003</v>
      </c>
    </row>
    <row r="382" spans="14:50" ht="15.75" x14ac:dyDescent="0.25">
      <c r="O382">
        <f t="shared" si="18"/>
        <v>379</v>
      </c>
      <c r="P382" s="211" t="s">
        <v>296</v>
      </c>
      <c r="Q382" s="211">
        <v>340</v>
      </c>
      <c r="R382" s="154" t="s">
        <v>386</v>
      </c>
      <c r="S382" s="148">
        <v>180</v>
      </c>
      <c r="T382" s="148">
        <v>180</v>
      </c>
      <c r="X382" s="148">
        <v>48.7</v>
      </c>
      <c r="Y382" s="149">
        <v>38.200000000000003</v>
      </c>
      <c r="Z382" s="152">
        <v>1480.6</v>
      </c>
      <c r="AA382" s="150">
        <v>211.5</v>
      </c>
      <c r="AC382" s="151">
        <v>6.7</v>
      </c>
      <c r="AD382" s="149">
        <v>2187.3000000000002</v>
      </c>
      <c r="AE382" s="150">
        <v>243</v>
      </c>
      <c r="AF382" s="153">
        <v>5.51</v>
      </c>
      <c r="AH382" s="174">
        <f t="shared" si="17"/>
        <v>0.54446460980036304</v>
      </c>
      <c r="AI382" s="174"/>
      <c r="AJ382" s="186"/>
      <c r="AK382" s="174">
        <f>(($AK$2+Y382*Лист1!$B$7^2*Лист1!$G$8/100)/(AA382/10^6)+$AK$3/(AE382/10^6))/1000/($Q382*IF(Лист1!$J$19="да",1/1.05,1))</f>
        <v>0.10868587689627146</v>
      </c>
      <c r="AL382" s="24"/>
      <c r="AM382" s="186"/>
      <c r="AN382" s="174">
        <f>(($AK$2+Y382*Лист1!$B$7^2*Лист1!$G$8/100)/(AA382/10^6)+$AK$3/(AE382/10^6))/1000/($Q382*IF(Лист1!$J$19="да",1/1.05,1))</f>
        <v>0.10868587689627146</v>
      </c>
      <c r="AO382" s="24"/>
      <c r="AP382" s="186"/>
      <c r="AQ382" s="174">
        <f>MAX((5/384*($AQ$2+$Y382/100)*$D$17^4/(2.06*10^8*$Z382/10^8))/($D$17/300)*INDEX(Лист1!$L$34:$L$38,MATCH(Лист1!$B$8,Лист1!$I$34:$I$38,0),1),(5/384*($AQ$3)*$D$17^4/(2.06*10^8*$AD382/10^8))/($D$17/200))</f>
        <v>0.24675938251220644</v>
      </c>
      <c r="AR382" s="174"/>
      <c r="AS382" s="175"/>
      <c r="AT382" s="174">
        <f>MAX((5/384*($AT$2+$Y382/100)*$D$17^4/(2.06*10^8*$Z382/10^8))/($D$17/300)*INDEX(Лист1!$L$34:$L$38,MATCH(Лист1!$B$8,Лист1!$I$34:$I$38,0),1),(5/384*($AT$3)*$D$17^4/(2.06*10^8*$AD382/10^8))/($D$17/200))</f>
        <v>0.13057222931139173</v>
      </c>
      <c r="AU382" s="174"/>
      <c r="AV382" s="174">
        <f>IF(OR(MAX(AH382,AQ382)&gt;1,AK382&gt;Лист1!$B$20,N382="-"),999999999,Y382*Лист1!$B$7+0.0001*O382)</f>
        <v>229.23790000000002</v>
      </c>
      <c r="AX382" s="174">
        <f>IF(OR(MAX(AH382,AT382)&gt;1,AN382&gt;Лист1!$B$20,N382="-"),999999999,Y382*Лист1!$B$7+0.0001*O382)</f>
        <v>229.23790000000002</v>
      </c>
    </row>
    <row r="383" spans="14:50" ht="16.5" thickBot="1" x14ac:dyDescent="0.3">
      <c r="N383" t="s">
        <v>344</v>
      </c>
      <c r="O383">
        <f t="shared" si="18"/>
        <v>380</v>
      </c>
      <c r="P383" s="211" t="s">
        <v>296</v>
      </c>
      <c r="Q383" s="211">
        <v>340</v>
      </c>
      <c r="R383" s="163" t="s">
        <v>387</v>
      </c>
      <c r="S383" s="148">
        <v>200</v>
      </c>
      <c r="T383" s="148">
        <v>200</v>
      </c>
      <c r="X383" s="148">
        <v>27.7</v>
      </c>
      <c r="Y383" s="149">
        <v>21.8</v>
      </c>
      <c r="Z383" s="152">
        <v>1160</v>
      </c>
      <c r="AA383" s="150">
        <v>145</v>
      </c>
      <c r="AC383" s="151">
        <v>7.68</v>
      </c>
      <c r="AD383" s="149">
        <v>1631.8</v>
      </c>
      <c r="AE383" s="150">
        <v>163.19999999999999</v>
      </c>
      <c r="AF383" s="153">
        <v>6.47</v>
      </c>
      <c r="AH383" s="174">
        <f t="shared" si="17"/>
        <v>0.46367851622874812</v>
      </c>
      <c r="AI383" s="174"/>
      <c r="AJ383" s="186"/>
      <c r="AK383" s="174">
        <f>(($AK$2+Y383*Лист1!$B$7^2*Лист1!$G$8/100)/(AA383/10^6)+$AK$3/(AE383/10^6))/1000/($Q383*IF(Лист1!$J$19="да",1/1.05,1))</f>
        <v>0.14515498006084238</v>
      </c>
      <c r="AL383" s="24"/>
      <c r="AM383" s="186"/>
      <c r="AN383" s="174">
        <f>(($AK$2+Y383*Лист1!$B$7^2*Лист1!$G$8/100)/(AA383/10^6)+$AK$3/(AE383/10^6))/1000/($Q383*IF(Лист1!$J$19="да",1/1.05,1))</f>
        <v>0.14515498006084238</v>
      </c>
      <c r="AO383" s="24"/>
      <c r="AP383" s="186"/>
      <c r="AQ383" s="174">
        <f>MAX((5/384*($AQ$2+$Y383/100)*$D$17^4/(2.06*10^8*$Z383/10^8))/($D$17/300)*INDEX(Лист1!$L$34:$L$38,MATCH(Лист1!$B$8,Лист1!$I$34:$I$38,0),1),(5/384*($AQ$3)*$D$17^4/(2.06*10^8*$AD383/10^8))/($D$17/200))</f>
        <v>0.25705138935386673</v>
      </c>
      <c r="AR383" s="174"/>
      <c r="AS383" s="175"/>
      <c r="AT383" s="174">
        <f>MAX((5/384*($AT$2+$Y383/100)*$D$17^4/(2.06*10^8*$Z383/10^8))/($D$17/300)*INDEX(Лист1!$L$34:$L$38,MATCH(Лист1!$B$8,Лист1!$I$34:$I$38,0),1),(5/384*($AT$3)*$D$17^4/(2.06*10^8*$AD383/10^8))/($D$17/200))</f>
        <v>0.10875251088048209</v>
      </c>
      <c r="AU383" s="174"/>
      <c r="AV383" s="174">
        <f>IF(OR(MAX(AH383,AQ383)&gt;1,AK383&gt;Лист1!$B$20,N383="-"),999999999,Y383*Лист1!$B$7+0.0001*O383)</f>
        <v>999999999</v>
      </c>
      <c r="AX383" s="174">
        <f>IF(OR(MAX(AH383,AT383)&gt;1,AN383&gt;Лист1!$B$20,N383="-"),999999999,Y383*Лист1!$B$7+0.0001*O383)</f>
        <v>999999999</v>
      </c>
    </row>
    <row r="384" spans="14:50" ht="16.5" thickBot="1" x14ac:dyDescent="0.3">
      <c r="O384">
        <f t="shared" si="18"/>
        <v>381</v>
      </c>
      <c r="P384" s="211" t="s">
        <v>296</v>
      </c>
      <c r="Q384" s="211">
        <v>340</v>
      </c>
      <c r="R384" s="154" t="s">
        <v>388</v>
      </c>
      <c r="S384" s="148">
        <v>200</v>
      </c>
      <c r="T384" s="148">
        <v>200</v>
      </c>
      <c r="X384" s="148">
        <v>34.6</v>
      </c>
      <c r="Y384" s="149">
        <v>27.2</v>
      </c>
      <c r="Z384" s="152">
        <v>1450</v>
      </c>
      <c r="AA384" s="150">
        <v>181.2</v>
      </c>
      <c r="AC384" s="151">
        <v>7.67</v>
      </c>
      <c r="AD384" s="149">
        <v>2039.7</v>
      </c>
      <c r="AE384" s="150">
        <v>204</v>
      </c>
      <c r="AF384" s="153">
        <v>6.46</v>
      </c>
      <c r="AH384" s="174">
        <f t="shared" si="17"/>
        <v>0.4643962848297214</v>
      </c>
      <c r="AI384" s="174"/>
      <c r="AJ384" s="186"/>
      <c r="AK384" s="174">
        <f>(($AK$2+Y384*Лист1!$B$7^2*Лист1!$G$8/100)/(AA384/10^6)+$AK$3/(AE384/10^6))/1000/($Q384*IF(Лист1!$J$19="да",1/1.05,1))</f>
        <v>0.12008306683684743</v>
      </c>
      <c r="AL384" s="24"/>
      <c r="AM384" s="186"/>
      <c r="AN384" s="174">
        <f>(($AK$2+Y384*Лист1!$B$7^2*Лист1!$G$8/100)/(AA384/10^6)+$AK$3/(AE384/10^6))/1000/($Q384*IF(Лист1!$J$19="да",1/1.05,1))</f>
        <v>0.12008306683684743</v>
      </c>
      <c r="AO384" s="24"/>
      <c r="AP384" s="186"/>
      <c r="AQ384" s="174">
        <f>MAX((5/384*($AQ$2+$Y384/100)*$D$17^4/(2.06*10^8*$Z384/10^8))/($D$17/300)*INDEX(Лист1!$L$34:$L$38,MATCH(Лист1!$B$8,Лист1!$I$34:$I$38,0),1),(5/384*($AQ$3)*$D$17^4/(2.06*10^8*$AD384/10^8))/($D$17/200))</f>
        <v>0.22089471041178443</v>
      </c>
      <c r="AR384" s="174"/>
      <c r="AS384" s="175"/>
      <c r="AT384" s="174">
        <f>MAX((5/384*($AT$2+$Y384/100)*$D$17^4/(2.06*10^8*$Z384/10^8))/($D$17/300)*INDEX(Лист1!$L$34:$L$38,MATCH(Лист1!$B$8,Лист1!$I$34:$I$38,0),1),(5/384*($AT$3)*$D$17^4/(2.06*10^8*$AD384/10^8))/($D$17/200))</f>
        <v>0.10225560763307667</v>
      </c>
      <c r="AU384" s="174"/>
      <c r="AV384" s="174">
        <f>IF(OR(MAX(AH384,AQ384)&gt;1,AK384&gt;Лист1!$B$20,N384="-"),999999999,Y384*Лист1!$B$7+0.0001*O384)</f>
        <v>163.23809999999997</v>
      </c>
      <c r="AX384" s="174">
        <f>IF(OR(MAX(AH384,AT384)&gt;1,AN384&gt;Лист1!$B$20,N384="-"),999999999,Y384*Лист1!$B$7+0.0001*O384)</f>
        <v>163.23809999999997</v>
      </c>
    </row>
    <row r="385" spans="14:50" ht="16.5" thickBot="1" x14ac:dyDescent="0.3">
      <c r="O385">
        <f t="shared" si="18"/>
        <v>382</v>
      </c>
      <c r="P385" s="211" t="s">
        <v>296</v>
      </c>
      <c r="Q385" s="211">
        <v>340</v>
      </c>
      <c r="R385" s="154" t="s">
        <v>389</v>
      </c>
      <c r="S385" s="148">
        <v>200</v>
      </c>
      <c r="T385" s="148">
        <v>200</v>
      </c>
      <c r="X385" s="148">
        <v>41.4</v>
      </c>
      <c r="Y385" s="149">
        <v>32.5</v>
      </c>
      <c r="Z385" s="152">
        <v>1712.3</v>
      </c>
      <c r="AA385" s="150">
        <v>214</v>
      </c>
      <c r="AC385" s="151">
        <v>7.63</v>
      </c>
      <c r="AD385" s="149">
        <v>2412.4</v>
      </c>
      <c r="AE385" s="150">
        <v>241.2</v>
      </c>
      <c r="AF385" s="153">
        <v>6.43</v>
      </c>
      <c r="AH385" s="174">
        <f t="shared" si="17"/>
        <v>0.46656298600311047</v>
      </c>
      <c r="AI385" s="174"/>
      <c r="AJ385" s="186"/>
      <c r="AK385" s="174">
        <f>(($AK$2+Y385*Лист1!$B$7^2*Лист1!$G$8/100)/(AA385/10^6)+$AK$3/(AE385/10^6))/1000/($Q385*IF(Лист1!$J$19="да",1/1.05,1))</f>
        <v>0.10489582292078606</v>
      </c>
      <c r="AL385" s="24"/>
      <c r="AM385" s="186"/>
      <c r="AN385" s="174">
        <f>(($AK$2+Y385*Лист1!$B$7^2*Лист1!$G$8/100)/(AA385/10^6)+$AK$3/(AE385/10^6))/1000/($Q385*IF(Лист1!$J$19="да",1/1.05,1))</f>
        <v>0.10489582292078606</v>
      </c>
      <c r="AO385" s="24"/>
      <c r="AP385" s="186"/>
      <c r="AQ385" s="174">
        <f>MAX((5/384*($AQ$2+$Y385/100)*$D$17^4/(2.06*10^8*$Z385/10^8))/($D$17/300)*INDEX(Лист1!$L$34:$L$38,MATCH(Лист1!$B$8,Лист1!$I$34:$I$38,0),1),(5/384*($AQ$3)*$D$17^4/(2.06*10^8*$AD385/10^8))/($D$17/200))</f>
        <v>0.19973454486074199</v>
      </c>
      <c r="AR385" s="174"/>
      <c r="AS385" s="175"/>
      <c r="AT385" s="174">
        <f>MAX((5/384*($AT$2+$Y385/100)*$D$17^4/(2.06*10^8*$Z385/10^8))/($D$17/300)*INDEX(Лист1!$L$34:$L$38,MATCH(Лист1!$B$8,Лист1!$I$34:$I$38,0),1),(5/384*($AT$3)*$D$17^4/(2.06*10^8*$AD385/10^8))/($D$17/200))</f>
        <v>9.9269264811027477E-2</v>
      </c>
      <c r="AU385" s="174"/>
      <c r="AV385" s="174">
        <f>IF(OR(MAX(AH385,AQ385)&gt;1,AK385&gt;Лист1!$B$20,N385="-"),999999999,Y385*Лист1!$B$7+0.0001*O385)</f>
        <v>195.03819999999999</v>
      </c>
      <c r="AX385" s="174">
        <f>IF(OR(MAX(AH385,AT385)&gt;1,AN385&gt;Лист1!$B$20,N385="-"),999999999,Y385*Лист1!$B$7+0.0001*O385)</f>
        <v>195.03819999999999</v>
      </c>
    </row>
    <row r="386" spans="14:50" ht="16.5" thickBot="1" x14ac:dyDescent="0.3">
      <c r="O386">
        <f t="shared" si="18"/>
        <v>383</v>
      </c>
      <c r="P386" s="211" t="s">
        <v>296</v>
      </c>
      <c r="Q386" s="211">
        <v>340</v>
      </c>
      <c r="R386" s="154" t="s">
        <v>390</v>
      </c>
      <c r="S386" s="148">
        <v>200</v>
      </c>
      <c r="T386" s="148">
        <v>200</v>
      </c>
      <c r="X386" s="148">
        <v>48.2</v>
      </c>
      <c r="Y386" s="149">
        <v>37.799999999999997</v>
      </c>
      <c r="Z386" s="152">
        <v>1962</v>
      </c>
      <c r="AA386" s="150">
        <v>245.2</v>
      </c>
      <c r="AC386" s="151">
        <v>7.58</v>
      </c>
      <c r="AD386" s="149">
        <v>2767.1</v>
      </c>
      <c r="AE386" s="150">
        <v>276.7</v>
      </c>
      <c r="AF386" s="153">
        <v>6.38</v>
      </c>
      <c r="AH386" s="174">
        <f t="shared" si="17"/>
        <v>0.47021943573667713</v>
      </c>
      <c r="AI386" s="174"/>
      <c r="AJ386" s="186"/>
      <c r="AK386" s="174">
        <f>(($AK$2+Y386*Лист1!$B$7^2*Лист1!$G$8/100)/(AA386/10^6)+$AK$3/(AE386/10^6))/1000/($Q386*IF(Лист1!$J$19="да",1/1.05,1))</f>
        <v>9.435359008290746E-2</v>
      </c>
      <c r="AL386" s="24"/>
      <c r="AM386" s="186"/>
      <c r="AN386" s="174">
        <f>(($AK$2+Y386*Лист1!$B$7^2*Лист1!$G$8/100)/(AA386/10^6)+$AK$3/(AE386/10^6))/1000/($Q386*IF(Лист1!$J$19="да",1/1.05,1))</f>
        <v>9.435359008290746E-2</v>
      </c>
      <c r="AO386" s="24"/>
      <c r="AP386" s="186"/>
      <c r="AQ386" s="174">
        <f>MAX((5/384*($AQ$2+$Y386/100)*$D$17^4/(2.06*10^8*$Z386/10^8))/($D$17/300)*INDEX(Лист1!$L$34:$L$38,MATCH(Лист1!$B$8,Лист1!$I$34:$I$38,0),1),(5/384*($AQ$3)*$D$17^4/(2.06*10^8*$AD386/10^8))/($D$17/200))</f>
        <v>0.18537899706065733</v>
      </c>
      <c r="AR386" s="174"/>
      <c r="AS386" s="175"/>
      <c r="AT386" s="174">
        <f>MAX((5/384*($AT$2+$Y386/100)*$D$17^4/(2.06*10^8*$Z386/10^8))/($D$17/300)*INDEX(Лист1!$L$34:$L$38,MATCH(Лист1!$B$8,Лист1!$I$34:$I$38,0),1),(5/384*($AT$3)*$D$17^4/(2.06*10^8*$AD386/10^8))/($D$17/200))</f>
        <v>9.7699741694130232E-2</v>
      </c>
      <c r="AU386" s="174"/>
      <c r="AV386" s="174">
        <f>IF(OR(MAX(AH386,AQ386)&gt;1,AK386&gt;Лист1!$B$20,N386="-"),999999999,Y386*Лист1!$B$7+0.0001*O386)</f>
        <v>226.83829999999998</v>
      </c>
      <c r="AX386" s="174">
        <f>IF(OR(MAX(AH386,AT386)&gt;1,AN386&gt;Лист1!$B$20,N386="-"),999999999,Y386*Лист1!$B$7+0.0001*O386)</f>
        <v>226.83829999999998</v>
      </c>
    </row>
    <row r="387" spans="14:50" ht="16.5" thickBot="1" x14ac:dyDescent="0.3">
      <c r="O387">
        <f t="shared" si="18"/>
        <v>384</v>
      </c>
      <c r="P387" s="211" t="s">
        <v>296</v>
      </c>
      <c r="Q387" s="211">
        <v>340</v>
      </c>
      <c r="R387" s="154" t="s">
        <v>391</v>
      </c>
      <c r="S387" s="148">
        <v>200</v>
      </c>
      <c r="T387" s="148">
        <v>200</v>
      </c>
      <c r="X387" s="148">
        <v>54.8</v>
      </c>
      <c r="Y387" s="149">
        <v>43</v>
      </c>
      <c r="Z387" s="152">
        <v>2199</v>
      </c>
      <c r="AA387" s="150">
        <v>274.89999999999998</v>
      </c>
      <c r="AC387" s="151">
        <v>7.53</v>
      </c>
      <c r="AD387" s="149">
        <v>3104.3</v>
      </c>
      <c r="AE387" s="150">
        <v>310.39999999999998</v>
      </c>
      <c r="AF387" s="153">
        <v>6.33</v>
      </c>
      <c r="AH387" s="174">
        <f t="shared" si="17"/>
        <v>0.47393364928909953</v>
      </c>
      <c r="AI387" s="174"/>
      <c r="AJ387" s="186"/>
      <c r="AK387" s="174">
        <f>(($AK$2+Y387*Лист1!$B$7^2*Лист1!$G$8/100)/(AA387/10^6)+$AK$3/(AE387/10^6))/1000/($Q387*IF(Лист1!$J$19="да",1/1.05,1))</f>
        <v>8.6638834054354102E-2</v>
      </c>
      <c r="AL387" s="24"/>
      <c r="AM387" s="186"/>
      <c r="AN387" s="174">
        <f>(($AK$2+Y387*Лист1!$B$7^2*Лист1!$G$8/100)/(AA387/10^6)+$AK$3/(AE387/10^6))/1000/($Q387*IF(Лист1!$J$19="да",1/1.05,1))</f>
        <v>8.6638834054354102E-2</v>
      </c>
      <c r="AO387" s="24"/>
      <c r="AP387" s="186"/>
      <c r="AQ387" s="174">
        <f>MAX((5/384*($AQ$2+$Y387/100)*$D$17^4/(2.06*10^8*$Z387/10^8))/($D$17/300)*INDEX(Лист1!$L$34:$L$38,MATCH(Лист1!$B$8,Лист1!$I$34:$I$38,0),1),(5/384*($AQ$3)*$D$17^4/(2.06*10^8*$AD387/10^8))/($D$17/200))</f>
        <v>0.17508510046490683</v>
      </c>
      <c r="AR387" s="174"/>
      <c r="AS387" s="175"/>
      <c r="AT387" s="174">
        <f>MAX((5/384*($AT$2+$Y387/100)*$D$17^4/(2.06*10^8*$Z387/10^8))/($D$17/300)*INDEX(Лист1!$L$34:$L$38,MATCH(Лист1!$B$8,Лист1!$I$34:$I$38,0),1),(5/384*($AT$3)*$D$17^4/(2.06*10^8*$AD387/10^8))/($D$17/200))</f>
        <v>9.6855587491225054E-2</v>
      </c>
      <c r="AU387" s="174"/>
      <c r="AV387" s="174">
        <f>IF(OR(MAX(AH387,AQ387)&gt;1,AK387&gt;Лист1!$B$20,N387="-"),999999999,Y387*Лист1!$B$7+0.0001*O387)</f>
        <v>258.03840000000002</v>
      </c>
      <c r="AX387" s="174">
        <f>IF(OR(MAX(AH387,AT387)&gt;1,AN387&gt;Лист1!$B$20,N387="-"),999999999,Y387*Лист1!$B$7+0.0001*O387)</f>
        <v>258.03840000000002</v>
      </c>
    </row>
    <row r="388" spans="14:50" ht="16.5" thickBot="1" x14ac:dyDescent="0.3">
      <c r="N388" t="s">
        <v>344</v>
      </c>
      <c r="O388">
        <f t="shared" si="18"/>
        <v>385</v>
      </c>
      <c r="P388" s="211" t="s">
        <v>296</v>
      </c>
      <c r="Q388" s="211">
        <v>340</v>
      </c>
      <c r="R388" s="154" t="s">
        <v>392</v>
      </c>
      <c r="S388" s="148">
        <v>200</v>
      </c>
      <c r="T388" s="148">
        <v>200</v>
      </c>
      <c r="X388" s="148">
        <v>61.3</v>
      </c>
      <c r="Y388" s="149">
        <v>48.1</v>
      </c>
      <c r="Z388" s="152">
        <v>2436</v>
      </c>
      <c r="AA388" s="150">
        <v>303.3</v>
      </c>
      <c r="AC388" s="151">
        <v>7.48</v>
      </c>
      <c r="AD388" s="149">
        <v>3424</v>
      </c>
      <c r="AE388" s="150">
        <v>342.3</v>
      </c>
      <c r="AF388" s="153">
        <v>6.28</v>
      </c>
      <c r="AH388" s="174">
        <f t="shared" si="17"/>
        <v>0.4777070063694267</v>
      </c>
      <c r="AI388" s="174"/>
      <c r="AJ388" s="186"/>
      <c r="AK388" s="174">
        <f>(($AK$2+Y388*Лист1!$B$7^2*Лист1!$G$8/100)/(AA388/10^6)+$AK$3/(AE388/10^6))/1000/($Q388*IF(Лист1!$J$19="да",1/1.05,1))</f>
        <v>8.0770009066113715E-2</v>
      </c>
      <c r="AL388" s="24"/>
      <c r="AM388" s="186"/>
      <c r="AN388" s="174">
        <f>(($AK$2+Y388*Лист1!$B$7^2*Лист1!$G$8/100)/(AA388/10^6)+$AK$3/(AE388/10^6))/1000/($Q388*IF(Лист1!$J$19="да",1/1.05,1))</f>
        <v>8.0770009066113715E-2</v>
      </c>
      <c r="AO388" s="24"/>
      <c r="AP388" s="186"/>
      <c r="AQ388" s="174">
        <f>MAX((5/384*($AQ$2+$Y388/100)*$D$17^4/(2.06*10^8*$Z388/10^8))/($D$17/300)*INDEX(Лист1!$L$34:$L$38,MATCH(Лист1!$B$8,Лист1!$I$34:$I$38,0),1),(5/384*($AQ$3)*$D$17^4/(2.06*10^8*$AD388/10^8))/($D$17/200))</f>
        <v>0.16662606413506148</v>
      </c>
      <c r="AR388" s="174"/>
      <c r="AS388" s="175"/>
      <c r="AT388" s="174">
        <f>MAX((5/384*($AT$2+$Y388/100)*$D$17^4/(2.06*10^8*$Z388/10^8))/($D$17/300)*INDEX(Лист1!$L$34:$L$38,MATCH(Лист1!$B$8,Лист1!$I$34:$I$38,0),1),(5/384*($AT$3)*$D$17^4/(2.06*10^8*$AD388/10^8))/($D$17/200))</f>
        <v>9.6007550576306874E-2</v>
      </c>
      <c r="AU388" s="174"/>
      <c r="AV388" s="174">
        <f>IF(OR(MAX(AH388,AQ388)&gt;1,AK388&gt;Лист1!$B$20,N388="-"),999999999,Y388*Лист1!$B$7+0.0001*O388)</f>
        <v>999999999</v>
      </c>
      <c r="AX388" s="174">
        <f>IF(OR(MAX(AH388,AT388)&gt;1,AN388&gt;Лист1!$B$20,N388="-"),999999999,Y388*Лист1!$B$7+0.0001*O388)</f>
        <v>999999999</v>
      </c>
    </row>
    <row r="389" spans="14:50" ht="16.5" thickBot="1" x14ac:dyDescent="0.3">
      <c r="O389">
        <f t="shared" si="18"/>
        <v>386</v>
      </c>
      <c r="P389" s="211" t="s">
        <v>296</v>
      </c>
      <c r="Q389" s="211">
        <v>340</v>
      </c>
      <c r="R389" s="154" t="s">
        <v>393</v>
      </c>
      <c r="S389" s="148">
        <v>200</v>
      </c>
      <c r="T389" s="148">
        <v>200</v>
      </c>
      <c r="X389" s="148">
        <v>67.7</v>
      </c>
      <c r="Y389" s="149">
        <v>53.1</v>
      </c>
      <c r="Z389" s="152">
        <v>2211.6999999999998</v>
      </c>
      <c r="AA389" s="150">
        <v>330.4</v>
      </c>
      <c r="AC389" s="151">
        <v>7.43</v>
      </c>
      <c r="AD389" s="149">
        <v>3726.7</v>
      </c>
      <c r="AE389" s="150">
        <v>372.4</v>
      </c>
      <c r="AF389" s="153">
        <v>6.23</v>
      </c>
      <c r="AH389" s="174">
        <f t="shared" ref="AH389:AH413" si="19">MAX($D$18*100/$AC389,$D$17*100/$AF389)/200</f>
        <v>0.4815409309791332</v>
      </c>
      <c r="AI389" s="174"/>
      <c r="AJ389" s="186"/>
      <c r="AK389" s="174">
        <f>(($AK$2+Y389*Лист1!$B$7^2*Лист1!$G$8/100)/(AA389/10^6)+$AK$3/(AE389/10^6))/1000/($Q389*IF(Лист1!$J$19="да",1/1.05,1))</f>
        <v>7.6192547362620711E-2</v>
      </c>
      <c r="AL389" s="24"/>
      <c r="AM389" s="186"/>
      <c r="AN389" s="174">
        <f>(($AK$2+Y389*Лист1!$B$7^2*Лист1!$G$8/100)/(AA389/10^6)+$AK$3/(AE389/10^6))/1000/($Q389*IF(Лист1!$J$19="да",1/1.05,1))</f>
        <v>7.6192547362620711E-2</v>
      </c>
      <c r="AO389" s="24"/>
      <c r="AP389" s="186"/>
      <c r="AQ389" s="174">
        <f>MAX((5/384*($AQ$2+$Y389/100)*$D$17^4/(2.06*10^8*$Z389/10^8))/($D$17/300)*INDEX(Лист1!$L$34:$L$38,MATCH(Лист1!$B$8,Лист1!$I$34:$I$38,0),1),(5/384*($AQ$3)*$D$17^4/(2.06*10^8*$AD389/10^8))/($D$17/200))</f>
        <v>0.19278403995345147</v>
      </c>
      <c r="AR389" s="174"/>
      <c r="AS389" s="175"/>
      <c r="AT389" s="174">
        <f>MAX((5/384*($AT$2+$Y389/100)*$D$17^4/(2.06*10^8*$Z389/10^8))/($D$17/300)*INDEX(Лист1!$L$34:$L$38,MATCH(Лист1!$B$8,Лист1!$I$34:$I$38,0),1),(5/384*($AT$3)*$D$17^4/(2.06*10^8*$AD389/10^8))/($D$17/200))</f>
        <v>0.1150037356494653</v>
      </c>
      <c r="AU389" s="174"/>
      <c r="AV389" s="174">
        <f>IF(OR(MAX(AH389,AQ389)&gt;1,AK389&gt;Лист1!$B$20,N389="-"),999999999,Y389*Лист1!$B$7+0.0001*O389)</f>
        <v>318.6386</v>
      </c>
      <c r="AX389" s="174">
        <f>IF(OR(MAX(AH389,AT389)&gt;1,AN389&gt;Лист1!$B$20,N389="-"),999999999,Y389*Лист1!$B$7+0.0001*O389)</f>
        <v>318.6386</v>
      </c>
    </row>
    <row r="390" spans="14:50" ht="16.5" thickBot="1" x14ac:dyDescent="0.3">
      <c r="O390">
        <f t="shared" si="18"/>
        <v>387</v>
      </c>
      <c r="P390" s="211" t="s">
        <v>296</v>
      </c>
      <c r="Q390" s="211">
        <v>340</v>
      </c>
      <c r="R390" s="154" t="s">
        <v>394</v>
      </c>
      <c r="S390" s="148">
        <v>300</v>
      </c>
      <c r="T390" s="148">
        <v>300</v>
      </c>
      <c r="X390" s="148">
        <v>75.8</v>
      </c>
      <c r="Y390" s="149">
        <v>59.5</v>
      </c>
      <c r="Z390" s="152">
        <v>5069</v>
      </c>
      <c r="AA390" s="150">
        <v>510</v>
      </c>
      <c r="AC390" s="151">
        <v>11.2</v>
      </c>
      <c r="AD390" s="149">
        <v>9512</v>
      </c>
      <c r="AE390" s="150">
        <v>634</v>
      </c>
      <c r="AF390" s="153">
        <v>8.1999999999999993</v>
      </c>
      <c r="AH390" s="174">
        <f t="shared" si="19"/>
        <v>0.36585365853658536</v>
      </c>
      <c r="AI390" s="174"/>
      <c r="AJ390" s="186"/>
      <c r="AK390" s="174">
        <f>(($AK$2+Y390*Лист1!$B$7^2*Лист1!$G$8/100)/(AA390/10^6)+$AK$3/(AE390/10^6))/1000/($Q390*IF(Лист1!$J$19="да",1/1.05,1))</f>
        <v>4.89508294267142E-2</v>
      </c>
      <c r="AL390" s="24"/>
      <c r="AM390" s="186"/>
      <c r="AN390" s="174">
        <f>(($AK$2+Y390*Лист1!$B$7^2*Лист1!$G$8/100)/(AA390/10^6)+$AK$3/(AE390/10^6))/1000/($Q390*IF(Лист1!$J$19="да",1/1.05,1))</f>
        <v>4.89508294267142E-2</v>
      </c>
      <c r="AO390" s="24"/>
      <c r="AP390" s="186"/>
      <c r="AQ390" s="174">
        <f>MAX((5/384*($AQ$2+$Y390/100)*$D$17^4/(2.06*10^8*$Z390/10^8))/($D$17/300)*INDEX(Лист1!$L$34:$L$38,MATCH(Лист1!$B$8,Лист1!$I$34:$I$38,0),1),(5/384*($AQ$3)*$D$17^4/(2.06*10^8*$AD390/10^8))/($D$17/200))</f>
        <v>8.9286654842781282E-2</v>
      </c>
      <c r="AR390" s="174"/>
      <c r="AS390" s="175"/>
      <c r="AT390" s="174">
        <f>MAX((5/384*($AT$2+$Y390/100)*$D$17^4/(2.06*10^8*$Z390/10^8))/($D$17/300)*INDEX(Лист1!$L$34:$L$38,MATCH(Лист1!$B$8,Лист1!$I$34:$I$38,0),1),(5/384*($AT$3)*$D$17^4/(2.06*10^8*$AD390/10^8))/($D$17/200))</f>
        <v>5.534964576226712E-2</v>
      </c>
      <c r="AU390" s="174"/>
      <c r="AV390" s="174">
        <f>IF(OR(MAX(AH390,AQ390)&gt;1,AK390&gt;Лист1!$B$20,N390="-"),999999999,Y390*Лист1!$B$7+0.0001*O390)</f>
        <v>357.03870000000001</v>
      </c>
      <c r="AX390" s="174">
        <f>IF(OR(MAX(AH390,AT390)&gt;1,AN390&gt;Лист1!$B$20,N390="-"),999999999,Y390*Лист1!$B$7+0.0001*O390)</f>
        <v>357.03870000000001</v>
      </c>
    </row>
    <row r="391" spans="14:50" ht="16.5" thickBot="1" x14ac:dyDescent="0.3">
      <c r="N391" t="s">
        <v>344</v>
      </c>
      <c r="O391">
        <f t="shared" si="18"/>
        <v>388</v>
      </c>
      <c r="P391" s="211" t="s">
        <v>296</v>
      </c>
      <c r="Q391" s="211">
        <v>340</v>
      </c>
      <c r="R391" s="154" t="s">
        <v>395</v>
      </c>
      <c r="S391" s="148">
        <v>300</v>
      </c>
      <c r="T391" s="148">
        <v>300</v>
      </c>
      <c r="X391" s="148">
        <v>84.7</v>
      </c>
      <c r="Y391" s="149">
        <v>66.5</v>
      </c>
      <c r="Z391" s="152">
        <v>5630</v>
      </c>
      <c r="AA391" s="150">
        <v>563</v>
      </c>
      <c r="AC391" s="151">
        <v>11.15</v>
      </c>
      <c r="AD391" s="149">
        <v>10527</v>
      </c>
      <c r="AE391" s="150">
        <v>702</v>
      </c>
      <c r="AF391" s="153">
        <v>8.15</v>
      </c>
      <c r="AH391" s="174">
        <f t="shared" si="19"/>
        <v>0.36809815950920244</v>
      </c>
      <c r="AI391" s="174"/>
      <c r="AJ391" s="186"/>
      <c r="AK391" s="174">
        <f>(($AK$2+Y391*Лист1!$B$7^2*Лист1!$G$8/100)/(AA391/10^6)+$AK$3/(AE391/10^6))/1000/($Q391*IF(Лист1!$J$19="да",1/1.05,1))</f>
        <v>4.5933391022191843E-2</v>
      </c>
      <c r="AL391" s="24"/>
      <c r="AM391" s="186"/>
      <c r="AN391" s="174">
        <f>(($AK$2+Y391*Лист1!$B$7^2*Лист1!$G$8/100)/(AA391/10^6)+$AK$3/(AE391/10^6))/1000/($Q391*IF(Лист1!$J$19="да",1/1.05,1))</f>
        <v>4.5933391022191843E-2</v>
      </c>
      <c r="AO391" s="24"/>
      <c r="AP391" s="186"/>
      <c r="AQ391" s="174">
        <f>MAX((5/384*($AQ$2+$Y391/100)*$D$17^4/(2.06*10^8*$Z391/10^8))/($D$17/300)*INDEX(Лист1!$L$34:$L$38,MATCH(Лист1!$B$8,Лист1!$I$34:$I$38,0),1),(5/384*($AQ$3)*$D$17^4/(2.06*10^8*$AD391/10^8))/($D$17/200))</f>
        <v>8.5482268188794425E-2</v>
      </c>
      <c r="AR391" s="174"/>
      <c r="AS391" s="175"/>
      <c r="AT391" s="174">
        <f>MAX((5/384*($AT$2+$Y391/100)*$D$17^4/(2.06*10^8*$Z391/10^8))/($D$17/300)*INDEX(Лист1!$L$34:$L$38,MATCH(Лист1!$B$8,Лист1!$I$34:$I$38,0),1),(5/384*($AT$3)*$D$17^4/(2.06*10^8*$AD391/10^8))/($D$17/200))</f>
        <v>5.4926904240459394E-2</v>
      </c>
      <c r="AU391" s="174"/>
      <c r="AV391" s="174">
        <f>IF(OR(MAX(AH391,AQ391)&gt;1,AK391&gt;Лист1!$B$20,N391="-"),999999999,Y391*Лист1!$B$7+0.0001*O391)</f>
        <v>999999999</v>
      </c>
      <c r="AX391" s="174">
        <f>IF(OR(MAX(AH391,AT391)&gt;1,AN391&gt;Лист1!$B$20,N391="-"),999999999,Y391*Лист1!$B$7+0.0001*O391)</f>
        <v>999999999</v>
      </c>
    </row>
    <row r="392" spans="14:50" ht="16.5" thickBot="1" x14ac:dyDescent="0.3">
      <c r="O392">
        <f t="shared" si="18"/>
        <v>389</v>
      </c>
      <c r="P392" s="211" t="s">
        <v>296</v>
      </c>
      <c r="Q392" s="211">
        <v>340</v>
      </c>
      <c r="R392" s="154" t="s">
        <v>396</v>
      </c>
      <c r="S392" s="148">
        <v>300</v>
      </c>
      <c r="T392" s="148">
        <v>300</v>
      </c>
      <c r="X392" s="148">
        <v>93.4</v>
      </c>
      <c r="Y392" s="149">
        <v>73.3</v>
      </c>
      <c r="Z392" s="152">
        <v>6143</v>
      </c>
      <c r="AA392" s="150">
        <v>614</v>
      </c>
      <c r="AC392" s="151">
        <v>11.1</v>
      </c>
      <c r="AD392" s="149">
        <v>11505</v>
      </c>
      <c r="AE392" s="150">
        <v>767</v>
      </c>
      <c r="AF392" s="153">
        <v>8.11</v>
      </c>
      <c r="AH392" s="174">
        <f t="shared" si="19"/>
        <v>0.3699136868064119</v>
      </c>
      <c r="AI392" s="174"/>
      <c r="AJ392" s="186"/>
      <c r="AK392" s="174">
        <f>(($AK$2+Y392*Лист1!$B$7^2*Лист1!$G$8/100)/(AA392/10^6)+$AK$3/(AE392/10^6))/1000/($Q392*IF(Лист1!$J$19="да",1/1.05,1))</f>
        <v>4.355327912778114E-2</v>
      </c>
      <c r="AL392" s="24"/>
      <c r="AM392" s="186"/>
      <c r="AN392" s="174">
        <f>(($AK$2+Y392*Лист1!$B$7^2*Лист1!$G$8/100)/(AA392/10^6)+$AK$3/(AE392/10^6))/1000/($Q392*IF(Лист1!$J$19="да",1/1.05,1))</f>
        <v>4.355327912778114E-2</v>
      </c>
      <c r="AO392" s="24"/>
      <c r="AP392" s="186"/>
      <c r="AQ392" s="174">
        <f>MAX((5/384*($AQ$2+$Y392/100)*$D$17^4/(2.06*10^8*$Z392/10^8))/($D$17/300)*INDEX(Лист1!$L$34:$L$38,MATCH(Лист1!$B$8,Лист1!$I$34:$I$38,0),1),(5/384*($AQ$3)*$D$17^4/(2.06*10^8*$AD392/10^8))/($D$17/200))</f>
        <v>8.2877602417464669E-2</v>
      </c>
      <c r="AR392" s="174"/>
      <c r="AS392" s="175"/>
      <c r="AT392" s="174">
        <f>MAX((5/384*($AT$2+$Y392/100)*$D$17^4/(2.06*10^8*$Z392/10^8))/($D$17/300)*INDEX(Лист1!$L$34:$L$38,MATCH(Лист1!$B$8,Лист1!$I$34:$I$38,0),1),(5/384*($AT$3)*$D$17^4/(2.06*10^8*$AD392/10^8))/($D$17/200))</f>
        <v>5.4873907312609341E-2</v>
      </c>
      <c r="AU392" s="174"/>
      <c r="AV392" s="174">
        <f>IF(OR(MAX(AH392,AQ392)&gt;1,AK392&gt;Лист1!$B$20,N392="-"),999999999,Y392*Лист1!$B$7+0.0001*O392)</f>
        <v>439.83889999999997</v>
      </c>
      <c r="AX392" s="174">
        <f>IF(OR(MAX(AH392,AT392)&gt;1,AN392&gt;Лист1!$B$20,N392="-"),999999999,Y392*Лист1!$B$7+0.0001*O392)</f>
        <v>439.83889999999997</v>
      </c>
    </row>
    <row r="393" spans="14:50" ht="16.5" thickBot="1" x14ac:dyDescent="0.3">
      <c r="N393" t="s">
        <v>344</v>
      </c>
      <c r="O393">
        <f t="shared" si="18"/>
        <v>390</v>
      </c>
      <c r="P393" s="211" t="s">
        <v>296</v>
      </c>
      <c r="Q393" s="211">
        <v>340</v>
      </c>
      <c r="R393" s="154" t="s">
        <v>397</v>
      </c>
      <c r="S393" s="148">
        <v>300</v>
      </c>
      <c r="T393" s="148">
        <v>300</v>
      </c>
      <c r="X393" s="148">
        <v>102</v>
      </c>
      <c r="Y393" s="149">
        <v>80.099999999999994</v>
      </c>
      <c r="Z393" s="152">
        <v>6634</v>
      </c>
      <c r="AA393" s="150">
        <v>663</v>
      </c>
      <c r="AC393" s="151">
        <v>11.05</v>
      </c>
      <c r="AD393" s="149">
        <v>12446</v>
      </c>
      <c r="AE393" s="150">
        <v>830</v>
      </c>
      <c r="AF393" s="153">
        <v>8.06</v>
      </c>
      <c r="AH393" s="174">
        <f t="shared" si="19"/>
        <v>0.37220843672456572</v>
      </c>
      <c r="AI393" s="174"/>
      <c r="AJ393" s="186"/>
      <c r="AK393" s="174">
        <f>(($AK$2+Y393*Лист1!$B$7^2*Лист1!$G$8/100)/(AA393/10^6)+$AK$3/(AE393/10^6))/1000/($Q393*IF(Лист1!$J$19="да",1/1.05,1))</f>
        <v>4.165866310373529E-2</v>
      </c>
      <c r="AL393" s="24"/>
      <c r="AM393" s="186"/>
      <c r="AN393" s="174">
        <f>(($AK$2+Y393*Лист1!$B$7^2*Лист1!$G$8/100)/(AA393/10^6)+$AK$3/(AE393/10^6))/1000/($Q393*IF(Лист1!$J$19="да",1/1.05,1))</f>
        <v>4.165866310373529E-2</v>
      </c>
      <c r="AO393" s="24"/>
      <c r="AP393" s="186"/>
      <c r="AQ393" s="174">
        <f>MAX((5/384*($AQ$2+$Y393/100)*$D$17^4/(2.06*10^8*$Z393/10^8))/($D$17/300)*INDEX(Лист1!$L$34:$L$38,MATCH(Лист1!$B$8,Лист1!$I$34:$I$38,0),1),(5/384*($AQ$3)*$D$17^4/(2.06*10^8*$AD393/10^8))/($D$17/200))</f>
        <v>8.0941973680744378E-2</v>
      </c>
      <c r="AR393" s="174"/>
      <c r="AS393" s="175"/>
      <c r="AT393" s="174">
        <f>MAX((5/384*($AT$2+$Y393/100)*$D$17^4/(2.06*10^8*$Z393/10^8))/($D$17/300)*INDEX(Лист1!$L$34:$L$38,MATCH(Лист1!$B$8,Лист1!$I$34:$I$38,0),1),(5/384*($AT$3)*$D$17^4/(2.06*10^8*$AD393/10^8))/($D$17/200))</f>
        <v>5.5010906597668378E-2</v>
      </c>
      <c r="AU393" s="174"/>
      <c r="AV393" s="174">
        <f>IF(OR(MAX(AH393,AQ393)&gt;1,AK393&gt;Лист1!$B$20,N393="-"),999999999,Y393*Лист1!$B$7+0.0001*O393)</f>
        <v>999999999</v>
      </c>
      <c r="AX393" s="174">
        <f>IF(OR(MAX(AH393,AT393)&gt;1,AN393&gt;Лист1!$B$20,N393="-"),999999999,Y393*Лист1!$B$7+0.0001*O393)</f>
        <v>999999999</v>
      </c>
    </row>
    <row r="394" spans="14:50" ht="16.5" thickBot="1" x14ac:dyDescent="0.3">
      <c r="O394">
        <f t="shared" si="18"/>
        <v>391</v>
      </c>
      <c r="P394" s="211" t="s">
        <v>296</v>
      </c>
      <c r="Q394" s="211">
        <v>340</v>
      </c>
      <c r="R394" s="154" t="s">
        <v>398</v>
      </c>
      <c r="S394" s="148">
        <v>300</v>
      </c>
      <c r="T394" s="148">
        <v>300</v>
      </c>
      <c r="X394" s="148">
        <v>111</v>
      </c>
      <c r="Y394" s="149">
        <v>86.8</v>
      </c>
      <c r="Z394" s="152">
        <v>7104</v>
      </c>
      <c r="AA394" s="150">
        <v>710</v>
      </c>
      <c r="AC394" s="151">
        <v>11</v>
      </c>
      <c r="AD394" s="149">
        <v>13351</v>
      </c>
      <c r="AE394" s="150">
        <v>890</v>
      </c>
      <c r="AF394" s="153">
        <v>8.01</v>
      </c>
      <c r="AH394" s="174">
        <f t="shared" si="19"/>
        <v>0.37453183520599254</v>
      </c>
      <c r="AI394" s="174"/>
      <c r="AJ394" s="186"/>
      <c r="AK394" s="174">
        <f>(($AK$2+Y394*Лист1!$B$7^2*Лист1!$G$8/100)/(AA394/10^6)+$AK$3/(AE394/10^6))/1000/($Q394*IF(Лист1!$J$19="да",1/1.05,1))</f>
        <v>4.013121501257419E-2</v>
      </c>
      <c r="AL394" s="24"/>
      <c r="AM394" s="186"/>
      <c r="AN394" s="174">
        <f>(($AK$2+Y394*Лист1!$B$7^2*Лист1!$G$8/100)/(AA394/10^6)+$AK$3/(AE394/10^6))/1000/($Q394*IF(Лист1!$J$19="да",1/1.05,1))</f>
        <v>4.013121501257419E-2</v>
      </c>
      <c r="AO394" s="24"/>
      <c r="AP394" s="186"/>
      <c r="AQ394" s="174">
        <f>MAX((5/384*($AQ$2+$Y394/100)*$D$17^4/(2.06*10^8*$Z394/10^8))/($D$17/300)*INDEX(Лист1!$L$34:$L$38,MATCH(Лист1!$B$8,Лист1!$I$34:$I$38,0),1),(5/384*($AQ$3)*$D$17^4/(2.06*10^8*$AD394/10^8))/($D$17/200))</f>
        <v>7.9449804021254275E-2</v>
      </c>
      <c r="AR394" s="174"/>
      <c r="AS394" s="175"/>
      <c r="AT394" s="174">
        <f>MAX((5/384*($AT$2+$Y394/100)*$D$17^4/(2.06*10^8*$Z394/10^8))/($D$17/300)*INDEX(Лист1!$L$34:$L$38,MATCH(Лист1!$B$8,Лист1!$I$34:$I$38,0),1),(5/384*($AT$3)*$D$17^4/(2.06*10^8*$AD394/10^8))/($D$17/200))</f>
        <v>5.5234334000262411E-2</v>
      </c>
      <c r="AU394" s="174"/>
      <c r="AV394" s="174">
        <f>IF(OR(MAX(AH394,AQ394)&gt;1,AK394&gt;Лист1!$B$20,N394="-"),999999999,Y394*Лист1!$B$7+0.0001*O394)</f>
        <v>520.83909999999992</v>
      </c>
      <c r="AX394" s="174">
        <f>IF(OR(MAX(AH394,AT394)&gt;1,AN394&gt;Лист1!$B$20,N394="-"),999999999,Y394*Лист1!$B$7+0.0001*O394)</f>
        <v>520.83909999999992</v>
      </c>
    </row>
    <row r="395" spans="14:50" ht="16.5" thickBot="1" x14ac:dyDescent="0.3">
      <c r="N395" t="s">
        <v>344</v>
      </c>
      <c r="O395">
        <f t="shared" si="18"/>
        <v>392</v>
      </c>
      <c r="P395" s="211" t="s">
        <v>296</v>
      </c>
      <c r="Q395" s="211">
        <v>340</v>
      </c>
      <c r="R395" s="154" t="s">
        <v>399</v>
      </c>
      <c r="S395" s="148">
        <v>300</v>
      </c>
      <c r="T395" s="148">
        <v>300</v>
      </c>
      <c r="X395" s="148">
        <v>119</v>
      </c>
      <c r="Y395" s="149">
        <v>93.4</v>
      </c>
      <c r="Z395" s="152">
        <v>7553</v>
      </c>
      <c r="AA395" s="150">
        <v>755</v>
      </c>
      <c r="AC395" s="151">
        <v>10.95</v>
      </c>
      <c r="AD395" s="149">
        <v>12482</v>
      </c>
      <c r="AE395" s="150">
        <v>945</v>
      </c>
      <c r="AF395" s="153">
        <v>7.96</v>
      </c>
      <c r="AH395" s="174">
        <f t="shared" si="19"/>
        <v>0.37688442211055273</v>
      </c>
      <c r="AI395" s="174"/>
      <c r="AJ395" s="186"/>
      <c r="AK395" s="174">
        <f>(($AK$2+Y395*Лист1!$B$7^2*Лист1!$G$8/100)/(AA395/10^6)+$AK$3/(AE395/10^6))/1000/($Q395*IF(Лист1!$J$19="да",1/1.05,1))</f>
        <v>3.8916368084259606E-2</v>
      </c>
      <c r="AL395" s="24"/>
      <c r="AM395" s="186"/>
      <c r="AN395" s="174">
        <f>(($AK$2+Y395*Лист1!$B$7^2*Лист1!$G$8/100)/(AA395/10^6)+$AK$3/(AE395/10^6))/1000/($Q395*IF(Лист1!$J$19="да",1/1.05,1))</f>
        <v>3.8916368084259606E-2</v>
      </c>
      <c r="AO395" s="24"/>
      <c r="AP395" s="186"/>
      <c r="AQ395" s="174">
        <f>MAX((5/384*($AQ$2+$Y395/100)*$D$17^4/(2.06*10^8*$Z395/10^8))/($D$17/300)*INDEX(Лист1!$L$34:$L$38,MATCH(Лист1!$B$8,Лист1!$I$34:$I$38,0),1),(5/384*($AQ$3)*$D$17^4/(2.06*10^8*$AD395/10^8))/($D$17/200))</f>
        <v>7.8305861877039792E-2</v>
      </c>
      <c r="AR395" s="174"/>
      <c r="AS395" s="175"/>
      <c r="AT395" s="174">
        <f>MAX((5/384*($AT$2+$Y395/100)*$D$17^4/(2.06*10^8*$Z395/10^8))/($D$17/300)*INDEX(Лист1!$L$34:$L$38,MATCH(Лист1!$B$8,Лист1!$I$34:$I$38,0),1),(5/384*($AT$3)*$D$17^4/(2.06*10^8*$AD395/10^8))/($D$17/200))</f>
        <v>5.5529918671806608E-2</v>
      </c>
      <c r="AU395" s="174"/>
      <c r="AV395" s="174">
        <f>IF(OR(MAX(AH395,AQ395)&gt;1,AK395&gt;Лист1!$B$20,N395="-"),999999999,Y395*Лист1!$B$7+0.0001*O395)</f>
        <v>999999999</v>
      </c>
      <c r="AX395" s="174">
        <f>IF(OR(MAX(AH395,AT395)&gt;1,AN395&gt;Лист1!$B$20,N395="-"),999999999,Y395*Лист1!$B$7+0.0001*O395)</f>
        <v>999999999</v>
      </c>
    </row>
    <row r="396" spans="14:50" ht="16.5" thickBot="1" x14ac:dyDescent="0.3">
      <c r="N396" t="s">
        <v>344</v>
      </c>
      <c r="O396">
        <f t="shared" si="18"/>
        <v>393</v>
      </c>
      <c r="P396" s="211" t="s">
        <v>296</v>
      </c>
      <c r="Q396" s="211">
        <v>340</v>
      </c>
      <c r="R396" s="154" t="s">
        <v>400</v>
      </c>
      <c r="S396" s="148">
        <v>300</v>
      </c>
      <c r="T396" s="148">
        <v>300</v>
      </c>
      <c r="X396" s="148">
        <v>127</v>
      </c>
      <c r="Y396" s="149">
        <v>99.8</v>
      </c>
      <c r="Z396" s="152">
        <v>7983</v>
      </c>
      <c r="AA396" s="150">
        <v>798</v>
      </c>
      <c r="AC396" s="151">
        <v>10.9</v>
      </c>
      <c r="AD396" s="149">
        <v>15054</v>
      </c>
      <c r="AE396" s="150">
        <v>1004</v>
      </c>
      <c r="AF396" s="153">
        <v>7.92</v>
      </c>
      <c r="AH396" s="174">
        <f t="shared" si="19"/>
        <v>0.37878787878787884</v>
      </c>
      <c r="AI396" s="174"/>
      <c r="AJ396" s="186"/>
      <c r="AK396" s="174">
        <f>(($AK$2+Y396*Лист1!$B$7^2*Лист1!$G$8/100)/(AA396/10^6)+$AK$3/(AE396/10^6))/1000/($Q396*IF(Лист1!$J$19="да",1/1.05,1))</f>
        <v>3.7814976699796159E-2</v>
      </c>
      <c r="AL396" s="24"/>
      <c r="AM396" s="186"/>
      <c r="AN396" s="174">
        <f>(($AK$2+Y396*Лист1!$B$7^2*Лист1!$G$8/100)/(AA396/10^6)+$AK$3/(AE396/10^6))/1000/($Q396*IF(Лист1!$J$19="да",1/1.05,1))</f>
        <v>3.7814976699796159E-2</v>
      </c>
      <c r="AO396" s="24"/>
      <c r="AP396" s="186"/>
      <c r="AQ396" s="174">
        <f>MAX((5/384*($AQ$2+$Y396/100)*$D$17^4/(2.06*10^8*$Z396/10^8))/($D$17/300)*INDEX(Лист1!$L$34:$L$38,MATCH(Лист1!$B$8,Лист1!$I$34:$I$38,0),1),(5/384*($AQ$3)*$D$17^4/(2.06*10^8*$AD396/10^8))/($D$17/200))</f>
        <v>7.7371635599435218E-2</v>
      </c>
      <c r="AR396" s="174"/>
      <c r="AS396" s="175"/>
      <c r="AT396" s="174">
        <f>MAX((5/384*($AT$2+$Y396/100)*$D$17^4/(2.06*10^8*$Z396/10^8))/($D$17/300)*INDEX(Лист1!$L$34:$L$38,MATCH(Лист1!$B$8,Лист1!$I$34:$I$38,0),1),(5/384*($AT$3)*$D$17^4/(2.06*10^8*$AD396/10^8))/($D$17/200))</f>
        <v>5.5822506321077936E-2</v>
      </c>
      <c r="AU396" s="174"/>
      <c r="AV396" s="174">
        <f>IF(OR(MAX(AH396,AQ396)&gt;1,AK396&gt;Лист1!$B$20,N396="-"),999999999,Y396*Лист1!$B$7+0.0001*O396)</f>
        <v>999999999</v>
      </c>
      <c r="AX396" s="174">
        <f>IF(OR(MAX(AH396,AT396)&gt;1,AN396&gt;Лист1!$B$20,N396="-"),999999999,Y396*Лист1!$B$7+0.0001*O396)</f>
        <v>999999999</v>
      </c>
    </row>
    <row r="397" spans="14:50" ht="16.5" thickBot="1" x14ac:dyDescent="0.3">
      <c r="N397" t="s">
        <v>344</v>
      </c>
      <c r="O397">
        <f t="shared" si="18"/>
        <v>394</v>
      </c>
      <c r="P397" s="211" t="s">
        <v>296</v>
      </c>
      <c r="Q397" s="211">
        <v>340</v>
      </c>
      <c r="R397" s="154" t="s">
        <v>401</v>
      </c>
      <c r="S397" s="148">
        <v>320</v>
      </c>
      <c r="T397" s="148">
        <v>320</v>
      </c>
      <c r="X397" s="148">
        <v>75.8</v>
      </c>
      <c r="Y397" s="149">
        <v>59.5</v>
      </c>
      <c r="Z397" s="152">
        <v>4248</v>
      </c>
      <c r="AA397" s="150">
        <v>472</v>
      </c>
      <c r="AC397" s="151">
        <v>11.7</v>
      </c>
      <c r="AD397" s="149">
        <v>10341</v>
      </c>
      <c r="AE397" s="150">
        <v>646</v>
      </c>
      <c r="AF397" s="153">
        <v>7.49</v>
      </c>
      <c r="AH397" s="174">
        <f t="shared" si="19"/>
        <v>0.40053404539385845</v>
      </c>
      <c r="AI397" s="174"/>
      <c r="AJ397" s="186"/>
      <c r="AK397" s="174">
        <f>(($AK$2+Y397*Лист1!$B$7^2*Лист1!$G$8/100)/(AA397/10^6)+$AK$3/(AE397/10^6))/1000/($Q397*IF(Лист1!$J$19="да",1/1.05,1))</f>
        <v>5.089834320838333E-2</v>
      </c>
      <c r="AL397" s="24"/>
      <c r="AM397" s="186"/>
      <c r="AN397" s="174">
        <f>(($AK$2+Y397*Лист1!$B$7^2*Лист1!$G$8/100)/(AA397/10^6)+$AK$3/(AE397/10^6))/1000/($Q397*IF(Лист1!$J$19="да",1/1.05,1))</f>
        <v>5.089834320838333E-2</v>
      </c>
      <c r="AO397" s="24"/>
      <c r="AP397" s="186"/>
      <c r="AQ397" s="174">
        <f>MAX((5/384*($AQ$2+$Y397/100)*$D$17^4/(2.06*10^8*$Z397/10^8))/($D$17/300)*INDEX(Лист1!$L$34:$L$38,MATCH(Лист1!$B$8,Лист1!$I$34:$I$38,0),1),(5/384*($AQ$3)*$D$17^4/(2.06*10^8*$AD397/10^8))/($D$17/200))</f>
        <v>0.10654285626131316</v>
      </c>
      <c r="AR397" s="174"/>
      <c r="AS397" s="175"/>
      <c r="AT397" s="174">
        <f>MAX((5/384*($AT$2+$Y397/100)*$D$17^4/(2.06*10^8*$Z397/10^8))/($D$17/300)*INDEX(Лист1!$L$34:$L$38,MATCH(Лист1!$B$8,Лист1!$I$34:$I$38,0),1),(5/384*($AT$3)*$D$17^4/(2.06*10^8*$AD397/10^8))/($D$17/200))</f>
        <v>6.6046928994569695E-2</v>
      </c>
      <c r="AU397" s="174"/>
      <c r="AV397" s="174">
        <f>IF(OR(MAX(AH397,AQ397)&gt;1,AK397&gt;Лист1!$B$20,N397="-"),999999999,Y397*Лист1!$B$7+0.0001*O397)</f>
        <v>999999999</v>
      </c>
      <c r="AX397" s="174">
        <f>IF(OR(MAX(AH397,AT397)&gt;1,AN397&gt;Лист1!$B$20,N397="-"),999999999,Y397*Лист1!$B$7+0.0001*O397)</f>
        <v>999999999</v>
      </c>
    </row>
    <row r="398" spans="14:50" ht="16.5" thickBot="1" x14ac:dyDescent="0.3">
      <c r="N398" t="s">
        <v>344</v>
      </c>
      <c r="O398">
        <f t="shared" si="18"/>
        <v>395</v>
      </c>
      <c r="P398" s="211" t="s">
        <v>296</v>
      </c>
      <c r="Q398" s="211">
        <v>340</v>
      </c>
      <c r="R398" s="154" t="s">
        <v>402</v>
      </c>
      <c r="S398" s="148">
        <v>320</v>
      </c>
      <c r="T398" s="148">
        <v>320</v>
      </c>
      <c r="X398" s="148">
        <v>93.4</v>
      </c>
      <c r="Y398" s="149">
        <v>73.3</v>
      </c>
      <c r="Z398" s="152">
        <v>5111</v>
      </c>
      <c r="AA398" s="150">
        <v>568</v>
      </c>
      <c r="AC398" s="151">
        <v>11.6</v>
      </c>
      <c r="AD398" s="149">
        <v>12506</v>
      </c>
      <c r="AE398" s="150">
        <v>782</v>
      </c>
      <c r="AF398" s="153">
        <v>7.4</v>
      </c>
      <c r="AH398" s="174">
        <f t="shared" si="19"/>
        <v>0.40540540540540543</v>
      </c>
      <c r="AI398" s="174"/>
      <c r="AJ398" s="186"/>
      <c r="AK398" s="174">
        <f>(($AK$2+Y398*Лист1!$B$7^2*Лист1!$G$8/100)/(AA398/10^6)+$AK$3/(AE398/10^6))/1000/($Q398*IF(Лист1!$J$19="да",1/1.05,1))</f>
        <v>4.5414693966522611E-2</v>
      </c>
      <c r="AL398" s="24"/>
      <c r="AM398" s="186"/>
      <c r="AN398" s="174">
        <f>(($AK$2+Y398*Лист1!$B$7^2*Лист1!$G$8/100)/(AA398/10^6)+$AK$3/(AE398/10^6))/1000/($Q398*IF(Лист1!$J$19="да",1/1.05,1))</f>
        <v>4.5414693966522611E-2</v>
      </c>
      <c r="AO398" s="24"/>
      <c r="AP398" s="186"/>
      <c r="AQ398" s="174">
        <f>MAX((5/384*($AQ$2+$Y398/100)*$D$17^4/(2.06*10^8*$Z398/10^8))/($D$17/300)*INDEX(Лист1!$L$34:$L$38,MATCH(Лист1!$B$8,Лист1!$I$34:$I$38,0),1),(5/384*($AQ$3)*$D$17^4/(2.06*10^8*$AD398/10^8))/($D$17/200))</f>
        <v>9.9612035149772141E-2</v>
      </c>
      <c r="AR398" s="174"/>
      <c r="AS398" s="175"/>
      <c r="AT398" s="174">
        <f>MAX((5/384*($AT$2+$Y398/100)*$D$17^4/(2.06*10^8*$Z398/10^8))/($D$17/300)*INDEX(Лист1!$L$34:$L$38,MATCH(Лист1!$B$8,Лист1!$I$34:$I$38,0),1),(5/384*($AT$3)*$D$17^4/(2.06*10^8*$AD398/10^8))/($D$17/200))</f>
        <v>6.5953905815174962E-2</v>
      </c>
      <c r="AU398" s="174"/>
      <c r="AV398" s="174">
        <f>IF(OR(MAX(AH398,AQ398)&gt;1,AK398&gt;Лист1!$B$20,N398="-"),999999999,Y398*Лист1!$B$7+0.0001*O398)</f>
        <v>999999999</v>
      </c>
      <c r="AX398" s="174">
        <f>IF(OR(MAX(AH398,AT398)&gt;1,AN398&gt;Лист1!$B$20,N398="-"),999999999,Y398*Лист1!$B$7+0.0001*O398)</f>
        <v>999999999</v>
      </c>
    </row>
    <row r="399" spans="14:50" ht="16.5" thickBot="1" x14ac:dyDescent="0.3">
      <c r="N399" t="s">
        <v>344</v>
      </c>
      <c r="O399">
        <f t="shared" si="18"/>
        <v>396</v>
      </c>
      <c r="P399" s="211" t="s">
        <v>296</v>
      </c>
      <c r="Q399" s="211">
        <v>340</v>
      </c>
      <c r="R399" s="154" t="s">
        <v>403</v>
      </c>
      <c r="S399" s="148">
        <v>320</v>
      </c>
      <c r="T399" s="148">
        <v>320</v>
      </c>
      <c r="X399" s="148">
        <v>111</v>
      </c>
      <c r="Y399" s="149">
        <v>86.8</v>
      </c>
      <c r="Z399" s="152">
        <v>5899</v>
      </c>
      <c r="AA399" s="150">
        <v>655</v>
      </c>
      <c r="AC399" s="151">
        <v>11.5</v>
      </c>
      <c r="AD399" s="149">
        <v>14511</v>
      </c>
      <c r="AE399" s="150">
        <v>907</v>
      </c>
      <c r="AF399" s="153">
        <v>7.31</v>
      </c>
      <c r="AH399" s="174">
        <f t="shared" si="19"/>
        <v>0.41039671682626538</v>
      </c>
      <c r="AI399" s="174"/>
      <c r="AJ399" s="186"/>
      <c r="AK399" s="174">
        <f>(($AK$2+Y399*Лист1!$B$7^2*Лист1!$G$8/100)/(AA399/10^6)+$AK$3/(AE399/10^6))/1000/($Q399*IF(Лист1!$J$19="да",1/1.05,1))</f>
        <v>4.2028964640620378E-2</v>
      </c>
      <c r="AL399" s="24"/>
      <c r="AM399" s="186"/>
      <c r="AN399" s="174">
        <f>(($AK$2+Y399*Лист1!$B$7^2*Лист1!$G$8/100)/(AA399/10^6)+$AK$3/(AE399/10^6))/1000/($Q399*IF(Лист1!$J$19="да",1/1.05,1))</f>
        <v>4.2028964640620378E-2</v>
      </c>
      <c r="AO399" s="24"/>
      <c r="AP399" s="186"/>
      <c r="AQ399" s="174">
        <f>MAX((5/384*($AQ$2+$Y399/100)*$D$17^4/(2.06*10^8*$Z399/10^8))/($D$17/300)*INDEX(Лист1!$L$34:$L$38,MATCH(Лист1!$B$8,Лист1!$I$34:$I$38,0),1),(5/384*($AQ$3)*$D$17^4/(2.06*10^8*$AD399/10^8))/($D$17/200))</f>
        <v>9.5679167276994465E-2</v>
      </c>
      <c r="AR399" s="174"/>
      <c r="AS399" s="175"/>
      <c r="AT399" s="174">
        <f>MAX((5/384*($AT$2+$Y399/100)*$D$17^4/(2.06*10^8*$Z399/10^8))/($D$17/300)*INDEX(Лист1!$L$34:$L$38,MATCH(Лист1!$B$8,Лист1!$I$34:$I$38,0),1),(5/384*($AT$3)*$D$17^4/(2.06*10^8*$AD399/10^8))/($D$17/200))</f>
        <v>6.651715693132125E-2</v>
      </c>
      <c r="AU399" s="174"/>
      <c r="AV399" s="174">
        <f>IF(OR(MAX(AH399,AQ399)&gt;1,AK399&gt;Лист1!$B$20,N399="-"),999999999,Y399*Лист1!$B$7+0.0001*O399)</f>
        <v>999999999</v>
      </c>
      <c r="AX399" s="174">
        <f>IF(OR(MAX(AH399,AT399)&gt;1,AN399&gt;Лист1!$B$20,N399="-"),999999999,Y399*Лист1!$B$7+0.0001*O399)</f>
        <v>999999999</v>
      </c>
    </row>
    <row r="400" spans="14:50" ht="16.5" thickBot="1" x14ac:dyDescent="0.3">
      <c r="N400" t="s">
        <v>344</v>
      </c>
      <c r="O400">
        <f t="shared" si="18"/>
        <v>397</v>
      </c>
      <c r="P400" s="211" t="s">
        <v>296</v>
      </c>
      <c r="Q400" s="211">
        <v>340</v>
      </c>
      <c r="R400" s="154" t="s">
        <v>404</v>
      </c>
      <c r="S400" s="148">
        <v>320</v>
      </c>
      <c r="T400" s="148">
        <v>320</v>
      </c>
      <c r="X400" s="148">
        <v>127</v>
      </c>
      <c r="Y400" s="149">
        <v>99.8</v>
      </c>
      <c r="Z400" s="152">
        <v>6617</v>
      </c>
      <c r="AA400" s="150">
        <v>735</v>
      </c>
      <c r="AC400" s="151">
        <v>11.3</v>
      </c>
      <c r="AD400" s="149">
        <v>16359</v>
      </c>
      <c r="AE400" s="150">
        <v>1022</v>
      </c>
      <c r="AF400" s="153">
        <v>7.21</v>
      </c>
      <c r="AH400" s="174">
        <f t="shared" si="19"/>
        <v>0.41608876560332875</v>
      </c>
      <c r="AI400" s="174"/>
      <c r="AJ400" s="186"/>
      <c r="AK400" s="174">
        <f>(($AK$2+Y400*Лист1!$B$7^2*Лист1!$G$8/100)/(AA400/10^6)+$AK$3/(AE400/10^6))/1000/($Q400*IF(Лист1!$J$19="да",1/1.05,1))</f>
        <v>3.9743554653661931E-2</v>
      </c>
      <c r="AL400" s="24"/>
      <c r="AM400" s="186"/>
      <c r="AN400" s="174">
        <f>(($AK$2+Y400*Лист1!$B$7^2*Лист1!$G$8/100)/(AA400/10^6)+$AK$3/(AE400/10^6))/1000/($Q400*IF(Лист1!$J$19="да",1/1.05,1))</f>
        <v>3.9743554653661931E-2</v>
      </c>
      <c r="AO400" s="24"/>
      <c r="AP400" s="186"/>
      <c r="AQ400" s="174">
        <f>MAX((5/384*($AQ$2+$Y400/100)*$D$17^4/(2.06*10^8*$Z400/10^8))/($D$17/300)*INDEX(Лист1!$L$34:$L$38,MATCH(Лист1!$B$8,Лист1!$I$34:$I$38,0),1),(5/384*($AQ$3)*$D$17^4/(2.06*10^8*$AD400/10^8))/($D$17/200))</f>
        <v>9.3344078432868571E-2</v>
      </c>
      <c r="AR400" s="174"/>
      <c r="AS400" s="175"/>
      <c r="AT400" s="174">
        <f>MAX((5/384*($AT$2+$Y400/100)*$D$17^4/(2.06*10^8*$Z400/10^8))/($D$17/300)*INDEX(Лист1!$L$34:$L$38,MATCH(Лист1!$B$8,Лист1!$I$34:$I$38,0),1),(5/384*($AT$3)*$D$17^4/(2.06*10^8*$AD400/10^8))/($D$17/200))</f>
        <v>6.7346390805677059E-2</v>
      </c>
      <c r="AU400" s="174"/>
      <c r="AV400" s="174">
        <f>IF(OR(MAX(AH400,AQ400)&gt;1,AK400&gt;Лист1!$B$20,N400="-"),999999999,Y400*Лист1!$B$7+0.0001*O400)</f>
        <v>999999999</v>
      </c>
      <c r="AX400" s="174">
        <f>IF(OR(MAX(AH400,AT400)&gt;1,AN400&gt;Лист1!$B$20,N400="-"),999999999,Y400*Лист1!$B$7+0.0001*O400)</f>
        <v>999999999</v>
      </c>
    </row>
    <row r="401" spans="14:50" ht="16.5" thickBot="1" x14ac:dyDescent="0.3">
      <c r="N401" t="s">
        <v>344</v>
      </c>
      <c r="O401">
        <f t="shared" si="18"/>
        <v>398</v>
      </c>
      <c r="P401" s="211" t="s">
        <v>296</v>
      </c>
      <c r="Q401" s="211">
        <v>340</v>
      </c>
      <c r="R401" s="154" t="s">
        <v>405</v>
      </c>
      <c r="S401" s="148">
        <v>340</v>
      </c>
      <c r="T401" s="148">
        <v>340</v>
      </c>
      <c r="X401" s="148">
        <v>84.7</v>
      </c>
      <c r="Y401" s="149">
        <v>66.5</v>
      </c>
      <c r="Z401" s="152">
        <v>3793</v>
      </c>
      <c r="AA401" s="150">
        <v>474</v>
      </c>
      <c r="AC401" s="151">
        <v>12.1</v>
      </c>
      <c r="AD401" s="149">
        <v>12306</v>
      </c>
      <c r="AE401" s="150">
        <v>724</v>
      </c>
      <c r="AF401" s="153">
        <v>6.69</v>
      </c>
      <c r="AH401" s="174">
        <f t="shared" si="19"/>
        <v>0.44843049327354256</v>
      </c>
      <c r="AI401" s="174"/>
      <c r="AJ401" s="186"/>
      <c r="AK401" s="174">
        <f>(($AK$2+Y401*Лист1!$B$7^2*Лист1!$G$8/100)/(AA401/10^6)+$AK$3/(AE401/10^6))/1000/($Q401*IF(Лист1!$J$19="да",1/1.05,1))</f>
        <v>5.0594257452283409E-2</v>
      </c>
      <c r="AL401" s="24"/>
      <c r="AM401" s="186"/>
      <c r="AN401" s="174">
        <f>(($AK$2+Y401*Лист1!$B$7^2*Лист1!$G$8/100)/(AA401/10^6)+$AK$3/(AE401/10^6))/1000/($Q401*IF(Лист1!$J$19="да",1/1.05,1))</f>
        <v>5.0594257452283409E-2</v>
      </c>
      <c r="AO401" s="24"/>
      <c r="AP401" s="186"/>
      <c r="AQ401" s="174">
        <f>MAX((5/384*($AQ$2+$Y401/100)*$D$17^4/(2.06*10^8*$Z401/10^8))/($D$17/300)*INDEX(Лист1!$L$34:$L$38,MATCH(Лист1!$B$8,Лист1!$I$34:$I$38,0),1),(5/384*($AQ$3)*$D$17^4/(2.06*10^8*$AD401/10^8))/($D$17/200))</f>
        <v>0.12688245976876159</v>
      </c>
      <c r="AR401" s="174"/>
      <c r="AS401" s="175"/>
      <c r="AT401" s="174">
        <f>MAX((5/384*($AT$2+$Y401/100)*$D$17^4/(2.06*10^8*$Z401/10^8))/($D$17/300)*INDEX(Лист1!$L$34:$L$38,MATCH(Лист1!$B$8,Лист1!$I$34:$I$38,0),1),(5/384*($AT$3)*$D$17^4/(2.06*10^8*$AD401/10^8))/($D$17/200))</f>
        <v>8.1528729468438282E-2</v>
      </c>
      <c r="AU401" s="174"/>
      <c r="AV401" s="174">
        <f>IF(OR(MAX(AH401,AQ401)&gt;1,AK401&gt;Лист1!$B$20,N401="-"),999999999,Y401*Лист1!$B$7+0.0001*O401)</f>
        <v>999999999</v>
      </c>
      <c r="AX401" s="174">
        <f>IF(OR(MAX(AH401,AT401)&gt;1,AN401&gt;Лист1!$B$20,N401="-"),999999999,Y401*Лист1!$B$7+0.0001*O401)</f>
        <v>999999999</v>
      </c>
    </row>
    <row r="402" spans="14:50" ht="16.5" thickBot="1" x14ac:dyDescent="0.3">
      <c r="N402" t="s">
        <v>344</v>
      </c>
      <c r="O402">
        <f t="shared" si="18"/>
        <v>399</v>
      </c>
      <c r="P402" s="211" t="s">
        <v>296</v>
      </c>
      <c r="Q402" s="211">
        <v>340</v>
      </c>
      <c r="R402" s="154" t="s">
        <v>406</v>
      </c>
      <c r="S402" s="148">
        <v>340</v>
      </c>
      <c r="T402" s="148">
        <v>340</v>
      </c>
      <c r="X402" s="148">
        <v>93.4</v>
      </c>
      <c r="Y402" s="149">
        <v>73.3</v>
      </c>
      <c r="Z402" s="152">
        <v>4130</v>
      </c>
      <c r="AA402" s="150">
        <v>516</v>
      </c>
      <c r="AC402" s="151">
        <v>12</v>
      </c>
      <c r="AD402" s="149">
        <v>13446</v>
      </c>
      <c r="AE402" s="150">
        <v>791</v>
      </c>
      <c r="AF402" s="153">
        <v>6.65</v>
      </c>
      <c r="AH402" s="174">
        <f t="shared" si="19"/>
        <v>0.45112781954887216</v>
      </c>
      <c r="AI402" s="174"/>
      <c r="AJ402" s="186"/>
      <c r="AK402" s="174">
        <f>(($AK$2+Y402*Лист1!$B$7^2*Лист1!$G$8/100)/(AA402/10^6)+$AK$3/(AE402/10^6))/1000/($Q402*IF(Лист1!$J$19="да",1/1.05,1))</f>
        <v>4.8162034643296159E-2</v>
      </c>
      <c r="AL402" s="24"/>
      <c r="AM402" s="186"/>
      <c r="AN402" s="174">
        <f>(($AK$2+Y402*Лист1!$B$7^2*Лист1!$G$8/100)/(AA402/10^6)+$AK$3/(AE402/10^6))/1000/($Q402*IF(Лист1!$J$19="да",1/1.05,1))</f>
        <v>4.8162034643296159E-2</v>
      </c>
      <c r="AO402" s="24"/>
      <c r="AP402" s="186"/>
      <c r="AQ402" s="174">
        <f>MAX((5/384*($AQ$2+$Y402/100)*$D$17^4/(2.06*10^8*$Z402/10^8))/($D$17/300)*INDEX(Лист1!$L$34:$L$38,MATCH(Лист1!$B$8,Лист1!$I$34:$I$38,0),1),(5/384*($AQ$3)*$D$17^4/(2.06*10^8*$AD402/10^8))/($D$17/200))</f>
        <v>0.12327290838994806</v>
      </c>
      <c r="AR402" s="174"/>
      <c r="AS402" s="175"/>
      <c r="AT402" s="174">
        <f>MAX((5/384*($AT$2+$Y402/100)*$D$17^4/(2.06*10^8*$Z402/10^8))/($D$17/300)*INDEX(Лист1!$L$34:$L$38,MATCH(Лист1!$B$8,Лист1!$I$34:$I$38,0),1),(5/384*($AT$3)*$D$17^4/(2.06*10^8*$AD402/10^8))/($D$17/200))</f>
        <v>8.1619954629869054E-2</v>
      </c>
      <c r="AU402" s="174"/>
      <c r="AV402" s="174">
        <f>IF(OR(MAX(AH402,AQ402)&gt;1,AK402&gt;Лист1!$B$20,N402="-"),999999999,Y402*Лист1!$B$7+0.0001*O402)</f>
        <v>999999999</v>
      </c>
      <c r="AX402" s="174">
        <f>IF(OR(MAX(AH402,AT402)&gt;1,AN402&gt;Лист1!$B$20,N402="-"),999999999,Y402*Лист1!$B$7+0.0001*O402)</f>
        <v>999999999</v>
      </c>
    </row>
    <row r="403" spans="14:50" ht="16.5" thickBot="1" x14ac:dyDescent="0.3">
      <c r="N403" t="s">
        <v>344</v>
      </c>
      <c r="O403">
        <f t="shared" si="18"/>
        <v>400</v>
      </c>
      <c r="P403" s="211" t="s">
        <v>296</v>
      </c>
      <c r="Q403" s="211">
        <v>340</v>
      </c>
      <c r="R403" s="154" t="s">
        <v>407</v>
      </c>
      <c r="S403" s="148">
        <v>340</v>
      </c>
      <c r="T403" s="148">
        <v>340</v>
      </c>
      <c r="X403" s="148">
        <v>111</v>
      </c>
      <c r="Y403" s="149">
        <v>86.8</v>
      </c>
      <c r="Z403" s="152">
        <v>4755</v>
      </c>
      <c r="AA403" s="150">
        <v>594</v>
      </c>
      <c r="AC403" s="151">
        <v>11.9</v>
      </c>
      <c r="AD403" s="149">
        <v>15596</v>
      </c>
      <c r="AE403" s="150">
        <v>917</v>
      </c>
      <c r="AF403" s="153">
        <v>6.56</v>
      </c>
      <c r="AH403" s="174">
        <f t="shared" si="19"/>
        <v>0.45731707317073172</v>
      </c>
      <c r="AI403" s="174"/>
      <c r="AJ403" s="186"/>
      <c r="AK403" s="174">
        <f>(($AK$2+Y403*Лист1!$B$7^2*Лист1!$G$8/100)/(AA403/10^6)+$AK$3/(AE403/10^6))/1000/($Q403*IF(Лист1!$J$19="да",1/1.05,1))</f>
        <v>4.4747521155770804E-2</v>
      </c>
      <c r="AL403" s="24"/>
      <c r="AM403" s="186"/>
      <c r="AN403" s="174">
        <f>(($AK$2+Y403*Лист1!$B$7^2*Лист1!$G$8/100)/(AA403/10^6)+$AK$3/(AE403/10^6))/1000/($Q403*IF(Лист1!$J$19="да",1/1.05,1))</f>
        <v>4.4747521155770804E-2</v>
      </c>
      <c r="AO403" s="24"/>
      <c r="AP403" s="186"/>
      <c r="AQ403" s="174">
        <f>MAX((5/384*($AQ$2+$Y403/100)*$D$17^4/(2.06*10^8*$Z403/10^8))/($D$17/300)*INDEX(Лист1!$L$34:$L$38,MATCH(Лист1!$B$8,Лист1!$I$34:$I$38,0),1),(5/384*($AQ$3)*$D$17^4/(2.06*10^8*$AD403/10^8))/($D$17/200))</f>
        <v>0.11869850846834709</v>
      </c>
      <c r="AR403" s="174"/>
      <c r="AS403" s="175"/>
      <c r="AT403" s="174">
        <f>MAX((5/384*($AT$2+$Y403/100)*$D$17^4/(2.06*10^8*$Z403/10^8))/($D$17/300)*INDEX(Лист1!$L$34:$L$38,MATCH(Лист1!$B$8,Лист1!$I$34:$I$38,0),1),(5/384*($AT$3)*$D$17^4/(2.06*10^8*$AD403/10^8))/($D$17/200))</f>
        <v>8.2520443477994559E-2</v>
      </c>
      <c r="AU403" s="174"/>
      <c r="AV403" s="174">
        <f>IF(OR(MAX(AH403,AQ403)&gt;1,AK403&gt;Лист1!$B$20,N403="-"),999999999,Y403*Лист1!$B$7+0.0001*O403)</f>
        <v>999999999</v>
      </c>
      <c r="AX403" s="174">
        <f>IF(OR(MAX(AH403,AT403)&gt;1,AN403&gt;Лист1!$B$20,N403="-"),999999999,Y403*Лист1!$B$7+0.0001*O403)</f>
        <v>999999999</v>
      </c>
    </row>
    <row r="404" spans="14:50" ht="16.5" thickBot="1" x14ac:dyDescent="0.3">
      <c r="N404" t="s">
        <v>344</v>
      </c>
      <c r="O404">
        <f t="shared" si="18"/>
        <v>401</v>
      </c>
      <c r="P404" s="211" t="s">
        <v>296</v>
      </c>
      <c r="Q404" s="211">
        <v>340</v>
      </c>
      <c r="R404" s="154" t="s">
        <v>408</v>
      </c>
      <c r="S404" s="148">
        <v>340</v>
      </c>
      <c r="T404" s="148">
        <v>340</v>
      </c>
      <c r="X404" s="148">
        <v>127</v>
      </c>
      <c r="Y404" s="149">
        <v>99.8</v>
      </c>
      <c r="Z404" s="152">
        <v>5319</v>
      </c>
      <c r="AA404" s="150">
        <v>655</v>
      </c>
      <c r="AC404" s="151">
        <v>11.8</v>
      </c>
      <c r="AD404" s="149">
        <v>17576</v>
      </c>
      <c r="AE404" s="150">
        <v>1034</v>
      </c>
      <c r="AF404" s="153">
        <v>6.47</v>
      </c>
      <c r="AH404" s="174">
        <f t="shared" si="19"/>
        <v>0.46367851622874812</v>
      </c>
      <c r="AI404" s="174"/>
      <c r="AJ404" s="186"/>
      <c r="AK404" s="174">
        <f>(($AK$2+Y404*Лист1!$B$7^2*Лист1!$G$8/100)/(AA404/10^6)+$AK$3/(AE404/10^6))/1000/($Q404*IF(Лист1!$J$19="да",1/1.05,1))</f>
        <v>4.2928532003909316E-2</v>
      </c>
      <c r="AL404" s="24"/>
      <c r="AM404" s="186"/>
      <c r="AN404" s="174">
        <f>(($AK$2+Y404*Лист1!$B$7^2*Лист1!$G$8/100)/(AA404/10^6)+$AK$3/(AE404/10^6))/1000/($Q404*IF(Лист1!$J$19="да",1/1.05,1))</f>
        <v>4.2928532003909316E-2</v>
      </c>
      <c r="AO404" s="24"/>
      <c r="AP404" s="186"/>
      <c r="AQ404" s="174">
        <f>MAX((5/384*($AQ$2+$Y404/100)*$D$17^4/(2.06*10^8*$Z404/10^8))/($D$17/300)*INDEX(Лист1!$L$34:$L$38,MATCH(Лист1!$B$8,Лист1!$I$34:$I$38,0),1),(5/384*($AQ$3)*$D$17^4/(2.06*10^8*$AD404/10^8))/($D$17/200))</f>
        <v>0.11612291163570057</v>
      </c>
      <c r="AR404" s="174"/>
      <c r="AS404" s="175"/>
      <c r="AT404" s="174">
        <f>MAX((5/384*($AT$2+$Y404/100)*$D$17^4/(2.06*10^8*$Z404/10^8))/($D$17/300)*INDEX(Лист1!$L$34:$L$38,MATCH(Лист1!$B$8,Лист1!$I$34:$I$38,0),1),(5/384*($AT$3)*$D$17^4/(2.06*10^8*$AD404/10^8))/($D$17/200))</f>
        <v>8.3780986644325095E-2</v>
      </c>
      <c r="AU404" s="174"/>
      <c r="AV404" s="174">
        <f>IF(OR(MAX(AH404,AQ404)&gt;1,AK404&gt;Лист1!$B$20,N404="-"),999999999,Y404*Лист1!$B$7+0.0001*O404)</f>
        <v>999999999</v>
      </c>
      <c r="AX404" s="174">
        <f>IF(OR(MAX(AH404,AT404)&gt;1,AN404&gt;Лист1!$B$20,N404="-"),999999999,Y404*Лист1!$B$7+0.0001*O404)</f>
        <v>999999999</v>
      </c>
    </row>
    <row r="405" spans="14:50" ht="16.5" thickBot="1" x14ac:dyDescent="0.3">
      <c r="N405" t="s">
        <v>344</v>
      </c>
      <c r="O405">
        <f t="shared" si="18"/>
        <v>402</v>
      </c>
      <c r="P405" s="211" t="s">
        <v>296</v>
      </c>
      <c r="Q405" s="211">
        <v>340</v>
      </c>
      <c r="R405" s="154" t="s">
        <v>409</v>
      </c>
      <c r="S405" s="148">
        <v>340</v>
      </c>
      <c r="T405" s="148">
        <v>340</v>
      </c>
      <c r="X405" s="148">
        <v>113</v>
      </c>
      <c r="Y405" s="149">
        <v>89</v>
      </c>
      <c r="Z405" s="152">
        <v>12510</v>
      </c>
      <c r="AA405" s="150">
        <v>962</v>
      </c>
      <c r="AC405" s="151">
        <v>12.9</v>
      </c>
      <c r="AD405" s="149">
        <v>18892</v>
      </c>
      <c r="AE405" s="150">
        <v>1111</v>
      </c>
      <c r="AF405" s="153">
        <v>10.5</v>
      </c>
      <c r="AH405" s="174">
        <f t="shared" si="19"/>
        <v>0.28571428571428575</v>
      </c>
      <c r="AI405" s="174"/>
      <c r="AJ405" s="186"/>
      <c r="AK405" s="174">
        <f>(($AK$2+Y405*Лист1!$B$7^2*Лист1!$G$8/100)/(AA405/10^6)+$AK$3/(AE405/10^6))/1000/($Q405*IF(Лист1!$J$19="да",1/1.05,1))</f>
        <v>3.0824740890034678E-2</v>
      </c>
      <c r="AL405" s="24"/>
      <c r="AM405" s="186"/>
      <c r="AN405" s="174">
        <f>(($AK$2+Y405*Лист1!$B$7^2*Лист1!$G$8/100)/(AA405/10^6)+$AK$3/(AE405/10^6))/1000/($Q405*IF(Лист1!$J$19="да",1/1.05,1))</f>
        <v>3.0824740890034678E-2</v>
      </c>
      <c r="AO405" s="24"/>
      <c r="AP405" s="186"/>
      <c r="AQ405" s="174">
        <f>MAX((5/384*($AQ$2+$Y405/100)*$D$17^4/(2.06*10^8*$Z405/10^8))/($D$17/300)*INDEX(Лист1!$L$34:$L$38,MATCH(Лист1!$B$8,Лист1!$I$34:$I$38,0),1),(5/384*($AQ$3)*$D$17^4/(2.06*10^8*$AD405/10^8))/($D$17/200))</f>
        <v>4.5837116714395477E-2</v>
      </c>
      <c r="AR405" s="174"/>
      <c r="AS405" s="175"/>
      <c r="AT405" s="174">
        <f>MAX((5/384*($AT$2+$Y405/100)*$D$17^4/(2.06*10^8*$Z405/10^8))/($D$17/300)*INDEX(Лист1!$L$34:$L$38,MATCH(Лист1!$B$8,Лист1!$I$34:$I$38,0),1),(5/384*($AT$3)*$D$17^4/(2.06*10^8*$AD405/10^8))/($D$17/200))</f>
        <v>3.2085981700076836E-2</v>
      </c>
      <c r="AU405" s="174"/>
      <c r="AV405" s="174">
        <f>IF(OR(MAX(AH405,AQ405)&gt;1,AK405&gt;Лист1!$B$20,N405="-"),999999999,Y405*Лист1!$B$7+0.0001*O405)</f>
        <v>999999999</v>
      </c>
      <c r="AX405" s="174">
        <f>IF(OR(MAX(AH405,AT405)&gt;1,AN405&gt;Лист1!$B$20,N405="-"),999999999,Y405*Лист1!$B$7+0.0001*O405)</f>
        <v>999999999</v>
      </c>
    </row>
    <row r="406" spans="14:50" ht="16.5" thickBot="1" x14ac:dyDescent="0.3">
      <c r="N406" t="s">
        <v>344</v>
      </c>
      <c r="O406">
        <f t="shared" si="18"/>
        <v>403</v>
      </c>
      <c r="P406" s="211" t="s">
        <v>296</v>
      </c>
      <c r="Q406" s="211">
        <v>340</v>
      </c>
      <c r="R406" s="154" t="s">
        <v>410</v>
      </c>
      <c r="S406" s="148">
        <v>340</v>
      </c>
      <c r="T406" s="148">
        <v>340</v>
      </c>
      <c r="X406" s="148">
        <v>135</v>
      </c>
      <c r="Y406" s="149">
        <v>106</v>
      </c>
      <c r="Z406" s="152">
        <v>14577</v>
      </c>
      <c r="AA406" s="150">
        <v>1121</v>
      </c>
      <c r="AC406" s="151">
        <v>12.8</v>
      </c>
      <c r="AD406" s="149">
        <v>22054</v>
      </c>
      <c r="AE406" s="150">
        <v>1297</v>
      </c>
      <c r="AF406" s="153">
        <v>10.4</v>
      </c>
      <c r="AH406" s="174">
        <f t="shared" si="19"/>
        <v>0.28846153846153849</v>
      </c>
      <c r="AI406" s="174"/>
      <c r="AJ406" s="186"/>
      <c r="AK406" s="174">
        <f>(($AK$2+Y406*Лист1!$B$7^2*Лист1!$G$8/100)/(AA406/10^6)+$AK$3/(AE406/10^6))/1000/($Q406*IF(Лист1!$J$19="да",1/1.05,1))</f>
        <v>2.8441741269043412E-2</v>
      </c>
      <c r="AL406" s="24"/>
      <c r="AM406" s="186"/>
      <c r="AN406" s="174">
        <f>(($AK$2+Y406*Лист1!$B$7^2*Лист1!$G$8/100)/(AA406/10^6)+$AK$3/(AE406/10^6))/1000/($Q406*IF(Лист1!$J$19="да",1/1.05,1))</f>
        <v>2.8441741269043412E-2</v>
      </c>
      <c r="AO406" s="24"/>
      <c r="AP406" s="186"/>
      <c r="AQ406" s="174">
        <f>MAX((5/384*($AQ$2+$Y406/100)*$D$17^4/(2.06*10^8*$Z406/10^8))/($D$17/300)*INDEX(Лист1!$L$34:$L$38,MATCH(Лист1!$B$8,Лист1!$I$34:$I$38,0),1),(5/384*($AQ$3)*$D$17^4/(2.06*10^8*$AD406/10^8))/($D$17/200))</f>
        <v>4.4114165086507472E-2</v>
      </c>
      <c r="AR406" s="174"/>
      <c r="AS406" s="175"/>
      <c r="AT406" s="174">
        <f>MAX((5/384*($AT$2+$Y406/100)*$D$17^4/(2.06*10^8*$Z406/10^8))/($D$17/300)*INDEX(Лист1!$L$34:$L$38,MATCH(Лист1!$B$8,Лист1!$I$34:$I$38,0),1),(5/384*($AT$3)*$D$17^4/(2.06*10^8*$AD406/10^8))/($D$17/200))</f>
        <v>3.2312923471008663E-2</v>
      </c>
      <c r="AU406" s="174"/>
      <c r="AV406" s="174">
        <f>IF(OR(MAX(AH406,AQ406)&gt;1,AK406&gt;Лист1!$B$20,N406="-"),999999999,Y406*Лист1!$B$7+0.0001*O406)</f>
        <v>999999999</v>
      </c>
      <c r="AX406" s="174">
        <f>IF(OR(MAX(AH406,AT406)&gt;1,AN406&gt;Лист1!$B$20,N406="-"),999999999,Y406*Лист1!$B$7+0.0001*O406)</f>
        <v>999999999</v>
      </c>
    </row>
    <row r="407" spans="14:50" ht="16.5" thickBot="1" x14ac:dyDescent="0.3">
      <c r="N407" t="s">
        <v>344</v>
      </c>
      <c r="O407">
        <f t="shared" si="18"/>
        <v>404</v>
      </c>
      <c r="P407" s="211" t="s">
        <v>296</v>
      </c>
      <c r="Q407" s="211">
        <v>340</v>
      </c>
      <c r="R407" s="154" t="s">
        <v>411</v>
      </c>
      <c r="S407" s="148">
        <v>340</v>
      </c>
      <c r="T407" s="148">
        <v>340</v>
      </c>
      <c r="X407" s="148">
        <v>155</v>
      </c>
      <c r="Y407" s="149">
        <v>122</v>
      </c>
      <c r="Z407" s="152">
        <v>16508</v>
      </c>
      <c r="AA407" s="150">
        <v>1269</v>
      </c>
      <c r="AC407" s="151">
        <v>12.7</v>
      </c>
      <c r="AD407" s="149">
        <v>25020</v>
      </c>
      <c r="AE407" s="150">
        <v>1472</v>
      </c>
      <c r="AF407" s="153">
        <v>10.3</v>
      </c>
      <c r="AH407" s="174">
        <f t="shared" si="19"/>
        <v>0.29126213592233008</v>
      </c>
      <c r="AI407" s="174"/>
      <c r="AJ407" s="186"/>
      <c r="AK407" s="174">
        <f>(($AK$2+Y407*Лист1!$B$7^2*Лист1!$G$8/100)/(AA407/10^6)+$AK$3/(AE407/10^6))/1000/($Q407*IF(Лист1!$J$19="да",1/1.05,1))</f>
        <v>2.6771199337047257E-2</v>
      </c>
      <c r="AL407" s="24"/>
      <c r="AM407" s="186"/>
      <c r="AN407" s="174">
        <f>(($AK$2+Y407*Лист1!$B$7^2*Лист1!$G$8/100)/(AA407/10^6)+$AK$3/(AE407/10^6))/1000/($Q407*IF(Лист1!$J$19="да",1/1.05,1))</f>
        <v>2.6771199337047257E-2</v>
      </c>
      <c r="AO407" s="24"/>
      <c r="AP407" s="186"/>
      <c r="AQ407" s="174">
        <f>MAX((5/384*($AQ$2+$Y407/100)*$D$17^4/(2.06*10^8*$Z407/10^8))/($D$17/300)*INDEX(Лист1!$L$34:$L$38,MATCH(Лист1!$B$8,Лист1!$I$34:$I$38,0),1),(5/384*($AQ$3)*$D$17^4/(2.06*10^8*$AD407/10^8))/($D$17/200))</f>
        <v>4.2923804521961692E-2</v>
      </c>
      <c r="AR407" s="174"/>
      <c r="AS407" s="175"/>
      <c r="AT407" s="174">
        <f>MAX((5/384*($AT$2+$Y407/100)*$D$17^4/(2.06*10^8*$Z407/10^8))/($D$17/300)*INDEX(Лист1!$L$34:$L$38,MATCH(Лист1!$B$8,Лист1!$I$34:$I$38,0),1),(5/384*($AT$3)*$D$17^4/(2.06*10^8*$AD407/10^8))/($D$17/200))</f>
        <v>3.2502996487728225E-2</v>
      </c>
      <c r="AU407" s="174"/>
      <c r="AV407" s="174">
        <f>IF(OR(MAX(AH407,AQ407)&gt;1,AK407&gt;Лист1!$B$20,N407="-"),999999999,Y407*Лист1!$B$7+0.0001*O407)</f>
        <v>999999999</v>
      </c>
      <c r="AX407" s="174">
        <f>IF(OR(MAX(AH407,AT407)&gt;1,AN407&gt;Лист1!$B$20,N407="-"),999999999,Y407*Лист1!$B$7+0.0001*O407)</f>
        <v>999999999</v>
      </c>
    </row>
    <row r="408" spans="14:50" ht="16.5" thickBot="1" x14ac:dyDescent="0.3">
      <c r="N408" t="s">
        <v>344</v>
      </c>
      <c r="O408">
        <f t="shared" si="18"/>
        <v>405</v>
      </c>
      <c r="P408" s="211" t="s">
        <v>296</v>
      </c>
      <c r="Q408" s="211">
        <v>340</v>
      </c>
      <c r="R408" s="154" t="s">
        <v>412</v>
      </c>
      <c r="S408" s="148">
        <v>380</v>
      </c>
      <c r="T408" s="148">
        <v>380</v>
      </c>
      <c r="X408" s="148">
        <v>113</v>
      </c>
      <c r="Y408" s="149">
        <v>89</v>
      </c>
      <c r="Z408" s="152">
        <v>9416</v>
      </c>
      <c r="AA408" s="150">
        <v>856</v>
      </c>
      <c r="AC408" s="151">
        <v>13.9</v>
      </c>
      <c r="AD408" s="149">
        <v>21925</v>
      </c>
      <c r="AE408" s="150">
        <v>1154</v>
      </c>
      <c r="AF408" s="153">
        <v>9.11</v>
      </c>
      <c r="AH408" s="174">
        <f t="shared" si="19"/>
        <v>0.3293084522502745</v>
      </c>
      <c r="AI408" s="174"/>
      <c r="AJ408" s="186"/>
      <c r="AK408" s="174">
        <f>(($AK$2+Y408*Лист1!$B$7^2*Лист1!$G$8/100)/(AA408/10^6)+$AK$3/(AE408/10^6))/1000/($Q408*IF(Лист1!$J$19="да",1/1.05,1))</f>
        <v>3.2792333359964981E-2</v>
      </c>
      <c r="AL408" s="24"/>
      <c r="AM408" s="186"/>
      <c r="AN408" s="174">
        <f>(($AK$2+Y408*Лист1!$B$7^2*Лист1!$G$8/100)/(AA408/10^6)+$AK$3/(AE408/10^6))/1000/($Q408*IF(Лист1!$J$19="да",1/1.05,1))</f>
        <v>3.2792333359964981E-2</v>
      </c>
      <c r="AO408" s="24"/>
      <c r="AP408" s="186"/>
      <c r="AQ408" s="174">
        <f>MAX((5/384*($AQ$2+$Y408/100)*$D$17^4/(2.06*10^8*$Z408/10^8))/($D$17/300)*INDEX(Лист1!$L$34:$L$38,MATCH(Лист1!$B$8,Лист1!$I$34:$I$38,0),1),(5/384*($AQ$3)*$D$17^4/(2.06*10^8*$AD408/10^8))/($D$17/200))</f>
        <v>6.0898718149648194E-2</v>
      </c>
      <c r="AR408" s="174"/>
      <c r="AS408" s="175"/>
      <c r="AT408" s="174">
        <f>MAX((5/384*($AT$2+$Y408/100)*$D$17^4/(2.06*10^8*$Z408/10^8))/($D$17/300)*INDEX(Лист1!$L$34:$L$38,MATCH(Лист1!$B$8,Лист1!$I$34:$I$38,0),1),(5/384*($AT$3)*$D$17^4/(2.06*10^8*$AD408/10^8))/($D$17/200))</f>
        <v>4.2629102704753744E-2</v>
      </c>
      <c r="AU408" s="174"/>
      <c r="AV408" s="174">
        <f>IF(OR(MAX(AH408,AQ408)&gt;1,AK408&gt;Лист1!$B$20,N408="-"),999999999,Y408*Лист1!$B$7+0.0001*O408)</f>
        <v>999999999</v>
      </c>
      <c r="AX408" s="174">
        <f>IF(OR(MAX(AH408,AT408)&gt;1,AN408&gt;Лист1!$B$20,N408="-"),999999999,Y408*Лист1!$B$7+0.0001*O408)</f>
        <v>999999999</v>
      </c>
    </row>
    <row r="409" spans="14:50" ht="16.5" thickBot="1" x14ac:dyDescent="0.3">
      <c r="N409" t="s">
        <v>344</v>
      </c>
      <c r="O409">
        <f t="shared" si="18"/>
        <v>406</v>
      </c>
      <c r="P409" s="211" t="s">
        <v>296</v>
      </c>
      <c r="Q409" s="211">
        <v>340</v>
      </c>
      <c r="R409" s="154" t="s">
        <v>413</v>
      </c>
      <c r="S409" s="148">
        <v>380</v>
      </c>
      <c r="T409" s="148">
        <v>380</v>
      </c>
      <c r="X409" s="148">
        <v>135</v>
      </c>
      <c r="Y409" s="149">
        <v>106</v>
      </c>
      <c r="Z409" s="152">
        <v>10948</v>
      </c>
      <c r="AA409" s="150">
        <v>995</v>
      </c>
      <c r="AC409" s="151">
        <v>13.8</v>
      </c>
      <c r="AD409" s="149">
        <v>25594</v>
      </c>
      <c r="AE409" s="150">
        <v>1347</v>
      </c>
      <c r="AF409" s="153">
        <v>9.02</v>
      </c>
      <c r="AH409" s="174">
        <f t="shared" si="19"/>
        <v>0.33259423503325941</v>
      </c>
      <c r="AI409" s="174"/>
      <c r="AJ409" s="186"/>
      <c r="AK409" s="174">
        <f>(($AK$2+Y409*Лист1!$B$7^2*Лист1!$G$8/100)/(AA409/10^6)+$AK$3/(AE409/10^6))/1000/($Q409*IF(Лист1!$J$19="да",1/1.05,1))</f>
        <v>3.0432998664911653E-2</v>
      </c>
      <c r="AL409" s="24"/>
      <c r="AM409" s="186"/>
      <c r="AN409" s="174">
        <f>(($AK$2+Y409*Лист1!$B$7^2*Лист1!$G$8/100)/(AA409/10^6)+$AK$3/(AE409/10^6))/1000/($Q409*IF(Лист1!$J$19="да",1/1.05,1))</f>
        <v>3.0432998664911653E-2</v>
      </c>
      <c r="AO409" s="24"/>
      <c r="AP409" s="186"/>
      <c r="AQ409" s="174">
        <f>MAX((5/384*($AQ$2+$Y409/100)*$D$17^4/(2.06*10^8*$Z409/10^8))/($D$17/300)*INDEX(Лист1!$L$34:$L$38,MATCH(Лист1!$B$8,Лист1!$I$34:$I$38,0),1),(5/384*($AQ$3)*$D$17^4/(2.06*10^8*$AD409/10^8))/($D$17/200))</f>
        <v>5.8736955102851603E-2</v>
      </c>
      <c r="AR409" s="174"/>
      <c r="AS409" s="175"/>
      <c r="AT409" s="174">
        <f>MAX((5/384*($AT$2+$Y409/100)*$D$17^4/(2.06*10^8*$Z409/10^8))/($D$17/300)*INDEX(Лист1!$L$34:$L$38,MATCH(Лист1!$B$8,Лист1!$I$34:$I$38,0),1),(5/384*($AT$3)*$D$17^4/(2.06*10^8*$AD409/10^8))/($D$17/200))</f>
        <v>4.3023884311005962E-2</v>
      </c>
      <c r="AU409" s="174"/>
      <c r="AV409" s="174">
        <f>IF(OR(MAX(AH409,AQ409)&gt;1,AK409&gt;Лист1!$B$20,N409="-"),999999999,Y409*Лист1!$B$7+0.0001*O409)</f>
        <v>999999999</v>
      </c>
      <c r="AX409" s="174">
        <f>IF(OR(MAX(AH409,AT409)&gt;1,AN409&gt;Лист1!$B$20,N409="-"),999999999,Y409*Лист1!$B$7+0.0001*O409)</f>
        <v>999999999</v>
      </c>
    </row>
    <row r="410" spans="14:50" ht="16.5" thickBot="1" x14ac:dyDescent="0.3">
      <c r="N410" t="s">
        <v>344</v>
      </c>
      <c r="O410">
        <f t="shared" si="18"/>
        <v>407</v>
      </c>
      <c r="P410" s="211" t="s">
        <v>296</v>
      </c>
      <c r="Q410" s="211">
        <v>340</v>
      </c>
      <c r="R410" s="154" t="s">
        <v>414</v>
      </c>
      <c r="S410" s="148">
        <v>380</v>
      </c>
      <c r="T410" s="148">
        <v>380</v>
      </c>
      <c r="X410" s="148">
        <v>155</v>
      </c>
      <c r="Y410" s="149">
        <v>122</v>
      </c>
      <c r="Z410" s="152">
        <v>12370</v>
      </c>
      <c r="AA410" s="150">
        <v>1125</v>
      </c>
      <c r="AC410" s="151">
        <v>13.7</v>
      </c>
      <c r="AD410" s="149">
        <v>29037</v>
      </c>
      <c r="AE410" s="150">
        <v>1528</v>
      </c>
      <c r="AF410" s="153">
        <v>8.93</v>
      </c>
      <c r="AH410" s="174">
        <f t="shared" si="19"/>
        <v>0.33594624860022398</v>
      </c>
      <c r="AI410" s="174"/>
      <c r="AJ410" s="186"/>
      <c r="AK410" s="174">
        <f>(($AK$2+Y410*Лист1!$B$7^2*Лист1!$G$8/100)/(AA410/10^6)+$AK$3/(AE410/10^6))/1000/($Q410*IF(Лист1!$J$19="да",1/1.05,1))</f>
        <v>2.8771188953919315E-2</v>
      </c>
      <c r="AL410" s="24"/>
      <c r="AM410" s="186"/>
      <c r="AN410" s="174">
        <f>(($AK$2+Y410*Лист1!$B$7^2*Лист1!$G$8/100)/(AA410/10^6)+$AK$3/(AE410/10^6))/1000/($Q410*IF(Лист1!$J$19="да",1/1.05,1))</f>
        <v>2.8771188953919315E-2</v>
      </c>
      <c r="AO410" s="24"/>
      <c r="AP410" s="186"/>
      <c r="AQ410" s="174">
        <f>MAX((5/384*($AQ$2+$Y410/100)*$D$17^4/(2.06*10^8*$Z410/10^8))/($D$17/300)*INDEX(Лист1!$L$34:$L$38,MATCH(Лист1!$B$8,Лист1!$I$34:$I$38,0),1),(5/384*($AQ$3)*$D$17^4/(2.06*10^8*$AD410/10^8))/($D$17/200))</f>
        <v>5.7282632582744034E-2</v>
      </c>
      <c r="AR410" s="174"/>
      <c r="AS410" s="175"/>
      <c r="AT410" s="174">
        <f>MAX((5/384*($AT$2+$Y410/100)*$D$17^4/(2.06*10^8*$Z410/10^8))/($D$17/300)*INDEX(Лист1!$L$34:$L$38,MATCH(Лист1!$B$8,Лист1!$I$34:$I$38,0),1),(5/384*($AT$3)*$D$17^4/(2.06*10^8*$AD410/10^8))/($D$17/200))</f>
        <v>4.3375866290979594E-2</v>
      </c>
      <c r="AU410" s="174"/>
      <c r="AV410" s="174">
        <f>IF(OR(MAX(AH410,AQ410)&gt;1,AK410&gt;Лист1!$B$20,N410="-"),999999999,Y410*Лист1!$B$7+0.0001*O410)</f>
        <v>999999999</v>
      </c>
      <c r="AX410" s="174">
        <f>IF(OR(MAX(AH410,AT410)&gt;1,AN410&gt;Лист1!$B$20,N410="-"),999999999,Y410*Лист1!$B$7+0.0001*O410)</f>
        <v>999999999</v>
      </c>
    </row>
    <row r="411" spans="14:50" ht="16.5" thickBot="1" x14ac:dyDescent="0.3">
      <c r="O411">
        <f t="shared" si="18"/>
        <v>408</v>
      </c>
      <c r="P411" s="211" t="s">
        <v>296</v>
      </c>
      <c r="Q411" s="211">
        <v>340</v>
      </c>
      <c r="R411" s="154" t="s">
        <v>415</v>
      </c>
      <c r="S411" s="148">
        <v>400</v>
      </c>
      <c r="T411" s="148">
        <v>400</v>
      </c>
      <c r="X411" s="148">
        <v>113</v>
      </c>
      <c r="Y411" s="149">
        <v>89</v>
      </c>
      <c r="Z411" s="152">
        <v>7949</v>
      </c>
      <c r="AA411" s="150">
        <v>795</v>
      </c>
      <c r="AC411" s="151">
        <v>14.3</v>
      </c>
      <c r="AD411" s="149">
        <v>23345</v>
      </c>
      <c r="AE411" s="150">
        <v>1167</v>
      </c>
      <c r="AF411" s="153">
        <v>8.3699999999999992</v>
      </c>
      <c r="AH411" s="174">
        <f t="shared" si="19"/>
        <v>0.35842293906810041</v>
      </c>
      <c r="AI411" s="174"/>
      <c r="AJ411" s="186"/>
      <c r="AK411" s="174">
        <f>(($AK$2+Y411*Лист1!$B$7^2*Лист1!$G$8/100)/(AA411/10^6)+$AK$3/(AE411/10^6))/1000/($Q411*IF(Лист1!$J$19="да",1/1.05,1))</f>
        <v>3.43372513128338E-2</v>
      </c>
      <c r="AL411" s="24"/>
      <c r="AM411" s="186"/>
      <c r="AN411" s="174">
        <f>(($AK$2+Y411*Лист1!$B$7^2*Лист1!$G$8/100)/(AA411/10^6)+$AK$3/(AE411/10^6))/1000/($Q411*IF(Лист1!$J$19="да",1/1.05,1))</f>
        <v>3.43372513128338E-2</v>
      </c>
      <c r="AO411" s="24"/>
      <c r="AP411" s="186"/>
      <c r="AQ411" s="174">
        <f>MAX((5/384*($AQ$2+$Y411/100)*$D$17^4/(2.06*10^8*$Z411/10^8))/($D$17/300)*INDEX(Лист1!$L$34:$L$38,MATCH(Лист1!$B$8,Лист1!$I$34:$I$38,0),1),(5/384*($AQ$3)*$D$17^4/(2.06*10^8*$AD411/10^8))/($D$17/200))</f>
        <v>7.2137668901382235E-2</v>
      </c>
      <c r="AR411" s="174"/>
      <c r="AS411" s="175"/>
      <c r="AT411" s="174">
        <f>MAX((5/384*($AT$2+$Y411/100)*$D$17^4/(2.06*10^8*$Z411/10^8))/($D$17/300)*INDEX(Лист1!$L$34:$L$38,MATCH(Лист1!$B$8,Лист1!$I$34:$I$38,0),1),(5/384*($AT$3)*$D$17^4/(2.06*10^8*$AD411/10^8))/($D$17/200))</f>
        <v>5.0496368230967564E-2</v>
      </c>
      <c r="AU411" s="174"/>
      <c r="AV411" s="174">
        <f>IF(OR(MAX(AH411,AQ411)&gt;1,AK411&gt;Лист1!$B$20,N411="-"),999999999,Y411*Лист1!$B$7+0.0001*O411)</f>
        <v>534.04079999999999</v>
      </c>
      <c r="AX411" s="174">
        <f>IF(OR(MAX(AH411,AT411)&gt;1,AN411&gt;Лист1!$B$20,N411="-"),999999999,Y411*Лист1!$B$7+0.0001*O411)</f>
        <v>534.04079999999999</v>
      </c>
    </row>
    <row r="412" spans="14:50" ht="16.5" thickBot="1" x14ac:dyDescent="0.3">
      <c r="N412" t="s">
        <v>344</v>
      </c>
      <c r="O412">
        <f t="shared" si="18"/>
        <v>409</v>
      </c>
      <c r="P412" s="211" t="s">
        <v>296</v>
      </c>
      <c r="Q412" s="211">
        <v>340</v>
      </c>
      <c r="R412" s="154" t="s">
        <v>416</v>
      </c>
      <c r="S412" s="148">
        <v>400</v>
      </c>
      <c r="T412" s="148">
        <v>400</v>
      </c>
      <c r="X412" s="148">
        <v>135</v>
      </c>
      <c r="Y412" s="149">
        <v>106</v>
      </c>
      <c r="Z412" s="152">
        <v>9227</v>
      </c>
      <c r="AA412" s="150">
        <v>923</v>
      </c>
      <c r="AC412" s="151">
        <v>14.2</v>
      </c>
      <c r="AD412" s="149">
        <v>27248</v>
      </c>
      <c r="AE412" s="150">
        <v>1362</v>
      </c>
      <c r="AF412" s="153">
        <v>8.2799999999999994</v>
      </c>
      <c r="AH412" s="174">
        <f t="shared" si="19"/>
        <v>0.36231884057971014</v>
      </c>
      <c r="AI412" s="174"/>
      <c r="AJ412" s="186"/>
      <c r="AK412" s="174">
        <f>(($AK$2+Y412*Лист1!$B$7^2*Лист1!$G$8/100)/(AA412/10^6)+$AK$3/(AE412/10^6))/1000/($Q412*IF(Лист1!$J$19="да",1/1.05,1))</f>
        <v>3.1964010923630021E-2</v>
      </c>
      <c r="AL412" s="24"/>
      <c r="AM412" s="186"/>
      <c r="AN412" s="174">
        <f>(($AK$2+Y412*Лист1!$B$7^2*Лист1!$G$8/100)/(AA412/10^6)+$AK$3/(AE412/10^6))/1000/($Q412*IF(Лист1!$J$19="да",1/1.05,1))</f>
        <v>3.1964010923630021E-2</v>
      </c>
      <c r="AO412" s="24"/>
      <c r="AP412" s="186"/>
      <c r="AQ412" s="174">
        <f>MAX((5/384*($AQ$2+$Y412/100)*$D$17^4/(2.06*10^8*$Z412/10^8))/($D$17/300)*INDEX(Лист1!$L$34:$L$38,MATCH(Лист1!$B$8,Лист1!$I$34:$I$38,0),1),(5/384*($AQ$3)*$D$17^4/(2.06*10^8*$AD412/10^8))/($D$17/200))</f>
        <v>6.969244439861487E-2</v>
      </c>
      <c r="AR412" s="174"/>
      <c r="AS412" s="175"/>
      <c r="AT412" s="174">
        <f>MAX((5/384*($AT$2+$Y412/100)*$D$17^4/(2.06*10^8*$Z412/10^8))/($D$17/300)*INDEX(Лист1!$L$34:$L$38,MATCH(Лист1!$B$8,Лист1!$I$34:$I$38,0),1),(5/384*($AT$3)*$D$17^4/(2.06*10^8*$AD412/10^8))/($D$17/200))</f>
        <v>5.1048605769686062E-2</v>
      </c>
      <c r="AU412" s="174"/>
      <c r="AV412" s="174">
        <f>IF(OR(MAX(AH412,AQ412)&gt;1,AK412&gt;Лист1!$B$20,N412="-"),999999999,Y412*Лист1!$B$7+0.0001*O412)</f>
        <v>999999999</v>
      </c>
      <c r="AX412" s="174">
        <f>IF(OR(MAX(AH412,AT412)&gt;1,AN412&gt;Лист1!$B$20,N412="-"),999999999,Y412*Лист1!$B$7+0.0001*O412)</f>
        <v>999999999</v>
      </c>
    </row>
    <row r="413" spans="14:50" ht="15.75" x14ac:dyDescent="0.25">
      <c r="O413">
        <f t="shared" si="18"/>
        <v>410</v>
      </c>
      <c r="P413" s="211" t="s">
        <v>296</v>
      </c>
      <c r="Q413" s="211">
        <v>340</v>
      </c>
      <c r="R413" s="154" t="s">
        <v>417</v>
      </c>
      <c r="S413" s="228">
        <v>400</v>
      </c>
      <c r="T413" s="228">
        <v>400</v>
      </c>
      <c r="X413" s="142">
        <v>155</v>
      </c>
      <c r="Y413" s="143">
        <v>122</v>
      </c>
      <c r="Z413" s="147">
        <v>10409</v>
      </c>
      <c r="AA413" s="145">
        <v>1041</v>
      </c>
      <c r="AC413" s="146">
        <v>14.1</v>
      </c>
      <c r="AD413" s="144">
        <v>30907</v>
      </c>
      <c r="AE413" s="145">
        <v>1545</v>
      </c>
      <c r="AF413" s="143">
        <v>8.19</v>
      </c>
      <c r="AH413" s="174">
        <f t="shared" si="19"/>
        <v>0.36630036630036633</v>
      </c>
      <c r="AI413" s="174"/>
      <c r="AJ413" s="186"/>
      <c r="AK413" s="174">
        <f>(($AK$2+Y413*Лист1!$B$7^2*Лист1!$G$8/100)/(AA413/10^6)+$AK$3/(AE413/10^6))/1000/($Q413*IF(Лист1!$J$19="да",1/1.05,1))</f>
        <v>3.0327345820848554E-2</v>
      </c>
      <c r="AL413" s="24"/>
      <c r="AM413" s="186"/>
      <c r="AN413" s="174">
        <f>(($AK$2+Y413*Лист1!$B$7^2*Лист1!$G$8/100)/(AA413/10^6)+$AK$3/(AE413/10^6))/1000/($Q413*IF(Лист1!$J$19="да",1/1.05,1))</f>
        <v>3.0327345820848554E-2</v>
      </c>
      <c r="AO413" s="24"/>
      <c r="AP413" s="186"/>
      <c r="AQ413" s="174">
        <f>MAX((5/384*($AQ$2+$Y413/100)*$D$17^4/(2.06*10^8*$Z413/10^8))/($D$17/300)*INDEX(Лист1!$L$34:$L$38,MATCH(Лист1!$B$8,Лист1!$I$34:$I$38,0),1),(5/384*($AQ$3)*$D$17^4/(2.06*10^8*$AD413/10^8))/($D$17/200))</f>
        <v>6.807437458435428E-2</v>
      </c>
      <c r="AR413" s="174"/>
      <c r="AS413" s="175"/>
      <c r="AT413" s="174">
        <f>MAX((5/384*($AT$2+$Y413/100)*$D$17^4/(2.06*10^8*$Z413/10^8))/($D$17/300)*INDEX(Лист1!$L$34:$L$38,MATCH(Лист1!$B$8,Лист1!$I$34:$I$38,0),1),(5/384*($AT$3)*$D$17^4/(2.06*10^8*$AD413/10^8))/($D$17/200))</f>
        <v>5.1547647806649777E-2</v>
      </c>
      <c r="AU413" s="174"/>
      <c r="AV413" s="174">
        <f>IF(OR(MAX(AH413,AQ413)&gt;1,AK413&gt;Лист1!$B$20,N413="-"),999999999,Y413*Лист1!$B$7+0.0001*O413)</f>
        <v>732.04100000000005</v>
      </c>
      <c r="AX413" s="174">
        <f>IF(OR(MAX(AH413,AT413)&gt;1,AN413&gt;Лист1!$B$20,N413="-"),999999999,Y413*Лист1!$B$7+0.0001*O413)</f>
        <v>732.04100000000005</v>
      </c>
    </row>
  </sheetData>
  <mergeCells count="2">
    <mergeCell ref="A17:B18"/>
    <mergeCell ref="A8:C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6"/>
  <sheetViews>
    <sheetView topLeftCell="A4" zoomScale="85" zoomScaleNormal="85" workbookViewId="0">
      <selection activeCell="T26" sqref="T20:AT26"/>
    </sheetView>
  </sheetViews>
  <sheetFormatPr defaultRowHeight="15" x14ac:dyDescent="0.25"/>
  <cols>
    <col min="35" max="36" width="11.5703125" bestFit="1" customWidth="1"/>
    <col min="45" max="45" width="11.5703125" bestFit="1" customWidth="1"/>
  </cols>
  <sheetData>
    <row r="1" spans="1:46" x14ac:dyDescent="0.25">
      <c r="A1" s="180" t="s">
        <v>305</v>
      </c>
    </row>
    <row r="3" spans="1:46" x14ac:dyDescent="0.25">
      <c r="A3" s="180" t="s">
        <v>306</v>
      </c>
    </row>
    <row r="4" spans="1:46" x14ac:dyDescent="0.25">
      <c r="A4" s="180"/>
    </row>
    <row r="5" spans="1:46" ht="15" customHeight="1" x14ac:dyDescent="0.25">
      <c r="A5" s="257" t="s">
        <v>307</v>
      </c>
      <c r="B5" s="257" t="s">
        <v>308</v>
      </c>
      <c r="C5" s="257"/>
      <c r="D5" s="257"/>
      <c r="E5" s="257"/>
      <c r="F5" s="257"/>
      <c r="G5" s="257"/>
      <c r="H5" s="257"/>
      <c r="I5" s="257"/>
      <c r="J5" s="257"/>
    </row>
    <row r="6" spans="1:46" ht="15" customHeight="1" x14ac:dyDescent="0.25">
      <c r="A6" s="257"/>
      <c r="B6" s="257" t="s">
        <v>309</v>
      </c>
      <c r="C6" s="257"/>
      <c r="D6" s="257"/>
      <c r="E6" s="257"/>
      <c r="F6" s="257"/>
      <c r="G6" s="257"/>
      <c r="H6" s="257"/>
      <c r="I6" s="257"/>
      <c r="J6" s="257"/>
    </row>
    <row r="7" spans="1:46" x14ac:dyDescent="0.25">
      <c r="A7" s="257"/>
      <c r="B7" s="257"/>
      <c r="C7" s="257"/>
      <c r="D7" s="257"/>
      <c r="E7" s="257"/>
      <c r="F7" s="257"/>
      <c r="G7" s="257"/>
      <c r="H7" s="257"/>
      <c r="I7" s="257"/>
      <c r="J7" s="257"/>
    </row>
    <row r="8" spans="1:46" x14ac:dyDescent="0.25">
      <c r="A8" s="181"/>
      <c r="B8" s="182">
        <v>0.1</v>
      </c>
      <c r="C8" s="182">
        <v>0.25</v>
      </c>
      <c r="D8" s="182">
        <v>0.5</v>
      </c>
      <c r="E8" s="182">
        <v>0.75</v>
      </c>
      <c r="F8" s="182">
        <v>1</v>
      </c>
      <c r="G8" s="182">
        <v>1.25</v>
      </c>
      <c r="H8" s="182">
        <v>1.5</v>
      </c>
      <c r="I8" s="182">
        <v>1.75</v>
      </c>
      <c r="J8" s="182">
        <v>2</v>
      </c>
      <c r="K8" s="182">
        <v>2.5</v>
      </c>
      <c r="L8" s="182">
        <v>3</v>
      </c>
      <c r="M8" s="182">
        <v>3.5</v>
      </c>
      <c r="N8" s="182">
        <v>4</v>
      </c>
      <c r="O8" s="182">
        <v>4.5</v>
      </c>
      <c r="P8" s="182">
        <v>5</v>
      </c>
      <c r="Q8" s="182">
        <v>5.5</v>
      </c>
      <c r="R8" s="182">
        <v>6</v>
      </c>
      <c r="S8" s="182">
        <v>6.5</v>
      </c>
      <c r="T8" s="182">
        <v>7</v>
      </c>
      <c r="U8" s="182">
        <v>7.5</v>
      </c>
      <c r="V8" s="182">
        <v>8</v>
      </c>
      <c r="W8" s="182">
        <v>8.5</v>
      </c>
      <c r="X8" s="182">
        <v>9</v>
      </c>
      <c r="Y8" s="182">
        <v>9.5</v>
      </c>
      <c r="Z8" s="182">
        <v>10</v>
      </c>
      <c r="AA8" s="182">
        <v>10.5</v>
      </c>
      <c r="AB8" s="182">
        <v>11</v>
      </c>
      <c r="AC8" s="182">
        <v>11.5</v>
      </c>
      <c r="AD8" s="182">
        <v>12</v>
      </c>
      <c r="AE8" s="182">
        <v>12.5</v>
      </c>
      <c r="AF8" s="182">
        <v>13</v>
      </c>
      <c r="AG8" s="182">
        <v>13.5</v>
      </c>
      <c r="AH8" s="182">
        <v>14</v>
      </c>
      <c r="AI8" s="182">
        <v>14.5</v>
      </c>
      <c r="AJ8" s="182">
        <v>15</v>
      </c>
      <c r="AK8" s="182">
        <v>15.5</v>
      </c>
      <c r="AL8" s="182">
        <v>16</v>
      </c>
      <c r="AM8" s="182">
        <v>16.5</v>
      </c>
      <c r="AN8" s="182">
        <v>17</v>
      </c>
      <c r="AO8" s="182">
        <v>17.5</v>
      </c>
      <c r="AP8" s="182">
        <v>18</v>
      </c>
      <c r="AQ8" s="182">
        <v>18.5</v>
      </c>
      <c r="AR8" s="182">
        <v>19</v>
      </c>
      <c r="AS8" s="182">
        <v>19.5</v>
      </c>
      <c r="AT8" s="182">
        <v>20</v>
      </c>
    </row>
    <row r="9" spans="1:46" x14ac:dyDescent="0.25">
      <c r="A9" s="183">
        <v>0.5</v>
      </c>
      <c r="B9">
        <v>967</v>
      </c>
      <c r="C9">
        <v>922</v>
      </c>
      <c r="D9">
        <v>850</v>
      </c>
      <c r="E9">
        <v>782</v>
      </c>
      <c r="F9">
        <v>722</v>
      </c>
      <c r="G9">
        <v>669</v>
      </c>
      <c r="H9">
        <v>620</v>
      </c>
      <c r="I9">
        <v>577</v>
      </c>
      <c r="J9">
        <v>538</v>
      </c>
      <c r="K9">
        <v>469</v>
      </c>
      <c r="L9">
        <v>417</v>
      </c>
      <c r="M9">
        <v>370</v>
      </c>
      <c r="N9">
        <v>337</v>
      </c>
      <c r="O9">
        <v>307</v>
      </c>
      <c r="P9">
        <v>280</v>
      </c>
      <c r="Q9">
        <v>260</v>
      </c>
      <c r="R9">
        <v>237</v>
      </c>
      <c r="S9">
        <v>222</v>
      </c>
      <c r="T9">
        <v>210</v>
      </c>
      <c r="U9">
        <v>196.5</v>
      </c>
      <c r="V9">
        <v>183</v>
      </c>
      <c r="W9">
        <v>173.5</v>
      </c>
      <c r="X9">
        <v>164</v>
      </c>
      <c r="Y9">
        <v>157</v>
      </c>
      <c r="Z9">
        <v>150</v>
      </c>
      <c r="AA9">
        <v>143.75</v>
      </c>
      <c r="AB9">
        <v>137.5</v>
      </c>
      <c r="AC9">
        <v>131.25</v>
      </c>
      <c r="AD9">
        <v>125</v>
      </c>
      <c r="AE9">
        <v>120.25</v>
      </c>
      <c r="AF9">
        <v>115.5</v>
      </c>
      <c r="AG9">
        <v>110.75</v>
      </c>
      <c r="AH9">
        <v>106</v>
      </c>
      <c r="AI9">
        <v>103.33333333333333</v>
      </c>
      <c r="AJ9">
        <v>100.66666666666667</v>
      </c>
      <c r="AK9">
        <v>98</v>
      </c>
      <c r="AL9">
        <v>95.333333333333329</v>
      </c>
      <c r="AM9">
        <v>92.666666666666671</v>
      </c>
      <c r="AN9">
        <v>90</v>
      </c>
      <c r="AO9">
        <v>87.833333333333329</v>
      </c>
      <c r="AP9">
        <v>85.666666666666671</v>
      </c>
      <c r="AQ9">
        <v>83.5</v>
      </c>
      <c r="AR9">
        <v>81.333333333333329</v>
      </c>
      <c r="AS9">
        <v>79.166666666666671</v>
      </c>
      <c r="AT9">
        <v>77</v>
      </c>
    </row>
    <row r="10" spans="1:46" x14ac:dyDescent="0.25">
      <c r="A10" s="183">
        <v>1</v>
      </c>
      <c r="B10">
        <v>925</v>
      </c>
      <c r="C10">
        <v>854</v>
      </c>
      <c r="D10">
        <v>778</v>
      </c>
      <c r="E10">
        <v>711</v>
      </c>
      <c r="F10">
        <v>653</v>
      </c>
      <c r="G10">
        <v>600</v>
      </c>
      <c r="H10">
        <v>563</v>
      </c>
      <c r="I10">
        <v>520</v>
      </c>
      <c r="J10">
        <v>484</v>
      </c>
      <c r="K10">
        <v>427</v>
      </c>
      <c r="L10">
        <v>382</v>
      </c>
      <c r="M10">
        <v>341</v>
      </c>
      <c r="N10">
        <v>307</v>
      </c>
      <c r="O10">
        <v>283</v>
      </c>
      <c r="P10">
        <v>259</v>
      </c>
      <c r="Q10">
        <v>240</v>
      </c>
      <c r="R10">
        <v>225</v>
      </c>
      <c r="S10">
        <v>209</v>
      </c>
      <c r="T10">
        <v>196</v>
      </c>
      <c r="U10">
        <v>185.5</v>
      </c>
      <c r="V10">
        <v>175</v>
      </c>
      <c r="W10">
        <v>166</v>
      </c>
      <c r="X10">
        <v>157</v>
      </c>
      <c r="Y10">
        <v>149.5</v>
      </c>
      <c r="Z10">
        <v>142</v>
      </c>
      <c r="AA10">
        <v>136.75</v>
      </c>
      <c r="AB10">
        <v>131.5</v>
      </c>
      <c r="AC10">
        <v>126.25</v>
      </c>
      <c r="AD10">
        <v>121</v>
      </c>
      <c r="AE10">
        <v>116.5</v>
      </c>
      <c r="AF10">
        <v>112</v>
      </c>
      <c r="AG10">
        <v>107.5</v>
      </c>
      <c r="AH10">
        <v>103</v>
      </c>
      <c r="AI10">
        <v>100.16666666666667</v>
      </c>
      <c r="AJ10">
        <v>97.333333333333329</v>
      </c>
      <c r="AK10">
        <v>94.5</v>
      </c>
      <c r="AL10">
        <v>91.666666666666671</v>
      </c>
      <c r="AM10">
        <v>88.833333333333329</v>
      </c>
      <c r="AN10">
        <v>86</v>
      </c>
      <c r="AO10">
        <v>84</v>
      </c>
      <c r="AP10">
        <v>82</v>
      </c>
      <c r="AQ10">
        <v>80</v>
      </c>
      <c r="AR10">
        <v>78</v>
      </c>
      <c r="AS10">
        <v>76</v>
      </c>
      <c r="AT10">
        <v>74</v>
      </c>
    </row>
    <row r="11" spans="1:46" x14ac:dyDescent="0.25">
      <c r="A11" s="183">
        <v>1.5</v>
      </c>
      <c r="B11">
        <v>875</v>
      </c>
      <c r="C11">
        <v>804</v>
      </c>
      <c r="D11">
        <v>716</v>
      </c>
      <c r="E11">
        <v>647</v>
      </c>
      <c r="F11">
        <v>593</v>
      </c>
      <c r="G11">
        <v>548</v>
      </c>
      <c r="H11">
        <v>507</v>
      </c>
      <c r="I11">
        <v>470</v>
      </c>
      <c r="J11">
        <v>439</v>
      </c>
      <c r="K11">
        <v>388</v>
      </c>
      <c r="L11">
        <v>347</v>
      </c>
      <c r="M11">
        <v>312</v>
      </c>
      <c r="N11">
        <v>283</v>
      </c>
      <c r="O11">
        <v>262</v>
      </c>
      <c r="P11">
        <v>240</v>
      </c>
      <c r="Q11">
        <v>223</v>
      </c>
      <c r="R11">
        <v>207</v>
      </c>
      <c r="S11">
        <v>195</v>
      </c>
      <c r="T11">
        <v>182</v>
      </c>
      <c r="U11">
        <v>172.5</v>
      </c>
      <c r="V11">
        <v>163</v>
      </c>
      <c r="W11">
        <v>155.5</v>
      </c>
      <c r="X11">
        <v>148</v>
      </c>
      <c r="Y11">
        <v>141</v>
      </c>
      <c r="Z11">
        <v>134</v>
      </c>
      <c r="AA11">
        <v>129</v>
      </c>
      <c r="AB11">
        <v>124</v>
      </c>
      <c r="AC11">
        <v>119</v>
      </c>
      <c r="AD11">
        <v>114</v>
      </c>
      <c r="AE11">
        <v>110.25</v>
      </c>
      <c r="AF11">
        <v>106.5</v>
      </c>
      <c r="AG11">
        <v>102.75</v>
      </c>
      <c r="AH11">
        <v>99</v>
      </c>
      <c r="AI11">
        <v>96.166666666666671</v>
      </c>
      <c r="AJ11">
        <v>93.333333333333329</v>
      </c>
      <c r="AK11">
        <v>90.5</v>
      </c>
      <c r="AL11">
        <v>87.666666666666671</v>
      </c>
      <c r="AM11">
        <v>84.833333333333329</v>
      </c>
      <c r="AN11">
        <v>82</v>
      </c>
      <c r="AO11">
        <v>80</v>
      </c>
      <c r="AP11">
        <v>78</v>
      </c>
      <c r="AQ11">
        <v>76</v>
      </c>
      <c r="AR11">
        <v>74</v>
      </c>
      <c r="AS11">
        <v>72</v>
      </c>
      <c r="AT11">
        <v>70</v>
      </c>
    </row>
    <row r="12" spans="1:46" x14ac:dyDescent="0.25">
      <c r="A12" s="183">
        <v>2</v>
      </c>
      <c r="B12">
        <v>813</v>
      </c>
      <c r="C12">
        <v>742</v>
      </c>
      <c r="D12">
        <v>653</v>
      </c>
      <c r="E12">
        <v>587</v>
      </c>
      <c r="F12">
        <v>536</v>
      </c>
      <c r="G12">
        <v>496</v>
      </c>
      <c r="H12">
        <v>457</v>
      </c>
      <c r="I12">
        <v>425</v>
      </c>
      <c r="J12">
        <v>397</v>
      </c>
      <c r="K12">
        <v>352</v>
      </c>
      <c r="L12">
        <v>315</v>
      </c>
      <c r="M12">
        <v>286</v>
      </c>
      <c r="N12">
        <v>260</v>
      </c>
      <c r="O12">
        <v>240</v>
      </c>
      <c r="P12">
        <v>222</v>
      </c>
      <c r="Q12">
        <v>206</v>
      </c>
      <c r="R12">
        <v>193</v>
      </c>
      <c r="S12">
        <v>182</v>
      </c>
      <c r="T12">
        <v>170</v>
      </c>
      <c r="U12">
        <v>161.5</v>
      </c>
      <c r="V12">
        <v>153</v>
      </c>
      <c r="W12">
        <v>145.5</v>
      </c>
      <c r="X12">
        <v>138</v>
      </c>
      <c r="Y12">
        <v>131.5</v>
      </c>
      <c r="Z12">
        <v>125</v>
      </c>
      <c r="AA12">
        <v>120.5</v>
      </c>
      <c r="AB12">
        <v>116</v>
      </c>
      <c r="AC12">
        <v>111.5</v>
      </c>
      <c r="AD12">
        <v>107</v>
      </c>
      <c r="AE12">
        <v>103.75</v>
      </c>
      <c r="AF12">
        <v>100.5</v>
      </c>
      <c r="AG12">
        <v>97.25</v>
      </c>
      <c r="AH12">
        <v>94</v>
      </c>
      <c r="AI12">
        <v>91.5</v>
      </c>
      <c r="AJ12">
        <v>89</v>
      </c>
      <c r="AK12">
        <v>86.5</v>
      </c>
      <c r="AL12">
        <v>84</v>
      </c>
      <c r="AM12">
        <v>81.5</v>
      </c>
      <c r="AN12">
        <v>79</v>
      </c>
      <c r="AO12">
        <v>77</v>
      </c>
      <c r="AP12">
        <v>75</v>
      </c>
      <c r="AQ12">
        <v>73</v>
      </c>
      <c r="AR12">
        <v>71</v>
      </c>
      <c r="AS12">
        <v>69</v>
      </c>
      <c r="AT12">
        <v>67</v>
      </c>
    </row>
    <row r="13" spans="1:46" x14ac:dyDescent="0.25">
      <c r="A13" s="183">
        <v>2.5</v>
      </c>
      <c r="B13">
        <v>742</v>
      </c>
      <c r="C13">
        <v>672</v>
      </c>
      <c r="D13">
        <v>587</v>
      </c>
      <c r="E13">
        <v>526</v>
      </c>
      <c r="F13">
        <v>480</v>
      </c>
      <c r="G13">
        <v>442</v>
      </c>
      <c r="H13">
        <v>410</v>
      </c>
      <c r="I13">
        <v>383</v>
      </c>
      <c r="J13">
        <v>357</v>
      </c>
      <c r="K13">
        <v>317</v>
      </c>
      <c r="L13">
        <v>287</v>
      </c>
      <c r="M13">
        <v>262</v>
      </c>
      <c r="N13">
        <v>238</v>
      </c>
      <c r="O13">
        <v>220</v>
      </c>
      <c r="P13">
        <v>204</v>
      </c>
      <c r="Q13">
        <v>190</v>
      </c>
      <c r="R13">
        <v>178</v>
      </c>
      <c r="S13">
        <v>168</v>
      </c>
      <c r="T13">
        <v>158</v>
      </c>
      <c r="U13">
        <v>151</v>
      </c>
      <c r="V13">
        <v>144</v>
      </c>
      <c r="W13">
        <v>137</v>
      </c>
      <c r="X13">
        <v>130</v>
      </c>
      <c r="Y13">
        <v>124</v>
      </c>
      <c r="Z13">
        <v>118</v>
      </c>
      <c r="AA13">
        <v>113.75</v>
      </c>
      <c r="AB13">
        <v>109.5</v>
      </c>
      <c r="AC13">
        <v>105.25</v>
      </c>
      <c r="AD13">
        <v>101</v>
      </c>
      <c r="AE13">
        <v>98.25</v>
      </c>
      <c r="AF13">
        <v>95.5</v>
      </c>
      <c r="AG13">
        <v>92.75</v>
      </c>
      <c r="AH13">
        <v>90</v>
      </c>
      <c r="AI13">
        <v>87.666666666666671</v>
      </c>
      <c r="AJ13">
        <v>85.333333333333329</v>
      </c>
      <c r="AK13">
        <v>83</v>
      </c>
      <c r="AL13">
        <v>80.666666666666671</v>
      </c>
      <c r="AM13">
        <v>78.333333333333329</v>
      </c>
      <c r="AN13">
        <v>76</v>
      </c>
      <c r="AO13">
        <v>74.166666666666671</v>
      </c>
      <c r="AP13">
        <v>72.333333333333329</v>
      </c>
      <c r="AQ13">
        <v>70.5</v>
      </c>
      <c r="AR13">
        <v>68.666666666666671</v>
      </c>
      <c r="AS13">
        <v>66.833333333333329</v>
      </c>
      <c r="AT13">
        <v>65</v>
      </c>
    </row>
    <row r="14" spans="1:46" x14ac:dyDescent="0.25">
      <c r="A14" s="183">
        <v>3</v>
      </c>
      <c r="B14">
        <v>667</v>
      </c>
      <c r="C14">
        <v>597</v>
      </c>
      <c r="D14">
        <v>520</v>
      </c>
      <c r="E14">
        <v>465</v>
      </c>
      <c r="F14">
        <v>425</v>
      </c>
      <c r="G14">
        <v>395</v>
      </c>
      <c r="H14">
        <v>365</v>
      </c>
      <c r="I14">
        <v>342</v>
      </c>
      <c r="J14">
        <v>320</v>
      </c>
      <c r="K14">
        <v>287</v>
      </c>
      <c r="L14">
        <v>260</v>
      </c>
      <c r="M14">
        <v>238</v>
      </c>
      <c r="N14">
        <v>217</v>
      </c>
      <c r="O14">
        <v>202</v>
      </c>
      <c r="P14">
        <v>187</v>
      </c>
      <c r="Q14">
        <v>175</v>
      </c>
      <c r="R14">
        <v>166</v>
      </c>
      <c r="S14">
        <v>156</v>
      </c>
      <c r="T14">
        <v>147</v>
      </c>
      <c r="U14">
        <v>141</v>
      </c>
      <c r="V14">
        <v>135</v>
      </c>
      <c r="W14">
        <v>129</v>
      </c>
      <c r="X14">
        <v>123</v>
      </c>
      <c r="Y14">
        <v>117.5</v>
      </c>
      <c r="Z14">
        <v>112</v>
      </c>
      <c r="AA14">
        <v>108.25</v>
      </c>
      <c r="AB14">
        <v>104.5</v>
      </c>
      <c r="AC14">
        <v>100.75</v>
      </c>
      <c r="AD14">
        <v>97</v>
      </c>
      <c r="AE14">
        <v>94.25</v>
      </c>
      <c r="AF14">
        <v>91.5</v>
      </c>
      <c r="AG14">
        <v>88.75</v>
      </c>
      <c r="AH14">
        <v>86</v>
      </c>
      <c r="AI14">
        <v>83.833333333333329</v>
      </c>
      <c r="AJ14">
        <v>81.666666666666671</v>
      </c>
      <c r="AK14">
        <v>79.5</v>
      </c>
      <c r="AL14">
        <v>77.333333333333329</v>
      </c>
      <c r="AM14">
        <v>75.166666666666671</v>
      </c>
      <c r="AN14">
        <v>73</v>
      </c>
      <c r="AO14">
        <v>71.333333333333329</v>
      </c>
      <c r="AP14">
        <v>69.666666666666671</v>
      </c>
      <c r="AQ14">
        <v>68</v>
      </c>
      <c r="AR14">
        <v>66.333333333333329</v>
      </c>
      <c r="AS14">
        <v>64.666666666666671</v>
      </c>
      <c r="AT14">
        <v>63</v>
      </c>
    </row>
    <row r="15" spans="1:46" x14ac:dyDescent="0.25">
      <c r="A15" s="183">
        <v>3.5</v>
      </c>
      <c r="B15">
        <v>587</v>
      </c>
      <c r="C15">
        <v>522</v>
      </c>
      <c r="D15">
        <v>455</v>
      </c>
      <c r="E15">
        <v>408</v>
      </c>
      <c r="F15">
        <v>375</v>
      </c>
      <c r="G15">
        <v>350</v>
      </c>
      <c r="H15">
        <v>325</v>
      </c>
      <c r="I15">
        <v>303</v>
      </c>
      <c r="J15">
        <v>287</v>
      </c>
      <c r="K15">
        <v>258</v>
      </c>
      <c r="L15">
        <v>233</v>
      </c>
      <c r="M15">
        <v>216</v>
      </c>
      <c r="N15">
        <v>198</v>
      </c>
      <c r="O15">
        <v>183</v>
      </c>
      <c r="P15">
        <v>172</v>
      </c>
      <c r="Q15">
        <v>162</v>
      </c>
      <c r="R15">
        <v>153</v>
      </c>
      <c r="S15">
        <v>145</v>
      </c>
      <c r="T15">
        <v>137</v>
      </c>
      <c r="U15">
        <v>131</v>
      </c>
      <c r="V15">
        <v>125</v>
      </c>
      <c r="W15">
        <v>120</v>
      </c>
      <c r="X15">
        <v>115</v>
      </c>
      <c r="Y15">
        <v>110.5</v>
      </c>
      <c r="Z15">
        <v>106</v>
      </c>
      <c r="AA15">
        <v>102.5</v>
      </c>
      <c r="AB15">
        <v>99</v>
      </c>
      <c r="AC15">
        <v>95.5</v>
      </c>
      <c r="AD15">
        <v>92</v>
      </c>
      <c r="AE15">
        <v>89.5</v>
      </c>
      <c r="AF15">
        <v>87</v>
      </c>
      <c r="AG15">
        <v>84.5</v>
      </c>
      <c r="AH15">
        <v>82</v>
      </c>
      <c r="AI15">
        <v>79.833333333333329</v>
      </c>
      <c r="AJ15">
        <v>77.666666666666671</v>
      </c>
      <c r="AK15">
        <v>75.5</v>
      </c>
      <c r="AL15">
        <v>73.333333333333329</v>
      </c>
      <c r="AM15">
        <v>71.166666666666671</v>
      </c>
      <c r="AN15">
        <v>69</v>
      </c>
      <c r="AO15">
        <v>67.5</v>
      </c>
      <c r="AP15">
        <v>66</v>
      </c>
      <c r="AQ15">
        <v>64.5</v>
      </c>
      <c r="AR15">
        <v>63</v>
      </c>
      <c r="AS15">
        <v>61.5</v>
      </c>
      <c r="AT15">
        <v>60</v>
      </c>
    </row>
    <row r="16" spans="1:46" x14ac:dyDescent="0.25">
      <c r="A16" s="183">
        <v>4</v>
      </c>
      <c r="B16">
        <v>505</v>
      </c>
      <c r="C16">
        <v>447</v>
      </c>
      <c r="D16">
        <v>394</v>
      </c>
      <c r="E16">
        <v>356</v>
      </c>
      <c r="F16">
        <v>330</v>
      </c>
      <c r="G16">
        <v>309</v>
      </c>
      <c r="H16">
        <v>289</v>
      </c>
      <c r="I16">
        <v>270</v>
      </c>
      <c r="J16">
        <v>256</v>
      </c>
      <c r="K16">
        <v>232</v>
      </c>
      <c r="L16">
        <v>212</v>
      </c>
      <c r="M16">
        <v>197</v>
      </c>
      <c r="N16">
        <v>181</v>
      </c>
      <c r="O16">
        <v>168</v>
      </c>
      <c r="P16">
        <v>158</v>
      </c>
      <c r="Q16">
        <v>149</v>
      </c>
      <c r="R16">
        <v>140</v>
      </c>
      <c r="S16">
        <v>135</v>
      </c>
      <c r="T16">
        <v>127</v>
      </c>
      <c r="U16">
        <v>122.5</v>
      </c>
      <c r="V16">
        <v>118</v>
      </c>
      <c r="W16">
        <v>113</v>
      </c>
      <c r="X16">
        <v>108</v>
      </c>
      <c r="Y16">
        <v>103</v>
      </c>
      <c r="Z16">
        <v>98</v>
      </c>
      <c r="AA16">
        <v>95.5</v>
      </c>
      <c r="AB16">
        <v>93</v>
      </c>
      <c r="AC16">
        <v>90.5</v>
      </c>
      <c r="AD16">
        <v>88</v>
      </c>
      <c r="AE16">
        <v>85.5</v>
      </c>
      <c r="AF16">
        <v>83</v>
      </c>
      <c r="AG16">
        <v>80.5</v>
      </c>
      <c r="AH16">
        <v>78</v>
      </c>
      <c r="AI16">
        <v>76</v>
      </c>
      <c r="AJ16">
        <v>74</v>
      </c>
      <c r="AK16">
        <v>72</v>
      </c>
      <c r="AL16">
        <v>70</v>
      </c>
      <c r="AM16">
        <v>68</v>
      </c>
      <c r="AN16">
        <v>66</v>
      </c>
      <c r="AO16">
        <v>64.5</v>
      </c>
      <c r="AP16">
        <v>63</v>
      </c>
      <c r="AQ16">
        <v>61.5</v>
      </c>
      <c r="AR16">
        <v>60</v>
      </c>
      <c r="AS16">
        <v>58.5</v>
      </c>
      <c r="AT16">
        <v>57</v>
      </c>
    </row>
    <row r="17" spans="1:46" x14ac:dyDescent="0.25">
      <c r="A17" s="183">
        <v>4.5</v>
      </c>
      <c r="B17">
        <v>418</v>
      </c>
      <c r="C17">
        <v>382</v>
      </c>
      <c r="D17">
        <v>342</v>
      </c>
      <c r="E17">
        <v>310</v>
      </c>
      <c r="F17">
        <v>288</v>
      </c>
      <c r="G17">
        <v>272</v>
      </c>
      <c r="H17">
        <v>257</v>
      </c>
      <c r="I17">
        <v>242</v>
      </c>
      <c r="J17">
        <v>229</v>
      </c>
      <c r="K17">
        <v>208</v>
      </c>
      <c r="L17">
        <v>192</v>
      </c>
      <c r="M17">
        <v>178</v>
      </c>
      <c r="N17">
        <v>165</v>
      </c>
      <c r="O17">
        <v>155</v>
      </c>
      <c r="P17">
        <v>146</v>
      </c>
      <c r="Q17">
        <v>137</v>
      </c>
      <c r="R17">
        <v>130</v>
      </c>
      <c r="S17">
        <v>125</v>
      </c>
      <c r="T17">
        <v>118</v>
      </c>
      <c r="U17">
        <v>114</v>
      </c>
      <c r="V17">
        <v>110</v>
      </c>
      <c r="W17">
        <v>105.5</v>
      </c>
      <c r="X17">
        <v>101</v>
      </c>
      <c r="Y17">
        <v>97</v>
      </c>
      <c r="Z17">
        <v>93</v>
      </c>
      <c r="AA17">
        <v>90.5</v>
      </c>
      <c r="AB17">
        <v>88</v>
      </c>
      <c r="AC17">
        <v>85.5</v>
      </c>
      <c r="AD17">
        <v>83</v>
      </c>
      <c r="AE17">
        <v>81</v>
      </c>
      <c r="AF17">
        <v>79</v>
      </c>
      <c r="AG17">
        <v>77</v>
      </c>
      <c r="AH17">
        <v>75</v>
      </c>
      <c r="AI17">
        <v>73.166666666666671</v>
      </c>
      <c r="AJ17">
        <v>71.333333333333329</v>
      </c>
      <c r="AK17">
        <v>69.5</v>
      </c>
      <c r="AL17">
        <v>67.666666666666671</v>
      </c>
      <c r="AM17">
        <v>65.833333333333329</v>
      </c>
      <c r="AN17">
        <v>64</v>
      </c>
      <c r="AO17">
        <v>62.5</v>
      </c>
      <c r="AP17">
        <v>61</v>
      </c>
      <c r="AQ17">
        <v>59.5</v>
      </c>
      <c r="AR17">
        <v>58</v>
      </c>
      <c r="AS17">
        <v>56.5</v>
      </c>
      <c r="AT17">
        <v>55</v>
      </c>
    </row>
    <row r="18" spans="1:46" x14ac:dyDescent="0.25">
      <c r="A18" s="183">
        <v>5</v>
      </c>
      <c r="B18">
        <v>354</v>
      </c>
      <c r="C18">
        <v>326</v>
      </c>
      <c r="D18">
        <v>295</v>
      </c>
      <c r="E18">
        <v>273</v>
      </c>
      <c r="F18">
        <v>253</v>
      </c>
      <c r="G18">
        <v>239</v>
      </c>
      <c r="H18">
        <v>225</v>
      </c>
      <c r="I18">
        <v>215</v>
      </c>
      <c r="J18">
        <v>205</v>
      </c>
      <c r="K18">
        <v>188</v>
      </c>
      <c r="L18">
        <v>175</v>
      </c>
      <c r="M18">
        <v>162</v>
      </c>
      <c r="N18">
        <v>150</v>
      </c>
      <c r="O18">
        <v>143</v>
      </c>
      <c r="P18">
        <v>135</v>
      </c>
      <c r="Q18">
        <v>126</v>
      </c>
      <c r="R18">
        <v>120</v>
      </c>
      <c r="S18">
        <v>117</v>
      </c>
      <c r="T18">
        <v>111</v>
      </c>
      <c r="U18">
        <v>107</v>
      </c>
      <c r="V18">
        <v>103</v>
      </c>
      <c r="W18">
        <v>99</v>
      </c>
      <c r="X18">
        <v>95</v>
      </c>
      <c r="Y18">
        <v>91.5</v>
      </c>
      <c r="Z18">
        <v>88</v>
      </c>
      <c r="AA18">
        <v>85.75</v>
      </c>
      <c r="AB18">
        <v>83.5</v>
      </c>
      <c r="AC18">
        <v>81.25</v>
      </c>
      <c r="AD18">
        <v>79</v>
      </c>
      <c r="AE18">
        <v>77.25</v>
      </c>
      <c r="AF18">
        <v>75.5</v>
      </c>
      <c r="AG18">
        <v>73.75</v>
      </c>
      <c r="AH18">
        <v>72</v>
      </c>
      <c r="AI18">
        <v>70.333333333333329</v>
      </c>
      <c r="AJ18">
        <v>68.666666666666671</v>
      </c>
      <c r="AK18">
        <v>67</v>
      </c>
      <c r="AL18">
        <v>65.333333333333329</v>
      </c>
      <c r="AM18">
        <v>63.666666666666664</v>
      </c>
      <c r="AN18">
        <v>62</v>
      </c>
      <c r="AO18">
        <v>60.5</v>
      </c>
      <c r="AP18">
        <v>59</v>
      </c>
      <c r="AQ18">
        <v>57.5</v>
      </c>
      <c r="AR18">
        <v>56</v>
      </c>
      <c r="AS18">
        <v>54.5</v>
      </c>
      <c r="AT18">
        <v>53</v>
      </c>
    </row>
    <row r="19" spans="1:46" x14ac:dyDescent="0.25">
      <c r="A19" s="183">
        <v>5.5</v>
      </c>
      <c r="B19">
        <v>302</v>
      </c>
      <c r="C19">
        <v>280</v>
      </c>
      <c r="D19">
        <v>256</v>
      </c>
      <c r="E19">
        <v>240</v>
      </c>
      <c r="F19">
        <v>224</v>
      </c>
      <c r="G19">
        <v>212</v>
      </c>
      <c r="H19">
        <v>200</v>
      </c>
      <c r="I19">
        <v>192</v>
      </c>
      <c r="J19">
        <v>184</v>
      </c>
      <c r="K19">
        <v>170</v>
      </c>
      <c r="L19">
        <v>158</v>
      </c>
      <c r="M19">
        <v>148</v>
      </c>
      <c r="N19">
        <v>138</v>
      </c>
      <c r="O19">
        <v>132</v>
      </c>
      <c r="P19">
        <v>124</v>
      </c>
      <c r="Q19">
        <v>117</v>
      </c>
      <c r="R19">
        <v>112</v>
      </c>
      <c r="S19">
        <v>108</v>
      </c>
      <c r="T19">
        <v>104</v>
      </c>
      <c r="U19">
        <v>99.5</v>
      </c>
      <c r="V19">
        <v>95</v>
      </c>
      <c r="W19">
        <v>92</v>
      </c>
      <c r="X19">
        <v>89</v>
      </c>
      <c r="Y19">
        <v>86.5</v>
      </c>
      <c r="Z19">
        <v>84</v>
      </c>
      <c r="AA19">
        <v>81.75</v>
      </c>
      <c r="AB19">
        <v>79.5</v>
      </c>
      <c r="AC19">
        <v>77.25</v>
      </c>
      <c r="AD19">
        <v>75</v>
      </c>
      <c r="AE19">
        <v>73.5</v>
      </c>
      <c r="AF19">
        <v>72</v>
      </c>
      <c r="AG19">
        <v>70.5</v>
      </c>
      <c r="AH19">
        <v>69</v>
      </c>
      <c r="AI19">
        <v>67.5</v>
      </c>
      <c r="AJ19">
        <v>66</v>
      </c>
      <c r="AK19">
        <v>64.5</v>
      </c>
      <c r="AL19">
        <v>63</v>
      </c>
      <c r="AM19">
        <v>61.5</v>
      </c>
      <c r="AN19">
        <v>60</v>
      </c>
      <c r="AO19">
        <v>58.5</v>
      </c>
      <c r="AP19">
        <v>57</v>
      </c>
      <c r="AQ19">
        <v>55.5</v>
      </c>
      <c r="AR19">
        <v>54</v>
      </c>
      <c r="AS19">
        <v>52.5</v>
      </c>
      <c r="AT19">
        <v>51</v>
      </c>
    </row>
    <row r="20" spans="1:46" x14ac:dyDescent="0.25">
      <c r="A20" s="183">
        <v>6</v>
      </c>
      <c r="B20">
        <v>258</v>
      </c>
      <c r="C20">
        <v>244</v>
      </c>
      <c r="D20">
        <v>223</v>
      </c>
      <c r="E20">
        <v>210</v>
      </c>
      <c r="F20">
        <v>198</v>
      </c>
      <c r="G20">
        <v>190</v>
      </c>
      <c r="H20">
        <v>178</v>
      </c>
      <c r="I20">
        <v>172</v>
      </c>
      <c r="J20">
        <v>166</v>
      </c>
      <c r="K20">
        <v>153</v>
      </c>
      <c r="L20">
        <v>145</v>
      </c>
      <c r="M20">
        <v>137</v>
      </c>
      <c r="N20">
        <v>128</v>
      </c>
      <c r="O20">
        <v>120</v>
      </c>
      <c r="P20">
        <v>115</v>
      </c>
      <c r="Q20">
        <v>109</v>
      </c>
      <c r="R20">
        <v>104</v>
      </c>
      <c r="S20">
        <v>100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 t="s">
        <v>310</v>
      </c>
      <c r="Z20" t="s">
        <v>310</v>
      </c>
      <c r="AA20" t="s">
        <v>310</v>
      </c>
      <c r="AB20" t="s">
        <v>310</v>
      </c>
      <c r="AC20" t="s">
        <v>310</v>
      </c>
      <c r="AD20" t="s">
        <v>310</v>
      </c>
      <c r="AE20" t="s">
        <v>310</v>
      </c>
      <c r="AF20" t="s">
        <v>310</v>
      </c>
      <c r="AG20" t="s">
        <v>310</v>
      </c>
      <c r="AH20" t="s">
        <v>310</v>
      </c>
      <c r="AI20" t="s">
        <v>310</v>
      </c>
      <c r="AJ20" t="s">
        <v>310</v>
      </c>
      <c r="AK20" t="s">
        <v>310</v>
      </c>
      <c r="AL20" t="s">
        <v>310</v>
      </c>
      <c r="AM20" t="s">
        <v>310</v>
      </c>
      <c r="AN20" t="s">
        <v>310</v>
      </c>
      <c r="AO20" t="s">
        <v>310</v>
      </c>
      <c r="AP20" t="s">
        <v>310</v>
      </c>
      <c r="AQ20" t="s">
        <v>310</v>
      </c>
      <c r="AR20" t="s">
        <v>310</v>
      </c>
      <c r="AS20" t="s">
        <v>310</v>
      </c>
      <c r="AT20" t="s">
        <v>310</v>
      </c>
    </row>
    <row r="21" spans="1:46" x14ac:dyDescent="0.25">
      <c r="A21" s="183">
        <v>6.5</v>
      </c>
      <c r="B21">
        <v>223</v>
      </c>
      <c r="C21">
        <v>213</v>
      </c>
      <c r="D21">
        <v>196</v>
      </c>
      <c r="E21">
        <v>185</v>
      </c>
      <c r="F21">
        <v>176</v>
      </c>
      <c r="G21">
        <v>170</v>
      </c>
      <c r="H21">
        <v>160</v>
      </c>
      <c r="I21">
        <v>155</v>
      </c>
      <c r="J21">
        <v>149</v>
      </c>
      <c r="K21">
        <v>140</v>
      </c>
      <c r="L21">
        <v>132</v>
      </c>
      <c r="M21">
        <v>125</v>
      </c>
      <c r="N21">
        <v>117</v>
      </c>
      <c r="O21">
        <v>112</v>
      </c>
      <c r="P21">
        <v>106</v>
      </c>
      <c r="Q21">
        <v>101</v>
      </c>
      <c r="R21">
        <v>97</v>
      </c>
      <c r="S21">
        <v>94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 t="s">
        <v>310</v>
      </c>
      <c r="Z21" t="s">
        <v>310</v>
      </c>
      <c r="AA21" t="s">
        <v>310</v>
      </c>
      <c r="AB21" t="s">
        <v>310</v>
      </c>
      <c r="AC21" t="s">
        <v>310</v>
      </c>
      <c r="AD21" t="s">
        <v>310</v>
      </c>
      <c r="AE21" t="s">
        <v>310</v>
      </c>
      <c r="AF21" t="s">
        <v>310</v>
      </c>
      <c r="AG21" t="s">
        <v>310</v>
      </c>
      <c r="AH21" t="s">
        <v>310</v>
      </c>
      <c r="AI21" t="s">
        <v>310</v>
      </c>
      <c r="AJ21" t="s">
        <v>310</v>
      </c>
      <c r="AK21" t="s">
        <v>310</v>
      </c>
      <c r="AL21" t="s">
        <v>310</v>
      </c>
      <c r="AM21" t="s">
        <v>310</v>
      </c>
      <c r="AN21" t="s">
        <v>310</v>
      </c>
      <c r="AO21" t="s">
        <v>310</v>
      </c>
      <c r="AP21" t="s">
        <v>310</v>
      </c>
      <c r="AQ21" t="s">
        <v>310</v>
      </c>
      <c r="AR21" t="s">
        <v>310</v>
      </c>
      <c r="AS21" t="s">
        <v>310</v>
      </c>
      <c r="AT21" t="s">
        <v>310</v>
      </c>
    </row>
    <row r="22" spans="1:46" x14ac:dyDescent="0.25">
      <c r="A22" s="183">
        <v>7</v>
      </c>
      <c r="B22">
        <v>194</v>
      </c>
      <c r="C22">
        <v>186</v>
      </c>
      <c r="D22">
        <v>173</v>
      </c>
      <c r="E22">
        <v>163</v>
      </c>
      <c r="F22">
        <v>157</v>
      </c>
      <c r="G22">
        <v>152</v>
      </c>
      <c r="H22">
        <v>145</v>
      </c>
      <c r="I22">
        <v>141</v>
      </c>
      <c r="J22">
        <v>136</v>
      </c>
      <c r="K22">
        <v>127</v>
      </c>
      <c r="L22">
        <v>121</v>
      </c>
      <c r="M22">
        <v>115</v>
      </c>
      <c r="N22">
        <v>108</v>
      </c>
      <c r="O22">
        <v>102</v>
      </c>
      <c r="P22">
        <v>98</v>
      </c>
      <c r="Q22">
        <v>94</v>
      </c>
      <c r="R22">
        <v>91</v>
      </c>
      <c r="S22">
        <v>87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 t="s">
        <v>310</v>
      </c>
      <c r="Z22" t="s">
        <v>310</v>
      </c>
      <c r="AA22" t="s">
        <v>310</v>
      </c>
      <c r="AB22" t="s">
        <v>310</v>
      </c>
      <c r="AC22" t="s">
        <v>310</v>
      </c>
      <c r="AD22" t="s">
        <v>310</v>
      </c>
      <c r="AE22" t="s">
        <v>310</v>
      </c>
      <c r="AF22" t="s">
        <v>310</v>
      </c>
      <c r="AG22" t="s">
        <v>310</v>
      </c>
      <c r="AH22" t="s">
        <v>310</v>
      </c>
      <c r="AI22" t="s">
        <v>310</v>
      </c>
      <c r="AJ22" t="s">
        <v>310</v>
      </c>
      <c r="AK22" t="s">
        <v>310</v>
      </c>
      <c r="AL22" t="s">
        <v>310</v>
      </c>
      <c r="AM22" t="s">
        <v>310</v>
      </c>
      <c r="AN22" t="s">
        <v>310</v>
      </c>
      <c r="AO22" t="s">
        <v>310</v>
      </c>
      <c r="AP22" t="s">
        <v>310</v>
      </c>
      <c r="AQ22" t="s">
        <v>310</v>
      </c>
      <c r="AR22" t="s">
        <v>310</v>
      </c>
      <c r="AS22" t="s">
        <v>310</v>
      </c>
      <c r="AT22" t="s">
        <v>310</v>
      </c>
    </row>
    <row r="23" spans="1:46" x14ac:dyDescent="0.25">
      <c r="A23" s="183">
        <v>7.5</v>
      </c>
      <c r="B23">
        <v>173</v>
      </c>
      <c r="C23">
        <v>166</v>
      </c>
      <c r="D23">
        <v>155.5</v>
      </c>
      <c r="E23">
        <v>148</v>
      </c>
      <c r="F23">
        <v>142.5</v>
      </c>
      <c r="G23">
        <v>136.5</v>
      </c>
      <c r="H23">
        <v>131</v>
      </c>
      <c r="I23">
        <v>128</v>
      </c>
      <c r="J23">
        <v>124.5</v>
      </c>
      <c r="K23">
        <v>116.5</v>
      </c>
      <c r="L23">
        <v>110.5</v>
      </c>
      <c r="M23">
        <v>105</v>
      </c>
      <c r="N23">
        <v>99.5</v>
      </c>
      <c r="O23">
        <v>94.5</v>
      </c>
      <c r="P23">
        <v>90.5</v>
      </c>
      <c r="Q23">
        <v>87.5</v>
      </c>
      <c r="R23">
        <v>84.5</v>
      </c>
      <c r="S23">
        <v>81.5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 t="s">
        <v>310</v>
      </c>
      <c r="Z23" t="s">
        <v>310</v>
      </c>
      <c r="AA23" t="s">
        <v>310</v>
      </c>
      <c r="AB23" t="s">
        <v>310</v>
      </c>
      <c r="AC23" t="s">
        <v>310</v>
      </c>
      <c r="AD23" t="s">
        <v>310</v>
      </c>
      <c r="AE23" t="s">
        <v>310</v>
      </c>
      <c r="AF23" t="s">
        <v>310</v>
      </c>
      <c r="AG23" t="s">
        <v>310</v>
      </c>
      <c r="AH23" t="s">
        <v>310</v>
      </c>
      <c r="AI23" t="s">
        <v>310</v>
      </c>
      <c r="AJ23" t="s">
        <v>310</v>
      </c>
      <c r="AK23" t="s">
        <v>310</v>
      </c>
      <c r="AL23" t="s">
        <v>310</v>
      </c>
      <c r="AM23" t="s">
        <v>310</v>
      </c>
      <c r="AN23" t="s">
        <v>310</v>
      </c>
      <c r="AO23" t="s">
        <v>310</v>
      </c>
      <c r="AP23" t="s">
        <v>310</v>
      </c>
      <c r="AQ23" t="s">
        <v>310</v>
      </c>
      <c r="AR23" t="s">
        <v>310</v>
      </c>
      <c r="AS23" t="s">
        <v>310</v>
      </c>
      <c r="AT23" t="s">
        <v>310</v>
      </c>
    </row>
    <row r="24" spans="1:46" x14ac:dyDescent="0.25">
      <c r="A24" s="183">
        <v>8</v>
      </c>
      <c r="B24">
        <v>152</v>
      </c>
      <c r="C24">
        <v>146</v>
      </c>
      <c r="D24">
        <v>138</v>
      </c>
      <c r="E24">
        <v>133</v>
      </c>
      <c r="F24">
        <v>128</v>
      </c>
      <c r="G24">
        <v>121</v>
      </c>
      <c r="H24">
        <v>117</v>
      </c>
      <c r="I24">
        <v>115</v>
      </c>
      <c r="J24">
        <v>113</v>
      </c>
      <c r="K24">
        <v>106</v>
      </c>
      <c r="L24">
        <v>100</v>
      </c>
      <c r="M24">
        <v>95</v>
      </c>
      <c r="N24">
        <v>91</v>
      </c>
      <c r="O24">
        <v>87</v>
      </c>
      <c r="P24">
        <v>83</v>
      </c>
      <c r="Q24">
        <v>81</v>
      </c>
      <c r="R24">
        <v>78</v>
      </c>
      <c r="S24">
        <v>76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 t="s">
        <v>310</v>
      </c>
      <c r="Z24" t="s">
        <v>310</v>
      </c>
      <c r="AA24" t="s">
        <v>310</v>
      </c>
      <c r="AB24" t="s">
        <v>310</v>
      </c>
      <c r="AC24" t="s">
        <v>310</v>
      </c>
      <c r="AD24" t="s">
        <v>310</v>
      </c>
      <c r="AE24" t="s">
        <v>310</v>
      </c>
      <c r="AF24" t="s">
        <v>310</v>
      </c>
      <c r="AG24" t="s">
        <v>310</v>
      </c>
      <c r="AH24" t="s">
        <v>310</v>
      </c>
      <c r="AI24" t="s">
        <v>310</v>
      </c>
      <c r="AJ24" t="s">
        <v>310</v>
      </c>
      <c r="AK24" t="s">
        <v>310</v>
      </c>
      <c r="AL24" t="s">
        <v>310</v>
      </c>
      <c r="AM24" t="s">
        <v>310</v>
      </c>
      <c r="AN24" t="s">
        <v>310</v>
      </c>
      <c r="AO24" t="s">
        <v>310</v>
      </c>
      <c r="AP24" t="s">
        <v>310</v>
      </c>
      <c r="AQ24" t="s">
        <v>310</v>
      </c>
      <c r="AR24" t="s">
        <v>310</v>
      </c>
      <c r="AS24" t="s">
        <v>310</v>
      </c>
      <c r="AT24" t="s">
        <v>310</v>
      </c>
    </row>
    <row r="25" spans="1:46" x14ac:dyDescent="0.25">
      <c r="A25" s="183">
        <v>8.5</v>
      </c>
      <c r="B25">
        <v>137</v>
      </c>
      <c r="C25">
        <v>131.5</v>
      </c>
      <c r="D25">
        <v>125</v>
      </c>
      <c r="E25">
        <v>120</v>
      </c>
      <c r="F25">
        <v>115.5</v>
      </c>
      <c r="G25">
        <v>110.5</v>
      </c>
      <c r="H25">
        <v>107.5</v>
      </c>
      <c r="I25">
        <v>105.5</v>
      </c>
      <c r="J25">
        <v>103</v>
      </c>
      <c r="K25">
        <v>53</v>
      </c>
      <c r="L25">
        <v>50</v>
      </c>
      <c r="M25">
        <v>47.5</v>
      </c>
      <c r="N25">
        <v>45.5</v>
      </c>
      <c r="O25">
        <v>43.5</v>
      </c>
      <c r="P25">
        <v>41.5</v>
      </c>
      <c r="Q25">
        <v>40.5</v>
      </c>
      <c r="R25">
        <v>39</v>
      </c>
      <c r="S25">
        <v>38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 t="s">
        <v>310</v>
      </c>
      <c r="Z25" t="s">
        <v>310</v>
      </c>
      <c r="AA25" t="s">
        <v>310</v>
      </c>
      <c r="AB25" t="s">
        <v>310</v>
      </c>
      <c r="AC25" t="s">
        <v>310</v>
      </c>
      <c r="AD25" t="s">
        <v>310</v>
      </c>
      <c r="AE25" t="s">
        <v>310</v>
      </c>
      <c r="AF25" t="s">
        <v>310</v>
      </c>
      <c r="AG25" t="s">
        <v>310</v>
      </c>
      <c r="AH25" t="s">
        <v>310</v>
      </c>
      <c r="AI25" t="s">
        <v>310</v>
      </c>
      <c r="AJ25" t="s">
        <v>310</v>
      </c>
      <c r="AK25" t="s">
        <v>310</v>
      </c>
      <c r="AL25" t="s">
        <v>310</v>
      </c>
      <c r="AM25" t="s">
        <v>310</v>
      </c>
      <c r="AN25" t="s">
        <v>310</v>
      </c>
      <c r="AO25" t="s">
        <v>310</v>
      </c>
      <c r="AP25" t="s">
        <v>310</v>
      </c>
      <c r="AQ25" t="s">
        <v>310</v>
      </c>
      <c r="AR25" t="s">
        <v>310</v>
      </c>
      <c r="AS25" t="s">
        <v>310</v>
      </c>
      <c r="AT25" t="s">
        <v>310</v>
      </c>
    </row>
    <row r="26" spans="1:46" x14ac:dyDescent="0.25">
      <c r="A26" s="183">
        <v>9</v>
      </c>
      <c r="B26">
        <v>122</v>
      </c>
      <c r="C26">
        <v>117</v>
      </c>
      <c r="D26">
        <v>112</v>
      </c>
      <c r="E26">
        <v>107</v>
      </c>
      <c r="F26">
        <v>103</v>
      </c>
      <c r="G26">
        <v>100</v>
      </c>
      <c r="H26">
        <v>98</v>
      </c>
      <c r="I26">
        <v>96</v>
      </c>
      <c r="J26">
        <v>93</v>
      </c>
      <c r="K26" t="s">
        <v>310</v>
      </c>
      <c r="L26" t="s">
        <v>310</v>
      </c>
      <c r="M26" t="s">
        <v>310</v>
      </c>
      <c r="N26" t="s">
        <v>310</v>
      </c>
      <c r="O26" t="s">
        <v>310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 t="s">
        <v>310</v>
      </c>
      <c r="Z26" t="s">
        <v>310</v>
      </c>
      <c r="AA26" t="s">
        <v>310</v>
      </c>
      <c r="AB26" t="s">
        <v>310</v>
      </c>
      <c r="AC26" t="s">
        <v>310</v>
      </c>
      <c r="AD26" t="s">
        <v>310</v>
      </c>
      <c r="AE26" t="s">
        <v>310</v>
      </c>
      <c r="AF26" t="s">
        <v>310</v>
      </c>
      <c r="AG26" t="s">
        <v>310</v>
      </c>
      <c r="AH26" t="s">
        <v>310</v>
      </c>
      <c r="AI26" t="s">
        <v>310</v>
      </c>
      <c r="AJ26" t="s">
        <v>310</v>
      </c>
      <c r="AK26" t="s">
        <v>310</v>
      </c>
      <c r="AL26" t="s">
        <v>310</v>
      </c>
      <c r="AM26" t="s">
        <v>310</v>
      </c>
      <c r="AN26" t="s">
        <v>310</v>
      </c>
      <c r="AO26" t="s">
        <v>310</v>
      </c>
      <c r="AP26" t="s">
        <v>310</v>
      </c>
      <c r="AQ26" t="s">
        <v>310</v>
      </c>
      <c r="AR26" t="s">
        <v>310</v>
      </c>
      <c r="AS26" t="s">
        <v>310</v>
      </c>
      <c r="AT26" t="s">
        <v>310</v>
      </c>
    </row>
  </sheetData>
  <mergeCells count="4">
    <mergeCell ref="A5:A7"/>
    <mergeCell ref="B5:J5"/>
    <mergeCell ref="B6:J6"/>
    <mergeCell ref="B7:J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74"/>
  <sheetViews>
    <sheetView topLeftCell="A9" workbookViewId="0">
      <selection activeCell="B19" sqref="B19"/>
    </sheetView>
  </sheetViews>
  <sheetFormatPr defaultRowHeight="15" x14ac:dyDescent="0.25"/>
  <cols>
    <col min="1" max="1" width="13.42578125" customWidth="1"/>
    <col min="2" max="2" width="15.7109375" customWidth="1"/>
    <col min="3" max="3" width="12.42578125" customWidth="1"/>
    <col min="5" max="6" width="10.28515625" bestFit="1" customWidth="1"/>
    <col min="12" max="12" width="10.28515625" bestFit="1" customWidth="1"/>
    <col min="17" max="17" width="10.28515625" bestFit="1" customWidth="1"/>
  </cols>
  <sheetData>
    <row r="1" spans="1:17" ht="15.75" thickBot="1" x14ac:dyDescent="0.3">
      <c r="B1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</row>
    <row r="2" spans="1:17" ht="15.75" thickBot="1" x14ac:dyDescent="0.3">
      <c r="B2" s="7" t="s">
        <v>137</v>
      </c>
      <c r="C2" s="8">
        <v>0.17</v>
      </c>
      <c r="D2" s="8">
        <v>0.23</v>
      </c>
      <c r="E2" s="6">
        <v>0.3</v>
      </c>
      <c r="F2" s="6">
        <v>0.38</v>
      </c>
      <c r="G2" s="6">
        <v>0.48</v>
      </c>
      <c r="H2" s="6">
        <v>0.6</v>
      </c>
      <c r="I2" s="6">
        <v>0.73</v>
      </c>
      <c r="J2" s="6">
        <v>0.85</v>
      </c>
    </row>
    <row r="3" spans="1:17" ht="15.75" thickBot="1" x14ac:dyDescent="0.3">
      <c r="B3" s="9"/>
      <c r="C3" s="10"/>
      <c r="D3" s="10"/>
      <c r="E3" s="10"/>
      <c r="F3" s="10"/>
      <c r="G3" s="10"/>
      <c r="H3" s="10"/>
      <c r="I3" s="10"/>
      <c r="J3" s="10"/>
    </row>
    <row r="4" spans="1:17" ht="43.5" customHeight="1" thickBot="1" x14ac:dyDescent="0.3">
      <c r="B4" s="11" t="s">
        <v>21</v>
      </c>
      <c r="C4" s="12" t="str">
        <f>Лист1!B14</f>
        <v>А</v>
      </c>
      <c r="D4" s="13"/>
      <c r="E4" s="10"/>
      <c r="F4" s="10"/>
      <c r="G4" s="10"/>
      <c r="H4" s="10"/>
      <c r="I4" s="10"/>
      <c r="J4" s="10"/>
    </row>
    <row r="5" spans="1:17" ht="29.25" thickBot="1" x14ac:dyDescent="0.3">
      <c r="B5" s="14" t="s">
        <v>12</v>
      </c>
      <c r="C5" s="6"/>
      <c r="D5" s="15"/>
      <c r="E5" s="10"/>
      <c r="F5" s="10"/>
      <c r="G5" s="10"/>
      <c r="H5" s="10"/>
      <c r="I5" s="10"/>
      <c r="J5" s="10"/>
    </row>
    <row r="6" spans="1:17" x14ac:dyDescent="0.25">
      <c r="B6" s="16" t="s">
        <v>22</v>
      </c>
      <c r="C6" s="17">
        <f>Лист1!B10</f>
        <v>18</v>
      </c>
      <c r="D6" s="18" t="s">
        <v>11</v>
      </c>
      <c r="E6" s="10"/>
      <c r="F6" s="10"/>
      <c r="G6" s="10"/>
      <c r="H6" s="10"/>
      <c r="I6" s="10"/>
      <c r="J6" s="10"/>
    </row>
    <row r="7" spans="1:17" x14ac:dyDescent="0.25">
      <c r="B7" s="16" t="s">
        <v>23</v>
      </c>
      <c r="C7" s="17">
        <f>Лист1!B11</f>
        <v>42</v>
      </c>
      <c r="D7" s="18" t="s">
        <v>11</v>
      </c>
      <c r="E7" s="10"/>
      <c r="F7" s="10"/>
      <c r="G7" s="10"/>
      <c r="H7" s="10"/>
      <c r="I7" s="10"/>
      <c r="J7" s="10"/>
    </row>
    <row r="8" spans="1:17" x14ac:dyDescent="0.25">
      <c r="B8" s="16" t="s">
        <v>24</v>
      </c>
      <c r="C8" s="17">
        <f>Лист1!B9</f>
        <v>6</v>
      </c>
      <c r="D8" s="18" t="s">
        <v>11</v>
      </c>
    </row>
    <row r="9" spans="1:17" ht="15" customHeight="1" x14ac:dyDescent="0.25">
      <c r="A9" s="261"/>
      <c r="B9" s="19" t="s">
        <v>138</v>
      </c>
      <c r="C9" s="20">
        <f>Лист1!B15</f>
        <v>0.38</v>
      </c>
      <c r="D9" s="21" t="s">
        <v>25</v>
      </c>
      <c r="E9" s="22"/>
      <c r="F9" s="23"/>
      <c r="G9" s="24"/>
    </row>
    <row r="10" spans="1:17" ht="15" customHeight="1" x14ac:dyDescent="0.25">
      <c r="A10" s="261"/>
      <c r="B10" s="25" t="s">
        <v>24</v>
      </c>
      <c r="C10" s="20">
        <f>C8</f>
        <v>6</v>
      </c>
      <c r="D10" s="21" t="s">
        <v>11</v>
      </c>
      <c r="E10" s="26"/>
      <c r="F10" s="23"/>
      <c r="G10" s="24"/>
    </row>
    <row r="11" spans="1:17" ht="15" customHeight="1" x14ac:dyDescent="0.25">
      <c r="A11" s="261"/>
      <c r="B11" s="27" t="s">
        <v>139</v>
      </c>
      <c r="C11" s="28">
        <f>INDEX(N52:P63,MATCH(C10,J52:J64),MATCH(C4,N51:P51))</f>
        <v>0.8</v>
      </c>
      <c r="D11" s="21"/>
      <c r="E11" s="26"/>
      <c r="F11" s="23"/>
      <c r="G11" s="24"/>
    </row>
    <row r="12" spans="1:17" ht="15" customHeight="1" x14ac:dyDescent="0.25">
      <c r="A12" s="261"/>
      <c r="B12" s="29" t="s">
        <v>140</v>
      </c>
      <c r="C12" s="28">
        <f>INDEX(V52:X63,MATCH(C10,R52:R64),MATCH(C4,V51:X51))</f>
        <v>0.83199999999999996</v>
      </c>
      <c r="D12" s="21"/>
      <c r="E12" s="26"/>
      <c r="F12" s="23"/>
      <c r="G12" s="24"/>
    </row>
    <row r="13" spans="1:17" ht="15.75" thickBot="1" x14ac:dyDescent="0.3">
      <c r="B13" s="30" t="s">
        <v>141</v>
      </c>
      <c r="C13" s="31">
        <v>1.4</v>
      </c>
      <c r="D13" s="32"/>
      <c r="E13" s="24"/>
      <c r="F13" s="24"/>
      <c r="G13" s="24"/>
    </row>
    <row r="14" spans="1:17" x14ac:dyDescent="0.25">
      <c r="B14" s="33"/>
      <c r="C14" s="34"/>
      <c r="D14" s="24"/>
      <c r="E14" s="24"/>
      <c r="F14" s="24"/>
      <c r="G14" s="24"/>
    </row>
    <row r="15" spans="1:17" ht="15.75" thickBot="1" x14ac:dyDescent="0.3">
      <c r="B15" s="33"/>
      <c r="C15" s="262" t="s">
        <v>26</v>
      </c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</row>
    <row r="16" spans="1:17" x14ac:dyDescent="0.25">
      <c r="B16" s="33"/>
      <c r="C16" s="35" t="s">
        <v>27</v>
      </c>
      <c r="D16" s="36">
        <f>VLOOKUP(J26,$Z$68:$Z$74,1)</f>
        <v>40</v>
      </c>
      <c r="E16" s="36">
        <f>INDEX($Z$68:$Z$74,MATCH(J26,$Z$68:$Z$74)+1)</f>
        <v>80</v>
      </c>
      <c r="F16" s="36">
        <f>INDEX($AA$67:$AG$67, MATCH(K26,$AA$67:$AG$67))</f>
        <v>5</v>
      </c>
      <c r="G16" s="36">
        <f>INDEX($AA$67:$AG$67, MATCH(K26,$AA$67:$AG$67)+1)</f>
        <v>10</v>
      </c>
      <c r="H16" s="36">
        <f t="shared" ref="H16:H21" si="0">INDEX($AA$68:$AG$74,MATCH(D16,$Z$68:$Z$74),MATCH(F16,$AA$67:$AG$67))</f>
        <v>0.72</v>
      </c>
      <c r="I16" s="36">
        <f t="shared" ref="I16:I21" si="1">INDEX($AA$68:$AG$74,MATCH(D16,$Z$68:$Z$74),MATCH(G16,$AA$67:$AG$67))</f>
        <v>0.72</v>
      </c>
      <c r="J16" s="36">
        <f t="shared" ref="J16:J21" si="2">INDEX($AA$68:$AG$74,MATCH(E16,$Z$68:$Z$74),MATCH(F16,$AA$67:$AG$67))</f>
        <v>0.63</v>
      </c>
      <c r="K16" s="36">
        <f t="shared" ref="K16:K21" si="3">INDEX($AA$68:$AG$74,MATCH(E16,$Z$68:$Z$74),MATCH(G16,$AA$67:$AG$67))</f>
        <v>0.63</v>
      </c>
      <c r="L16" s="36">
        <f>(J26-D16)/(E16-D16)*(J16-H16)+H16</f>
        <v>0.71550000000000002</v>
      </c>
      <c r="M16" s="36">
        <f>(J26-D16)/(E16-D16)*(K16-I16)+I16</f>
        <v>0.71550000000000002</v>
      </c>
      <c r="N16" s="36"/>
      <c r="O16" s="36"/>
      <c r="P16" s="36"/>
      <c r="Q16" s="37">
        <f>(G16-K26)/(G16-F16)*(M16-L16)+L16</f>
        <v>0.71550000000000002</v>
      </c>
    </row>
    <row r="17" spans="2:17" x14ac:dyDescent="0.25">
      <c r="B17" s="33"/>
      <c r="C17" s="38" t="s">
        <v>28</v>
      </c>
      <c r="D17" s="39">
        <f>VLOOKUP(J27,$Z$68:$Z$74,1)</f>
        <v>5</v>
      </c>
      <c r="E17" s="39">
        <f>INDEX($Z$68:$Z$74,MATCH(J27,$Z$68:$Z$74)+1)</f>
        <v>10</v>
      </c>
      <c r="F17" s="39">
        <f>INDEX($AA$67:$AG$67, MATCH(K27,$AA$67:$AG$67))</f>
        <v>5</v>
      </c>
      <c r="G17" s="39">
        <f>INDEX($AA$67:$AG$67, MATCH(K27,$AA$67:$AG$67)+1)</f>
        <v>10</v>
      </c>
      <c r="H17" s="39">
        <f t="shared" si="0"/>
        <v>0.89</v>
      </c>
      <c r="I17" s="39">
        <f t="shared" si="1"/>
        <v>0.87</v>
      </c>
      <c r="J17" s="39">
        <f t="shared" si="2"/>
        <v>0.85</v>
      </c>
      <c r="K17" s="39">
        <f t="shared" si="3"/>
        <v>0.84</v>
      </c>
      <c r="L17" s="39">
        <f>(J27-D17)/(E17-D17)*(J17-H17)+H17</f>
        <v>0.87239999999999995</v>
      </c>
      <c r="M17" s="39">
        <f>(J27-D17)/(E17-D17)*(K17-I17)+I17</f>
        <v>0.85680000000000001</v>
      </c>
      <c r="N17" s="39"/>
      <c r="O17" s="39"/>
      <c r="P17" s="39"/>
      <c r="Q17" s="40">
        <f>(G17-K27)/(G17-F17)*(M17-L17)+L17</f>
        <v>0.85992000000000002</v>
      </c>
    </row>
    <row r="18" spans="2:17" ht="15.75" thickBot="1" x14ac:dyDescent="0.3">
      <c r="B18" s="33"/>
      <c r="C18" s="41" t="s">
        <v>29</v>
      </c>
      <c r="D18" s="39">
        <f>VLOOKUP(J28,$Z$68:$Z$74,1)</f>
        <v>40</v>
      </c>
      <c r="E18" s="39">
        <f>INDEX($Z$68:$Z$74,MATCH(J28,$Z$68:$Z$74)+1)</f>
        <v>80</v>
      </c>
      <c r="F18" s="39">
        <f>INDEX($AA$67:$AG$67, MATCH(K28,$AA$67:$AG$67))</f>
        <v>10</v>
      </c>
      <c r="G18" s="39">
        <f>INDEX($AA$67:$AG$67, MATCH(K28,$AA$67:$AG$67)+1)</f>
        <v>20</v>
      </c>
      <c r="H18" s="39">
        <f t="shared" si="0"/>
        <v>0.72</v>
      </c>
      <c r="I18" s="39">
        <f t="shared" si="1"/>
        <v>0.7</v>
      </c>
      <c r="J18" s="39">
        <f t="shared" si="2"/>
        <v>0.63</v>
      </c>
      <c r="K18" s="39">
        <f t="shared" si="3"/>
        <v>0.61</v>
      </c>
      <c r="L18" s="39">
        <f>(J28-D18)/(E18-D18)*(J18-H18)+H18</f>
        <v>0.71550000000000002</v>
      </c>
      <c r="M18" s="39">
        <f>(J28-D18)/(E18-D18)*(K18-I18)+I18</f>
        <v>0.69550000000000001</v>
      </c>
      <c r="N18" s="39"/>
      <c r="O18" s="39"/>
      <c r="P18" s="39"/>
      <c r="Q18" s="40">
        <f>(G18-K28)/(G18-F18)*(M18-L18)+L18</f>
        <v>0.71150000000000002</v>
      </c>
    </row>
    <row r="19" spans="2:17" x14ac:dyDescent="0.25">
      <c r="B19" s="33"/>
      <c r="C19" s="38" t="s">
        <v>27</v>
      </c>
      <c r="D19" s="39">
        <f>VLOOKUP(J40,$Z$68:$Z$74,1)</f>
        <v>10</v>
      </c>
      <c r="E19" s="39">
        <f>INDEX($Z$68:$Z$74,MATCH(J40,$Z$68:$Z$74)+1)</f>
        <v>20</v>
      </c>
      <c r="F19" s="39">
        <f>INDEX($AA$67:$AG$67, MATCH(K39,$AA$67:$AG$67))</f>
        <v>5</v>
      </c>
      <c r="G19" s="39">
        <f>INDEX($AA$67:$AG$67, MATCH(K39,$AA$67:$AG$67)+1)</f>
        <v>10</v>
      </c>
      <c r="H19" s="39">
        <f t="shared" si="0"/>
        <v>0.85</v>
      </c>
      <c r="I19" s="39">
        <f t="shared" si="1"/>
        <v>0.84</v>
      </c>
      <c r="J19" s="39">
        <f t="shared" si="2"/>
        <v>0.8</v>
      </c>
      <c r="K19" s="39">
        <f t="shared" si="3"/>
        <v>0.78</v>
      </c>
      <c r="L19" s="39">
        <f>(J40-D19)/(E19-D19)*(J19-H19)+H19</f>
        <v>0.81600000000000006</v>
      </c>
      <c r="M19" s="39">
        <f>(J40-D19)/(E19-D19)*(K19-I19)+I19</f>
        <v>0.79920000000000002</v>
      </c>
      <c r="N19" s="39"/>
      <c r="O19" s="39"/>
      <c r="P19" s="39"/>
      <c r="Q19" s="40">
        <f>(G19-K39)/(G19-F19)*(M19-L19)+L19</f>
        <v>0.80256000000000005</v>
      </c>
    </row>
    <row r="20" spans="2:17" x14ac:dyDescent="0.25">
      <c r="B20" s="33"/>
      <c r="C20" s="38" t="s">
        <v>28</v>
      </c>
      <c r="D20" s="39">
        <f>VLOOKUP(J39,$Z$68:$Z$74,1)</f>
        <v>10</v>
      </c>
      <c r="E20" s="39">
        <f>INDEX($Z$68:$Z$74,MATCH(J39,$Z$68:$Z$74)+1)</f>
        <v>20</v>
      </c>
      <c r="F20" s="39">
        <f>INDEX($AA$67:$AG$67, MATCH(K40,$AA$67:$AG$67))</f>
        <v>5</v>
      </c>
      <c r="G20" s="39">
        <f>INDEX($AA$67:$AG$67, MATCH(K40,$AA$67:$AG$67)+1)</f>
        <v>10</v>
      </c>
      <c r="H20" s="39">
        <f t="shared" si="0"/>
        <v>0.85</v>
      </c>
      <c r="I20" s="39">
        <f t="shared" si="1"/>
        <v>0.84</v>
      </c>
      <c r="J20" s="39">
        <f t="shared" si="2"/>
        <v>0.8</v>
      </c>
      <c r="K20" s="39">
        <f t="shared" si="3"/>
        <v>0.78</v>
      </c>
      <c r="L20" s="39">
        <f>(J39-D20)/(E20-D20)*(J20-H20)+H20</f>
        <v>0.81</v>
      </c>
      <c r="M20" s="39">
        <f>(J39-D20)/(E20-D20)*(K20-I20)+I20</f>
        <v>0.79200000000000004</v>
      </c>
      <c r="N20" s="39"/>
      <c r="O20" s="39"/>
      <c r="P20" s="39"/>
      <c r="Q20" s="40">
        <f>(G20-K40)/(G20-F20)*(M20-L20)+L20</f>
        <v>0.79560000000000008</v>
      </c>
    </row>
    <row r="21" spans="2:17" ht="15.75" thickBot="1" x14ac:dyDescent="0.3">
      <c r="B21" s="33"/>
      <c r="C21" s="41" t="s">
        <v>29</v>
      </c>
      <c r="D21" s="42">
        <f>VLOOKUP(J41,$Z$68:$Z$74,1)</f>
        <v>10</v>
      </c>
      <c r="E21" s="42">
        <f>INDEX($Z$68:$Z$74,MATCH(J41,$Z$68:$Z$74)+1)</f>
        <v>20</v>
      </c>
      <c r="F21" s="42">
        <f>INDEX($AA$67:$AG$67, MATCH(K41,$AA$67:$AG$67))</f>
        <v>40</v>
      </c>
      <c r="G21" s="42">
        <f>INDEX($AA$67:$AG$67, MATCH(K41,$AA$67:$AG$67)+1)</f>
        <v>80</v>
      </c>
      <c r="H21" s="42">
        <f t="shared" si="0"/>
        <v>0.77</v>
      </c>
      <c r="I21" s="42">
        <f t="shared" si="1"/>
        <v>0.71</v>
      </c>
      <c r="J21" s="42">
        <f t="shared" si="2"/>
        <v>0.73</v>
      </c>
      <c r="K21" s="42">
        <f t="shared" si="3"/>
        <v>0.68</v>
      </c>
      <c r="L21" s="42">
        <f>(J41-D21)/(E21-D21)*(J21-H21)+H21</f>
        <v>0.73799999999999999</v>
      </c>
      <c r="M21" s="42">
        <f>(J41-D21)/(E21-D21)*(K21-I21)+I21</f>
        <v>0.68600000000000005</v>
      </c>
      <c r="N21" s="42"/>
      <c r="O21" s="42"/>
      <c r="P21" s="42"/>
      <c r="Q21" s="43">
        <f>(G21-K41)/(G21-F21)*(M21-L21)+L21</f>
        <v>0.6886000000000001</v>
      </c>
    </row>
    <row r="22" spans="2:17" x14ac:dyDescent="0.25">
      <c r="B22" s="33"/>
      <c r="C22" s="34"/>
      <c r="D22" s="24"/>
      <c r="E22" s="24"/>
      <c r="F22" s="24"/>
      <c r="G22" s="24"/>
    </row>
    <row r="23" spans="2:17" ht="15.75" thickBot="1" x14ac:dyDescent="0.3">
      <c r="B23" s="263" t="s">
        <v>30</v>
      </c>
      <c r="C23" s="263"/>
      <c r="D23" s="263"/>
      <c r="E23" s="263"/>
      <c r="F23" s="263"/>
      <c r="G23" s="263"/>
      <c r="I23" s="263" t="s">
        <v>30</v>
      </c>
      <c r="J23" s="263"/>
      <c r="K23" s="263"/>
      <c r="L23" s="263"/>
    </row>
    <row r="24" spans="2:17" ht="75" customHeight="1" x14ac:dyDescent="0.25">
      <c r="B24" s="264" t="s">
        <v>31</v>
      </c>
      <c r="C24" s="265"/>
      <c r="D24" s="266"/>
      <c r="E24" s="44" t="s">
        <v>32</v>
      </c>
      <c r="F24" s="44" t="s">
        <v>33</v>
      </c>
      <c r="G24" s="45" t="s">
        <v>34</v>
      </c>
      <c r="I24" s="264" t="s">
        <v>35</v>
      </c>
      <c r="J24" s="265"/>
      <c r="K24" s="265"/>
      <c r="L24" s="267"/>
    </row>
    <row r="25" spans="2:17" x14ac:dyDescent="0.25">
      <c r="B25" s="46" t="s">
        <v>36</v>
      </c>
      <c r="C25" s="39">
        <v>-1</v>
      </c>
      <c r="D25" s="47" t="s">
        <v>37</v>
      </c>
      <c r="E25" s="48">
        <f t="shared" ref="E25:E35" si="4">ABS($C$9*$C$11*C25*$C$13)</f>
        <v>0.42560000000000003</v>
      </c>
      <c r="F25" s="48">
        <f>E25*$C$12*$L$27</f>
        <v>0.304496984064</v>
      </c>
      <c r="G25" s="49">
        <f>E25+F25</f>
        <v>0.73009698406400003</v>
      </c>
      <c r="H25" s="47" t="s">
        <v>37</v>
      </c>
      <c r="I25" s="50"/>
      <c r="J25" s="51" t="s">
        <v>38</v>
      </c>
      <c r="K25" s="51" t="s">
        <v>39</v>
      </c>
      <c r="L25" s="52" t="s">
        <v>40</v>
      </c>
    </row>
    <row r="26" spans="2:17" x14ac:dyDescent="0.25">
      <c r="B26" s="53" t="s">
        <v>36</v>
      </c>
      <c r="C26" s="54">
        <v>-0.8</v>
      </c>
      <c r="D26" s="55" t="s">
        <v>41</v>
      </c>
      <c r="E26" s="56">
        <f t="shared" si="4"/>
        <v>0.34048000000000006</v>
      </c>
      <c r="F26" s="56">
        <f>E26*$C$12*$L$27</f>
        <v>0.24359758725120004</v>
      </c>
      <c r="G26" s="57">
        <f t="shared" ref="G26:G35" si="5">E26+F26</f>
        <v>0.58407758725120007</v>
      </c>
      <c r="H26" s="55" t="s">
        <v>41</v>
      </c>
      <c r="I26" s="38" t="s">
        <v>27</v>
      </c>
      <c r="J26" s="39">
        <f>C7</f>
        <v>42</v>
      </c>
      <c r="K26" s="39">
        <f>C8</f>
        <v>6</v>
      </c>
      <c r="L26" s="58">
        <f>Q16</f>
        <v>0.71550000000000002</v>
      </c>
    </row>
    <row r="27" spans="2:17" x14ac:dyDescent="0.25">
      <c r="B27" s="59" t="s">
        <v>36</v>
      </c>
      <c r="C27" s="60">
        <v>-0.5</v>
      </c>
      <c r="D27" s="61" t="s">
        <v>42</v>
      </c>
      <c r="E27" s="62">
        <f t="shared" si="4"/>
        <v>0.21280000000000002</v>
      </c>
      <c r="F27" s="62">
        <f>E27*$C$12*$L$27</f>
        <v>0.152248492032</v>
      </c>
      <c r="G27" s="63">
        <f t="shared" si="5"/>
        <v>0.36504849203200002</v>
      </c>
      <c r="H27" s="61" t="s">
        <v>42</v>
      </c>
      <c r="I27" s="38" t="s">
        <v>28</v>
      </c>
      <c r="J27" s="39">
        <f>0.4*C6</f>
        <v>7.2</v>
      </c>
      <c r="K27" s="39">
        <f>C8</f>
        <v>6</v>
      </c>
      <c r="L27" s="58">
        <f>Q17</f>
        <v>0.85992000000000002</v>
      </c>
    </row>
    <row r="28" spans="2:17" ht="15.75" thickBot="1" x14ac:dyDescent="0.3">
      <c r="B28" s="64" t="s">
        <v>36</v>
      </c>
      <c r="C28" s="65">
        <v>0.8</v>
      </c>
      <c r="D28" s="66" t="s">
        <v>43</v>
      </c>
      <c r="E28" s="67">
        <f t="shared" si="4"/>
        <v>0.34048000000000006</v>
      </c>
      <c r="F28" s="67">
        <f>E28*$C$12*$L$26</f>
        <v>0.20268638208000003</v>
      </c>
      <c r="G28" s="68">
        <f t="shared" si="5"/>
        <v>0.54316638208000012</v>
      </c>
      <c r="H28" s="66" t="s">
        <v>43</v>
      </c>
      <c r="I28" s="41" t="s">
        <v>29</v>
      </c>
      <c r="J28" s="42">
        <f>C7</f>
        <v>42</v>
      </c>
      <c r="K28" s="42">
        <f>C6</f>
        <v>18</v>
      </c>
      <c r="L28" s="69">
        <f>Q18</f>
        <v>0.71150000000000002</v>
      </c>
    </row>
    <row r="29" spans="2:17" ht="15.75" thickBot="1" x14ac:dyDescent="0.3">
      <c r="B29" s="64" t="s">
        <v>36</v>
      </c>
      <c r="C29" s="65">
        <v>-0.5</v>
      </c>
      <c r="D29" s="66" t="s">
        <v>44</v>
      </c>
      <c r="E29" s="67">
        <f t="shared" si="4"/>
        <v>0.21280000000000002</v>
      </c>
      <c r="F29" s="67">
        <f>E29*$C$12*$L$26</f>
        <v>0.1266789888</v>
      </c>
      <c r="G29" s="68">
        <f t="shared" si="5"/>
        <v>0.33947898880000005</v>
      </c>
      <c r="H29" s="66" t="s">
        <v>44</v>
      </c>
    </row>
    <row r="30" spans="2:17" ht="15.75" thickBot="1" x14ac:dyDescent="0.3">
      <c r="B30" s="46" t="s">
        <v>36</v>
      </c>
      <c r="C30" s="39">
        <v>-1.8</v>
      </c>
      <c r="D30" s="61" t="s">
        <v>45</v>
      </c>
      <c r="E30" s="48">
        <f t="shared" si="4"/>
        <v>0.76608000000000009</v>
      </c>
      <c r="F30" s="48">
        <f>E30*$C$12*$L$28</f>
        <v>0.45349484544000002</v>
      </c>
      <c r="G30" s="49">
        <f t="shared" si="5"/>
        <v>1.2195748454400002</v>
      </c>
      <c r="H30" s="61" t="s">
        <v>45</v>
      </c>
      <c r="I30" s="70" t="s">
        <v>46</v>
      </c>
      <c r="J30" s="71">
        <f>MIN(C7,2*C8)</f>
        <v>12</v>
      </c>
      <c r="K30" s="72" t="s">
        <v>11</v>
      </c>
    </row>
    <row r="31" spans="2:17" ht="15.75" thickBot="1" x14ac:dyDescent="0.3">
      <c r="B31" s="46" t="s">
        <v>36</v>
      </c>
      <c r="C31" s="39">
        <v>-1.3</v>
      </c>
      <c r="D31" s="61" t="s">
        <v>47</v>
      </c>
      <c r="E31" s="48">
        <f>ABS($C$9*$C$11*C31*$C$13)</f>
        <v>0.55327999999999999</v>
      </c>
      <c r="F31" s="48">
        <f>E31*$C$12*$L$28</f>
        <v>0.32752405503999998</v>
      </c>
      <c r="G31" s="49">
        <f t="shared" si="5"/>
        <v>0.88080405504000003</v>
      </c>
      <c r="H31" s="61" t="s">
        <v>47</v>
      </c>
      <c r="I31" s="70" t="s">
        <v>48</v>
      </c>
      <c r="J31" s="71">
        <f>J30/5</f>
        <v>2.4</v>
      </c>
      <c r="K31" s="72" t="s">
        <v>11</v>
      </c>
    </row>
    <row r="32" spans="2:17" ht="15.75" thickBot="1" x14ac:dyDescent="0.3">
      <c r="B32" s="64" t="s">
        <v>36</v>
      </c>
      <c r="C32" s="65">
        <v>-0.4</v>
      </c>
      <c r="D32" s="66" t="s">
        <v>49</v>
      </c>
      <c r="E32" s="67">
        <f>ABS($C$9*$C$11*C32*$C$13)</f>
        <v>0.17024000000000003</v>
      </c>
      <c r="F32" s="67">
        <f>E32*$C$12*$L$28</f>
        <v>0.10077663232000002</v>
      </c>
      <c r="G32" s="68">
        <f t="shared" si="5"/>
        <v>0.27101663232000006</v>
      </c>
      <c r="H32" s="66" t="s">
        <v>49</v>
      </c>
      <c r="I32" s="70" t="s">
        <v>50</v>
      </c>
      <c r="J32" s="71">
        <f>J30/10</f>
        <v>1.2</v>
      </c>
      <c r="K32" s="72" t="s">
        <v>11</v>
      </c>
    </row>
    <row r="33" spans="2:24" x14ac:dyDescent="0.25">
      <c r="B33" s="46" t="s">
        <v>36</v>
      </c>
      <c r="C33" s="39">
        <v>-0.5</v>
      </c>
      <c r="D33" s="61" t="s">
        <v>14</v>
      </c>
      <c r="E33" s="48">
        <f t="shared" si="4"/>
        <v>0.21280000000000002</v>
      </c>
      <c r="F33" s="48">
        <f>E33*$C$12*$L$28</f>
        <v>0.1259707904</v>
      </c>
      <c r="G33" s="49">
        <f t="shared" si="5"/>
        <v>0.33877079040000002</v>
      </c>
      <c r="H33" s="61" t="s">
        <v>14</v>
      </c>
    </row>
    <row r="34" spans="2:24" x14ac:dyDescent="0.25">
      <c r="B34" s="46" t="s">
        <v>36</v>
      </c>
      <c r="C34" s="73">
        <v>-0.5</v>
      </c>
      <c r="D34" s="74" t="s">
        <v>51</v>
      </c>
      <c r="E34" s="48">
        <f t="shared" si="4"/>
        <v>0.21280000000000002</v>
      </c>
      <c r="F34" s="48">
        <f>E34*$C$12*$L$28</f>
        <v>0.1259707904</v>
      </c>
      <c r="G34" s="49">
        <f t="shared" si="5"/>
        <v>0.33877079040000002</v>
      </c>
      <c r="H34" s="74" t="s">
        <v>51</v>
      </c>
    </row>
    <row r="35" spans="2:24" ht="15.75" thickBot="1" x14ac:dyDescent="0.3">
      <c r="B35" s="75" t="s">
        <v>52</v>
      </c>
      <c r="C35" s="76">
        <v>0.2</v>
      </c>
      <c r="D35" s="77" t="s">
        <v>53</v>
      </c>
      <c r="E35" s="78">
        <f t="shared" si="4"/>
        <v>8.5120000000000015E-2</v>
      </c>
      <c r="F35" s="78">
        <f>E35*$C$12*$L$27</f>
        <v>6.0899396812800009E-2</v>
      </c>
      <c r="G35" s="79">
        <f t="shared" si="5"/>
        <v>0.14601939681280002</v>
      </c>
      <c r="H35" s="77" t="s">
        <v>53</v>
      </c>
    </row>
    <row r="36" spans="2:24" ht="15.75" thickBot="1" x14ac:dyDescent="0.3">
      <c r="B36" s="268" t="s">
        <v>54</v>
      </c>
      <c r="C36" s="268"/>
      <c r="D36" s="268"/>
      <c r="E36" s="268"/>
      <c r="F36" s="268"/>
      <c r="G36" s="268"/>
      <c r="I36" s="269" t="s">
        <v>55</v>
      </c>
      <c r="J36" s="269"/>
      <c r="K36" s="269"/>
      <c r="L36" s="269"/>
    </row>
    <row r="37" spans="2:24" ht="75" customHeight="1" x14ac:dyDescent="0.25">
      <c r="B37" s="264" t="s">
        <v>31</v>
      </c>
      <c r="C37" s="265"/>
      <c r="D37" s="266"/>
      <c r="E37" s="44" t="s">
        <v>32</v>
      </c>
      <c r="F37" s="44" t="s">
        <v>33</v>
      </c>
      <c r="G37" s="45" t="s">
        <v>34</v>
      </c>
      <c r="I37" s="264" t="s">
        <v>35</v>
      </c>
      <c r="J37" s="265"/>
      <c r="K37" s="265"/>
      <c r="L37" s="267"/>
    </row>
    <row r="38" spans="2:24" x14ac:dyDescent="0.25">
      <c r="B38" s="46" t="s">
        <v>36</v>
      </c>
      <c r="C38" s="39">
        <v>-1</v>
      </c>
      <c r="D38" s="47" t="s">
        <v>37</v>
      </c>
      <c r="E38" s="48">
        <f t="shared" ref="E38:E46" si="6">ABS($C$9*$C$11*C38*$C$13)</f>
        <v>0.42560000000000003</v>
      </c>
      <c r="F38" s="48">
        <f>E38*$C$12*$L$40</f>
        <v>0.28172132352000001</v>
      </c>
      <c r="G38" s="49">
        <f>E38+F38</f>
        <v>0.70732132351999999</v>
      </c>
      <c r="H38" s="47" t="s">
        <v>37</v>
      </c>
      <c r="I38" s="50"/>
      <c r="J38" s="51" t="s">
        <v>38</v>
      </c>
      <c r="K38" s="51" t="s">
        <v>39</v>
      </c>
      <c r="L38" s="52" t="s">
        <v>40</v>
      </c>
    </row>
    <row r="39" spans="2:24" x14ac:dyDescent="0.25">
      <c r="B39" s="64" t="s">
        <v>36</v>
      </c>
      <c r="C39" s="65">
        <v>-0.8</v>
      </c>
      <c r="D39" s="66" t="s">
        <v>41</v>
      </c>
      <c r="E39" s="67">
        <f t="shared" si="6"/>
        <v>0.34048000000000006</v>
      </c>
      <c r="F39" s="67">
        <f>E39*$C$12*$L$40</f>
        <v>0.22537705881600006</v>
      </c>
      <c r="G39" s="68">
        <f t="shared" ref="G39:G46" si="7">E39+F39</f>
        <v>0.56585705881600012</v>
      </c>
      <c r="H39" s="66" t="s">
        <v>41</v>
      </c>
      <c r="I39" s="38" t="s">
        <v>27</v>
      </c>
      <c r="J39" s="39">
        <f>C6</f>
        <v>18</v>
      </c>
      <c r="K39" s="39">
        <f>C8</f>
        <v>6</v>
      </c>
      <c r="L39" s="58">
        <f>Q19</f>
        <v>0.80256000000000005</v>
      </c>
    </row>
    <row r="40" spans="2:24" x14ac:dyDescent="0.25">
      <c r="B40" s="46" t="s">
        <v>36</v>
      </c>
      <c r="C40" s="39">
        <v>-0.5</v>
      </c>
      <c r="D40" s="47" t="s">
        <v>42</v>
      </c>
      <c r="E40" s="48">
        <f t="shared" si="6"/>
        <v>0.21280000000000002</v>
      </c>
      <c r="F40" s="48">
        <f>E40*$C$12*$L$40</f>
        <v>0.14086066176000001</v>
      </c>
      <c r="G40" s="49">
        <f t="shared" si="7"/>
        <v>0.35366066175999999</v>
      </c>
      <c r="H40" s="47" t="s">
        <v>42</v>
      </c>
      <c r="I40" s="38" t="s">
        <v>28</v>
      </c>
      <c r="J40" s="39">
        <f>0.4*C7</f>
        <v>16.8</v>
      </c>
      <c r="K40" s="39">
        <f>C8</f>
        <v>6</v>
      </c>
      <c r="L40" s="58">
        <f>Q20</f>
        <v>0.79560000000000008</v>
      </c>
    </row>
    <row r="41" spans="2:24" ht="15.75" thickBot="1" x14ac:dyDescent="0.3">
      <c r="B41" s="64" t="s">
        <v>36</v>
      </c>
      <c r="C41" s="65">
        <v>0.8</v>
      </c>
      <c r="D41" s="66" t="s">
        <v>43</v>
      </c>
      <c r="E41" s="67">
        <f t="shared" si="6"/>
        <v>0.34048000000000006</v>
      </c>
      <c r="F41" s="67">
        <f>E41*$C$12*$L$39</f>
        <v>0.22734868316160003</v>
      </c>
      <c r="G41" s="68">
        <f t="shared" si="7"/>
        <v>0.56782868316160007</v>
      </c>
      <c r="H41" s="66" t="s">
        <v>43</v>
      </c>
      <c r="I41" s="41" t="s">
        <v>29</v>
      </c>
      <c r="J41" s="42">
        <f>C6</f>
        <v>18</v>
      </c>
      <c r="K41" s="42">
        <f>C7</f>
        <v>42</v>
      </c>
      <c r="L41" s="69">
        <f>Q21</f>
        <v>0.6886000000000001</v>
      </c>
    </row>
    <row r="42" spans="2:24" ht="15.75" thickBot="1" x14ac:dyDescent="0.3">
      <c r="B42" s="64" t="s">
        <v>36</v>
      </c>
      <c r="C42" s="65">
        <v>-0.5</v>
      </c>
      <c r="D42" s="66" t="s">
        <v>44</v>
      </c>
      <c r="E42" s="67">
        <f t="shared" si="6"/>
        <v>0.21280000000000002</v>
      </c>
      <c r="F42" s="67">
        <f>E42*$C$12*$L$39</f>
        <v>0.14209292697600001</v>
      </c>
      <c r="G42" s="68">
        <f t="shared" si="7"/>
        <v>0.35489292697600006</v>
      </c>
      <c r="H42" s="66" t="s">
        <v>44</v>
      </c>
    </row>
    <row r="43" spans="2:24" ht="15.75" thickBot="1" x14ac:dyDescent="0.3">
      <c r="B43" s="46" t="s">
        <v>36</v>
      </c>
      <c r="C43" s="39">
        <v>-1.8</v>
      </c>
      <c r="D43" s="61" t="s">
        <v>45</v>
      </c>
      <c r="E43" s="48">
        <f t="shared" si="6"/>
        <v>0.76608000000000009</v>
      </c>
      <c r="F43" s="48">
        <f>E43*$C$12*$L$41</f>
        <v>0.43889887641600012</v>
      </c>
      <c r="G43" s="49">
        <f t="shared" si="7"/>
        <v>1.2049788764160003</v>
      </c>
      <c r="H43" s="61" t="s">
        <v>45</v>
      </c>
      <c r="I43" s="70" t="s">
        <v>46</v>
      </c>
      <c r="J43" s="71">
        <f>MIN(C6,2*C8)</f>
        <v>12</v>
      </c>
      <c r="K43" s="72" t="s">
        <v>11</v>
      </c>
    </row>
    <row r="44" spans="2:24" ht="15.75" thickBot="1" x14ac:dyDescent="0.3">
      <c r="B44" s="46" t="s">
        <v>36</v>
      </c>
      <c r="C44" s="39">
        <v>-1.3</v>
      </c>
      <c r="D44" s="61" t="s">
        <v>47</v>
      </c>
      <c r="E44" s="48">
        <f t="shared" si="6"/>
        <v>0.55327999999999999</v>
      </c>
      <c r="F44" s="48">
        <f>E44*$C$12*$L$41</f>
        <v>0.31698252185600001</v>
      </c>
      <c r="G44" s="49">
        <f t="shared" si="7"/>
        <v>0.87026252185600006</v>
      </c>
      <c r="H44" s="61" t="s">
        <v>47</v>
      </c>
      <c r="I44" s="70" t="s">
        <v>48</v>
      </c>
      <c r="J44" s="71">
        <f>J43/5</f>
        <v>2.4</v>
      </c>
      <c r="K44" s="72" t="s">
        <v>11</v>
      </c>
    </row>
    <row r="45" spans="2:24" ht="15.75" thickBot="1" x14ac:dyDescent="0.3">
      <c r="B45" s="64" t="s">
        <v>36</v>
      </c>
      <c r="C45" s="65">
        <v>-0.7</v>
      </c>
      <c r="D45" s="66" t="s">
        <v>49</v>
      </c>
      <c r="E45" s="67">
        <f t="shared" si="6"/>
        <v>0.29792000000000002</v>
      </c>
      <c r="F45" s="67">
        <f>E45*$C$12*$L$41</f>
        <v>0.17068289638400003</v>
      </c>
      <c r="G45" s="68">
        <f t="shared" si="7"/>
        <v>0.46860289638400004</v>
      </c>
      <c r="H45" s="66" t="s">
        <v>49</v>
      </c>
      <c r="I45" s="70" t="s">
        <v>50</v>
      </c>
      <c r="J45" s="71">
        <f>J43/10</f>
        <v>1.2</v>
      </c>
      <c r="K45" s="72" t="s">
        <v>11</v>
      </c>
    </row>
    <row r="46" spans="2:24" ht="15.75" thickBot="1" x14ac:dyDescent="0.3">
      <c r="B46" s="80" t="s">
        <v>36</v>
      </c>
      <c r="C46" s="42">
        <v>-0.5</v>
      </c>
      <c r="D46" s="81" t="s">
        <v>14</v>
      </c>
      <c r="E46" s="82">
        <f t="shared" si="6"/>
        <v>0.21280000000000002</v>
      </c>
      <c r="F46" s="82">
        <f>E46*$C$12*$L$41</f>
        <v>0.12191635456000002</v>
      </c>
      <c r="G46" s="83">
        <f t="shared" si="7"/>
        <v>0.33471635456000004</v>
      </c>
      <c r="H46" s="81" t="s">
        <v>14</v>
      </c>
    </row>
    <row r="47" spans="2:24" ht="15.75" thickBot="1" x14ac:dyDescent="0.3"/>
    <row r="48" spans="2:24" ht="15.75" thickBot="1" x14ac:dyDescent="0.3">
      <c r="J48" s="84" t="s">
        <v>56</v>
      </c>
      <c r="K48" s="85"/>
      <c r="L48" s="85"/>
      <c r="M48" s="85"/>
      <c r="N48" s="85"/>
      <c r="O48" s="85"/>
      <c r="P48" s="86"/>
      <c r="R48" s="87" t="s">
        <v>57</v>
      </c>
      <c r="S48" s="88"/>
      <c r="T48" s="88"/>
      <c r="U48" s="88"/>
      <c r="V48" s="88"/>
      <c r="W48" s="88"/>
      <c r="X48" s="89"/>
    </row>
    <row r="49" spans="6:24" ht="15" customHeight="1" x14ac:dyDescent="0.25">
      <c r="J49" s="90" t="s">
        <v>58</v>
      </c>
      <c r="K49" s="258" t="s">
        <v>59</v>
      </c>
      <c r="L49" s="259"/>
      <c r="M49" s="260"/>
      <c r="N49" s="24"/>
      <c r="O49" s="24"/>
      <c r="P49" s="91"/>
      <c r="R49" s="92" t="s">
        <v>58</v>
      </c>
      <c r="S49" s="258" t="s">
        <v>60</v>
      </c>
      <c r="T49" s="259"/>
      <c r="U49" s="260"/>
      <c r="V49" s="24"/>
      <c r="W49" s="24"/>
      <c r="X49" s="93"/>
    </row>
    <row r="50" spans="6:24" ht="15.75" customHeight="1" thickBot="1" x14ac:dyDescent="0.3">
      <c r="J50" s="94" t="s">
        <v>11</v>
      </c>
      <c r="K50" s="271" t="s">
        <v>61</v>
      </c>
      <c r="L50" s="272"/>
      <c r="M50" s="273"/>
      <c r="N50" s="274" t="s">
        <v>62</v>
      </c>
      <c r="O50" s="275"/>
      <c r="P50" s="276"/>
      <c r="R50" s="95" t="s">
        <v>11</v>
      </c>
      <c r="S50" s="271" t="s">
        <v>61</v>
      </c>
      <c r="T50" s="272"/>
      <c r="U50" s="273"/>
      <c r="V50" s="274" t="s">
        <v>62</v>
      </c>
      <c r="W50" s="275"/>
      <c r="X50" s="277"/>
    </row>
    <row r="51" spans="6:24" ht="15.75" thickBot="1" x14ac:dyDescent="0.3">
      <c r="J51" s="96"/>
      <c r="K51" s="97" t="s">
        <v>4</v>
      </c>
      <c r="L51" s="97" t="s">
        <v>5</v>
      </c>
      <c r="M51" s="97" t="s">
        <v>6</v>
      </c>
      <c r="N51" s="3" t="s">
        <v>4</v>
      </c>
      <c r="O51" s="3" t="s">
        <v>5</v>
      </c>
      <c r="P51" s="4" t="s">
        <v>6</v>
      </c>
      <c r="R51" s="98"/>
      <c r="S51" s="97" t="s">
        <v>4</v>
      </c>
      <c r="T51" s="97" t="s">
        <v>5</v>
      </c>
      <c r="U51" s="97" t="s">
        <v>6</v>
      </c>
      <c r="V51" s="99" t="s">
        <v>4</v>
      </c>
      <c r="W51" s="99" t="s">
        <v>5</v>
      </c>
      <c r="X51" s="100" t="s">
        <v>6</v>
      </c>
    </row>
    <row r="52" spans="6:24" ht="15.75" thickBot="1" x14ac:dyDescent="0.3">
      <c r="F52">
        <f>5.3/400</f>
        <v>1.325E-2</v>
      </c>
      <c r="J52" s="101">
        <v>5</v>
      </c>
      <c r="K52" s="97">
        <v>0.75</v>
      </c>
      <c r="L52" s="97">
        <v>0.5</v>
      </c>
      <c r="M52" s="97">
        <v>0.4</v>
      </c>
      <c r="N52" s="102">
        <f t="shared" ref="N52:P63" si="8">K52+(K53-K52)*($C$10-$J52)/($J53-$J52)</f>
        <v>0.8</v>
      </c>
      <c r="O52" s="102">
        <f t="shared" si="8"/>
        <v>0.53</v>
      </c>
      <c r="P52" s="103">
        <f t="shared" si="8"/>
        <v>0.4</v>
      </c>
      <c r="R52" s="97">
        <v>5</v>
      </c>
      <c r="S52" s="97">
        <v>0.85</v>
      </c>
      <c r="T52" s="97">
        <v>1.22</v>
      </c>
      <c r="U52" s="97">
        <v>1.78</v>
      </c>
      <c r="V52" s="102">
        <f t="shared" ref="V52:X63" si="9">S52+(S53-S52)*($C$10-$J52)/($J53-$J52)</f>
        <v>0.83199999999999996</v>
      </c>
      <c r="W52" s="102">
        <f t="shared" si="9"/>
        <v>1.1879999999999999</v>
      </c>
      <c r="X52" s="104">
        <f t="shared" si="9"/>
        <v>1.78</v>
      </c>
    </row>
    <row r="53" spans="6:24" ht="15.75" thickBot="1" x14ac:dyDescent="0.3">
      <c r="J53" s="101">
        <v>10</v>
      </c>
      <c r="K53" s="97">
        <v>1</v>
      </c>
      <c r="L53" s="97">
        <v>0.65</v>
      </c>
      <c r="M53" s="97">
        <v>0.4</v>
      </c>
      <c r="N53" s="102">
        <f t="shared" si="8"/>
        <v>0.9</v>
      </c>
      <c r="O53" s="102">
        <f t="shared" si="8"/>
        <v>0.57000000000000006</v>
      </c>
      <c r="P53" s="103">
        <f t="shared" si="8"/>
        <v>0.34</v>
      </c>
      <c r="R53" s="97">
        <v>10</v>
      </c>
      <c r="S53" s="97">
        <v>0.76</v>
      </c>
      <c r="T53" s="97">
        <v>1.06</v>
      </c>
      <c r="U53" s="97">
        <v>1.78</v>
      </c>
      <c r="V53" s="102">
        <f t="shared" si="9"/>
        <v>0.78800000000000003</v>
      </c>
      <c r="W53" s="102">
        <f t="shared" si="9"/>
        <v>1.1160000000000001</v>
      </c>
      <c r="X53" s="104">
        <f t="shared" si="9"/>
        <v>1.8920000000000001</v>
      </c>
    </row>
    <row r="54" spans="6:24" ht="15.75" thickBot="1" x14ac:dyDescent="0.3">
      <c r="J54" s="101">
        <v>20</v>
      </c>
      <c r="K54" s="97">
        <v>1.25</v>
      </c>
      <c r="L54" s="97">
        <v>0.85</v>
      </c>
      <c r="M54" s="97">
        <v>0.55000000000000004</v>
      </c>
      <c r="N54" s="102">
        <f t="shared" si="8"/>
        <v>1.075</v>
      </c>
      <c r="O54" s="102">
        <f t="shared" si="8"/>
        <v>0.67499999999999982</v>
      </c>
      <c r="P54" s="103">
        <f t="shared" si="8"/>
        <v>0.37500000000000006</v>
      </c>
      <c r="R54" s="97">
        <v>20</v>
      </c>
      <c r="S54" s="97">
        <v>0.69</v>
      </c>
      <c r="T54" s="97">
        <v>0.92</v>
      </c>
      <c r="U54" s="97">
        <v>1.5</v>
      </c>
      <c r="V54" s="102">
        <f t="shared" si="9"/>
        <v>0.73899999999999988</v>
      </c>
      <c r="W54" s="102">
        <f t="shared" si="9"/>
        <v>1.004</v>
      </c>
      <c r="X54" s="104">
        <f t="shared" si="9"/>
        <v>1.6679999999999999</v>
      </c>
    </row>
    <row r="55" spans="6:24" ht="15.75" thickBot="1" x14ac:dyDescent="0.3">
      <c r="J55" s="101">
        <v>40</v>
      </c>
      <c r="K55" s="97">
        <v>1.5</v>
      </c>
      <c r="L55" s="97">
        <v>1.1000000000000001</v>
      </c>
      <c r="M55" s="97">
        <v>0.8</v>
      </c>
      <c r="N55" s="102">
        <f t="shared" si="8"/>
        <v>1.1600000000000001</v>
      </c>
      <c r="O55" s="102">
        <f t="shared" si="8"/>
        <v>0.76000000000000012</v>
      </c>
      <c r="P55" s="103">
        <f t="shared" si="8"/>
        <v>0.46000000000000008</v>
      </c>
      <c r="R55" s="97">
        <v>40</v>
      </c>
      <c r="S55" s="97">
        <v>0.62</v>
      </c>
      <c r="T55" s="97">
        <v>0.8</v>
      </c>
      <c r="U55" s="97">
        <v>1.26</v>
      </c>
      <c r="V55" s="102">
        <f t="shared" si="9"/>
        <v>0.68800000000000006</v>
      </c>
      <c r="W55" s="102">
        <f t="shared" si="9"/>
        <v>0.90200000000000014</v>
      </c>
      <c r="X55" s="104">
        <f t="shared" si="9"/>
        <v>1.4640000000000002</v>
      </c>
    </row>
    <row r="56" spans="6:24" ht="15.75" thickBot="1" x14ac:dyDescent="0.3">
      <c r="J56" s="101">
        <v>60</v>
      </c>
      <c r="K56" s="97">
        <v>1.7</v>
      </c>
      <c r="L56" s="97">
        <v>1.3</v>
      </c>
      <c r="M56" s="97">
        <v>1</v>
      </c>
      <c r="N56" s="102">
        <f t="shared" si="8"/>
        <v>1.2949999999999995</v>
      </c>
      <c r="O56" s="102">
        <f t="shared" si="8"/>
        <v>0.89500000000000035</v>
      </c>
      <c r="P56" s="103">
        <f t="shared" si="8"/>
        <v>0.59500000000000031</v>
      </c>
      <c r="R56" s="97">
        <v>60</v>
      </c>
      <c r="S56" s="97">
        <v>0.57999999999999996</v>
      </c>
      <c r="T56" s="97">
        <v>0.74</v>
      </c>
      <c r="U56" s="97">
        <v>1.1399999999999999</v>
      </c>
      <c r="V56" s="102">
        <f t="shared" si="9"/>
        <v>0.63399999999999967</v>
      </c>
      <c r="W56" s="102">
        <f t="shared" si="9"/>
        <v>0.84800000000000009</v>
      </c>
      <c r="X56" s="104">
        <f t="shared" si="9"/>
        <v>1.3559999999999994</v>
      </c>
    </row>
    <row r="57" spans="6:24" ht="15.75" thickBot="1" x14ac:dyDescent="0.3">
      <c r="J57" s="101">
        <v>80</v>
      </c>
      <c r="K57" s="97">
        <v>1.85</v>
      </c>
      <c r="L57" s="97">
        <v>1.45</v>
      </c>
      <c r="M57" s="97">
        <v>1.1499999999999999</v>
      </c>
      <c r="N57" s="102">
        <f t="shared" si="8"/>
        <v>1.2950000000000004</v>
      </c>
      <c r="O57" s="102">
        <f t="shared" si="8"/>
        <v>0.89499999999999946</v>
      </c>
      <c r="P57" s="103">
        <f t="shared" si="8"/>
        <v>0.77999999999999958</v>
      </c>
      <c r="R57" s="97">
        <v>80</v>
      </c>
      <c r="S57" s="97">
        <v>0.56000000000000005</v>
      </c>
      <c r="T57" s="97">
        <v>0.7</v>
      </c>
      <c r="U57" s="97">
        <v>1.06</v>
      </c>
      <c r="V57" s="102">
        <f t="shared" si="9"/>
        <v>0.63400000000000012</v>
      </c>
      <c r="W57" s="102">
        <f t="shared" si="9"/>
        <v>0.81099999999999961</v>
      </c>
      <c r="X57" s="104">
        <f t="shared" si="9"/>
        <v>1.2820000000000003</v>
      </c>
    </row>
    <row r="58" spans="6:24" ht="15.75" thickBot="1" x14ac:dyDescent="0.3">
      <c r="J58" s="101">
        <v>100</v>
      </c>
      <c r="K58" s="97">
        <v>2</v>
      </c>
      <c r="L58" s="97">
        <v>1.6</v>
      </c>
      <c r="M58" s="97">
        <v>1.25</v>
      </c>
      <c r="N58" s="102">
        <f t="shared" si="8"/>
        <v>1.53</v>
      </c>
      <c r="O58" s="102">
        <f t="shared" si="8"/>
        <v>1.0360000000000005</v>
      </c>
      <c r="P58" s="103">
        <f t="shared" si="8"/>
        <v>0.68599999999999994</v>
      </c>
      <c r="R58" s="97">
        <v>100</v>
      </c>
      <c r="S58" s="97">
        <v>0.54</v>
      </c>
      <c r="T58" s="97">
        <v>0.67</v>
      </c>
      <c r="U58" s="97">
        <v>1</v>
      </c>
      <c r="V58" s="102">
        <f t="shared" si="9"/>
        <v>0.59640000000000004</v>
      </c>
      <c r="W58" s="102">
        <f t="shared" si="9"/>
        <v>0.76400000000000012</v>
      </c>
      <c r="X58" s="104">
        <f t="shared" si="9"/>
        <v>1.1879999999999999</v>
      </c>
    </row>
    <row r="59" spans="6:24" ht="15.75" thickBot="1" x14ac:dyDescent="0.3">
      <c r="J59" s="101">
        <v>150</v>
      </c>
      <c r="K59" s="97">
        <v>2.25</v>
      </c>
      <c r="L59" s="97">
        <v>1.9</v>
      </c>
      <c r="M59" s="97">
        <v>1.55</v>
      </c>
      <c r="N59" s="102">
        <f t="shared" si="8"/>
        <v>1.6739999999999995</v>
      </c>
      <c r="O59" s="102">
        <f t="shared" si="8"/>
        <v>1.3239999999999994</v>
      </c>
      <c r="P59" s="103">
        <f t="shared" si="8"/>
        <v>0.83000000000000007</v>
      </c>
      <c r="R59" s="97">
        <v>150</v>
      </c>
      <c r="S59" s="97">
        <v>0.51</v>
      </c>
      <c r="T59" s="97">
        <v>0.62</v>
      </c>
      <c r="U59" s="97">
        <v>0.9</v>
      </c>
      <c r="V59" s="102">
        <f t="shared" si="9"/>
        <v>0.5676000000000001</v>
      </c>
      <c r="W59" s="102">
        <f t="shared" si="9"/>
        <v>0.73520000000000008</v>
      </c>
      <c r="X59" s="104">
        <f t="shared" si="9"/>
        <v>1.0728000000000002</v>
      </c>
    </row>
    <row r="60" spans="6:24" ht="15.75" thickBot="1" x14ac:dyDescent="0.3">
      <c r="J60" s="101">
        <v>200</v>
      </c>
      <c r="K60" s="97">
        <v>2.4500000000000002</v>
      </c>
      <c r="L60" s="97">
        <v>2.1</v>
      </c>
      <c r="M60" s="97">
        <v>1.8</v>
      </c>
      <c r="N60" s="102">
        <f t="shared" si="8"/>
        <v>1.6740000000000013</v>
      </c>
      <c r="O60" s="102">
        <f t="shared" si="8"/>
        <v>1.3240000000000012</v>
      </c>
      <c r="P60" s="103">
        <f t="shared" si="8"/>
        <v>1.0240000000000002</v>
      </c>
      <c r="R60" s="97">
        <v>200</v>
      </c>
      <c r="S60" s="97">
        <v>0.49</v>
      </c>
      <c r="T60" s="97">
        <v>0.57999999999999996</v>
      </c>
      <c r="U60" s="97">
        <v>0.84</v>
      </c>
      <c r="V60" s="102">
        <f t="shared" si="9"/>
        <v>0.5676000000000001</v>
      </c>
      <c r="W60" s="102">
        <f t="shared" si="9"/>
        <v>0.65759999999999963</v>
      </c>
      <c r="X60" s="104">
        <f t="shared" si="9"/>
        <v>0.99519999999999964</v>
      </c>
    </row>
    <row r="61" spans="6:24" ht="15.75" thickBot="1" x14ac:dyDescent="0.3">
      <c r="J61" s="101">
        <v>250</v>
      </c>
      <c r="K61" s="97">
        <v>2.65</v>
      </c>
      <c r="L61" s="97">
        <v>2.2999999999999998</v>
      </c>
      <c r="M61" s="97">
        <v>2</v>
      </c>
      <c r="N61" s="102">
        <f t="shared" si="8"/>
        <v>2.1619999999999995</v>
      </c>
      <c r="O61" s="102">
        <f t="shared" si="8"/>
        <v>1.323999999999999</v>
      </c>
      <c r="P61" s="103">
        <f t="shared" si="8"/>
        <v>1.0239999999999991</v>
      </c>
      <c r="R61" s="97">
        <v>250</v>
      </c>
      <c r="S61" s="97">
        <v>0.47</v>
      </c>
      <c r="T61" s="97">
        <v>0.56000000000000005</v>
      </c>
      <c r="U61" s="97">
        <v>0.8</v>
      </c>
      <c r="V61" s="102">
        <f t="shared" si="9"/>
        <v>0.51879999999999971</v>
      </c>
      <c r="W61" s="102">
        <f t="shared" si="9"/>
        <v>0.65760000000000018</v>
      </c>
      <c r="X61" s="104">
        <f t="shared" si="9"/>
        <v>0.9952000000000002</v>
      </c>
    </row>
    <row r="62" spans="6:24" ht="15.75" thickBot="1" x14ac:dyDescent="0.3">
      <c r="J62" s="101">
        <v>300</v>
      </c>
      <c r="K62" s="97">
        <v>2.75</v>
      </c>
      <c r="L62" s="97">
        <v>2.5</v>
      </c>
      <c r="M62" s="97">
        <v>2.2000000000000002</v>
      </c>
      <c r="N62" s="102">
        <f t="shared" si="8"/>
        <v>2.75</v>
      </c>
      <c r="O62" s="102">
        <f t="shared" si="8"/>
        <v>1.03</v>
      </c>
      <c r="P62" s="103">
        <f t="shared" si="8"/>
        <v>1.3180000000000007</v>
      </c>
      <c r="R62" s="97">
        <v>300</v>
      </c>
      <c r="S62" s="97">
        <v>0.46</v>
      </c>
      <c r="T62" s="97">
        <v>0.54</v>
      </c>
      <c r="U62" s="97">
        <v>0.76</v>
      </c>
      <c r="V62" s="102">
        <f t="shared" si="9"/>
        <v>0.46</v>
      </c>
      <c r="W62" s="102">
        <f t="shared" si="9"/>
        <v>0.65760000000000018</v>
      </c>
      <c r="X62" s="104">
        <f t="shared" si="9"/>
        <v>0.93640000000000012</v>
      </c>
    </row>
    <row r="63" spans="6:24" ht="15.75" thickBot="1" x14ac:dyDescent="0.3">
      <c r="J63" s="101">
        <v>350</v>
      </c>
      <c r="K63" s="97">
        <v>2.75</v>
      </c>
      <c r="L63" s="97">
        <v>2.75</v>
      </c>
      <c r="M63" s="97">
        <v>2.35</v>
      </c>
      <c r="N63" s="102">
        <f t="shared" si="8"/>
        <v>2.75</v>
      </c>
      <c r="O63" s="102">
        <f t="shared" si="8"/>
        <v>2.75</v>
      </c>
      <c r="P63" s="103">
        <f t="shared" si="8"/>
        <v>1.291538461538462</v>
      </c>
      <c r="R63" s="97">
        <v>350</v>
      </c>
      <c r="S63" s="97">
        <v>0.46</v>
      </c>
      <c r="T63" s="97">
        <v>0.52</v>
      </c>
      <c r="U63" s="97">
        <v>0.73</v>
      </c>
      <c r="V63" s="102">
        <f t="shared" si="9"/>
        <v>0.46</v>
      </c>
      <c r="W63" s="102">
        <f t="shared" si="9"/>
        <v>0.57292307692307698</v>
      </c>
      <c r="X63" s="104">
        <f t="shared" si="9"/>
        <v>0.86230769230769211</v>
      </c>
    </row>
    <row r="64" spans="6:24" ht="15.75" thickBot="1" x14ac:dyDescent="0.3">
      <c r="J64" s="105">
        <v>480</v>
      </c>
      <c r="K64" s="106">
        <v>2.75</v>
      </c>
      <c r="L64" s="106">
        <v>2.75</v>
      </c>
      <c r="M64" s="106">
        <v>2.75</v>
      </c>
      <c r="N64" s="107"/>
      <c r="O64" s="107"/>
      <c r="P64" s="108"/>
      <c r="R64" s="97">
        <v>480</v>
      </c>
      <c r="S64" s="97">
        <v>0.46</v>
      </c>
      <c r="T64" s="97">
        <v>0.5</v>
      </c>
      <c r="U64" s="97">
        <v>0.68</v>
      </c>
      <c r="V64" s="109"/>
      <c r="W64" s="109"/>
      <c r="X64" s="110"/>
    </row>
    <row r="65" spans="26:39" ht="15.75" thickBot="1" x14ac:dyDescent="0.3"/>
    <row r="66" spans="26:39" ht="15.75" customHeight="1" thickBot="1" x14ac:dyDescent="0.3">
      <c r="Z66" s="278" t="s">
        <v>142</v>
      </c>
      <c r="AA66" s="280" t="s">
        <v>143</v>
      </c>
      <c r="AB66" s="281"/>
      <c r="AC66" s="281"/>
      <c r="AD66" s="281"/>
      <c r="AE66" s="281"/>
      <c r="AF66" s="281"/>
      <c r="AG66" s="282"/>
      <c r="AI66" s="270" t="s">
        <v>144</v>
      </c>
      <c r="AJ66" s="270"/>
      <c r="AK66" s="270"/>
      <c r="AL66" s="270"/>
      <c r="AM66" s="270"/>
    </row>
    <row r="67" spans="26:39" ht="15.75" thickBot="1" x14ac:dyDescent="0.3">
      <c r="Z67" s="279"/>
      <c r="AA67" s="6">
        <v>5</v>
      </c>
      <c r="AB67" s="6">
        <v>10</v>
      </c>
      <c r="AC67" s="6">
        <v>20</v>
      </c>
      <c r="AD67" s="6">
        <v>40</v>
      </c>
      <c r="AE67" s="6">
        <v>80</v>
      </c>
      <c r="AF67" s="6">
        <v>160</v>
      </c>
      <c r="AG67" s="111">
        <v>350</v>
      </c>
      <c r="AI67" s="112" t="s">
        <v>63</v>
      </c>
      <c r="AJ67" s="112" t="s">
        <v>45</v>
      </c>
      <c r="AK67" s="112" t="s">
        <v>47</v>
      </c>
      <c r="AL67" s="112" t="s">
        <v>49</v>
      </c>
      <c r="AM67" s="112" t="s">
        <v>14</v>
      </c>
    </row>
    <row r="68" spans="26:39" ht="15.75" thickBot="1" x14ac:dyDescent="0.3">
      <c r="Z68" s="113">
        <v>0.1</v>
      </c>
      <c r="AA68" s="6">
        <v>0.95</v>
      </c>
      <c r="AB68" s="6">
        <v>0.92</v>
      </c>
      <c r="AC68" s="6">
        <v>0.88</v>
      </c>
      <c r="AD68" s="6">
        <v>0.83</v>
      </c>
      <c r="AE68" s="6">
        <v>0.76</v>
      </c>
      <c r="AF68" s="6">
        <v>0.67</v>
      </c>
      <c r="AG68" s="111">
        <v>0.56000000000000005</v>
      </c>
      <c r="AI68" s="114"/>
      <c r="AJ68" s="114"/>
      <c r="AK68" s="114"/>
      <c r="AL68" s="114"/>
      <c r="AM68" s="114"/>
    </row>
    <row r="69" spans="26:39" ht="15.75" thickBot="1" x14ac:dyDescent="0.3">
      <c r="Z69" s="113">
        <v>5</v>
      </c>
      <c r="AA69" s="6">
        <v>0.89</v>
      </c>
      <c r="AB69" s="6">
        <v>0.87</v>
      </c>
      <c r="AC69" s="6">
        <v>0.84</v>
      </c>
      <c r="AD69" s="6">
        <v>0.8</v>
      </c>
      <c r="AE69" s="6">
        <v>0.73</v>
      </c>
      <c r="AF69" s="6">
        <v>0.65</v>
      </c>
      <c r="AG69" s="111">
        <v>0.54</v>
      </c>
      <c r="AI69" s="97" t="s">
        <v>64</v>
      </c>
      <c r="AJ69" s="97">
        <v>-1.8</v>
      </c>
      <c r="AK69" s="97">
        <v>-1.3</v>
      </c>
      <c r="AL69" s="97">
        <v>-0.7</v>
      </c>
      <c r="AM69" s="97">
        <v>-0.5</v>
      </c>
    </row>
    <row r="70" spans="26:39" ht="15.75" thickBot="1" x14ac:dyDescent="0.3">
      <c r="Z70" s="113">
        <v>10</v>
      </c>
      <c r="AA70" s="6">
        <v>0.85</v>
      </c>
      <c r="AB70" s="6">
        <v>0.84</v>
      </c>
      <c r="AC70" s="6">
        <v>0.81</v>
      </c>
      <c r="AD70" s="6">
        <v>0.77</v>
      </c>
      <c r="AE70" s="6">
        <v>0.71</v>
      </c>
      <c r="AF70" s="6">
        <v>0.64</v>
      </c>
      <c r="AG70" s="111">
        <v>0.53</v>
      </c>
      <c r="AI70" s="97" t="s">
        <v>65</v>
      </c>
      <c r="AJ70" s="97">
        <v>-1.3</v>
      </c>
      <c r="AK70" s="97">
        <v>-1.3</v>
      </c>
      <c r="AL70" s="97">
        <v>-0.6</v>
      </c>
      <c r="AM70" s="97">
        <v>-0.5</v>
      </c>
    </row>
    <row r="71" spans="26:39" ht="15.75" thickBot="1" x14ac:dyDescent="0.3">
      <c r="Z71" s="113">
        <v>20</v>
      </c>
      <c r="AA71" s="6">
        <v>0.8</v>
      </c>
      <c r="AB71" s="6">
        <v>0.78</v>
      </c>
      <c r="AC71" s="6">
        <v>0.76</v>
      </c>
      <c r="AD71" s="6">
        <v>0.73</v>
      </c>
      <c r="AE71" s="6">
        <v>0.68</v>
      </c>
      <c r="AF71" s="6">
        <v>0.61</v>
      </c>
      <c r="AG71" s="111">
        <v>0.51</v>
      </c>
      <c r="AI71" s="97" t="s">
        <v>66</v>
      </c>
      <c r="AJ71" s="97">
        <v>-1.1000000000000001</v>
      </c>
      <c r="AK71" s="97">
        <v>-1.4</v>
      </c>
      <c r="AL71" s="97">
        <v>-0.8</v>
      </c>
      <c r="AM71" s="97">
        <v>-0.5</v>
      </c>
    </row>
    <row r="72" spans="26:39" ht="15.75" thickBot="1" x14ac:dyDescent="0.3">
      <c r="Z72" s="113">
        <v>40</v>
      </c>
      <c r="AA72" s="6">
        <v>0.72</v>
      </c>
      <c r="AB72" s="6">
        <v>0.72</v>
      </c>
      <c r="AC72" s="6">
        <v>0.7</v>
      </c>
      <c r="AD72" s="6">
        <v>0.67</v>
      </c>
      <c r="AE72" s="6">
        <v>0.63</v>
      </c>
      <c r="AF72" s="6">
        <v>0.56999999999999995</v>
      </c>
      <c r="AG72" s="111">
        <v>0.48</v>
      </c>
      <c r="AI72" s="97" t="s">
        <v>67</v>
      </c>
      <c r="AJ72" s="97">
        <v>-1.1000000000000001</v>
      </c>
      <c r="AK72" s="97">
        <v>-1.4</v>
      </c>
      <c r="AL72" s="97">
        <v>-0.9</v>
      </c>
      <c r="AM72" s="97">
        <v>-0.5</v>
      </c>
    </row>
    <row r="73" spans="26:39" ht="15.75" thickBot="1" x14ac:dyDescent="0.3">
      <c r="Z73" s="113">
        <v>80</v>
      </c>
      <c r="AA73" s="6">
        <v>0.63</v>
      </c>
      <c r="AB73" s="6">
        <v>0.63</v>
      </c>
      <c r="AC73" s="6">
        <v>0.61</v>
      </c>
      <c r="AD73" s="6">
        <v>0.59</v>
      </c>
      <c r="AE73" s="6">
        <v>0.56000000000000005</v>
      </c>
      <c r="AF73" s="6">
        <v>0.51</v>
      </c>
      <c r="AG73" s="111">
        <v>0.44</v>
      </c>
      <c r="AI73" s="97" t="s">
        <v>68</v>
      </c>
      <c r="AJ73" s="97">
        <v>-1.1000000000000001</v>
      </c>
      <c r="AK73" s="97">
        <v>-1.2</v>
      </c>
      <c r="AL73" s="97">
        <v>-0.8</v>
      </c>
      <c r="AM73" s="97">
        <v>-0.5</v>
      </c>
    </row>
    <row r="74" spans="26:39" ht="15.75" thickBot="1" x14ac:dyDescent="0.3">
      <c r="Z74" s="115">
        <v>160</v>
      </c>
      <c r="AA74" s="116">
        <v>0.53</v>
      </c>
      <c r="AB74" s="116">
        <v>0.53</v>
      </c>
      <c r="AC74" s="116">
        <v>0.52</v>
      </c>
      <c r="AD74" s="116">
        <v>0.5</v>
      </c>
      <c r="AE74" s="116">
        <v>0.47</v>
      </c>
      <c r="AF74" s="116">
        <v>0.44</v>
      </c>
      <c r="AG74" s="117">
        <v>0.38</v>
      </c>
      <c r="AI74" s="97" t="s">
        <v>69</v>
      </c>
      <c r="AJ74" s="97">
        <v>-1.1000000000000001</v>
      </c>
      <c r="AK74" s="97">
        <v>-1.2</v>
      </c>
      <c r="AL74" s="97">
        <v>-0.8</v>
      </c>
      <c r="AM74" s="97">
        <v>-0.5</v>
      </c>
    </row>
  </sheetData>
  <mergeCells count="19">
    <mergeCell ref="AI66:AM66"/>
    <mergeCell ref="K50:M50"/>
    <mergeCell ref="N50:P50"/>
    <mergeCell ref="S50:U50"/>
    <mergeCell ref="V50:X50"/>
    <mergeCell ref="Z66:Z67"/>
    <mergeCell ref="AA66:AG66"/>
    <mergeCell ref="S49:U49"/>
    <mergeCell ref="A9:A12"/>
    <mergeCell ref="C15:Q15"/>
    <mergeCell ref="B23:G23"/>
    <mergeCell ref="I23:L23"/>
    <mergeCell ref="B24:D24"/>
    <mergeCell ref="I24:L24"/>
    <mergeCell ref="B36:G36"/>
    <mergeCell ref="I36:L36"/>
    <mergeCell ref="B37:D37"/>
    <mergeCell ref="I37:L37"/>
    <mergeCell ref="K49:M49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"/>
  <sheetViews>
    <sheetView workbookViewId="0">
      <selection activeCell="B11" sqref="B11"/>
    </sheetView>
  </sheetViews>
  <sheetFormatPr defaultRowHeight="15" x14ac:dyDescent="0.25"/>
  <cols>
    <col min="1" max="1" width="19.5703125" customWidth="1"/>
  </cols>
  <sheetData>
    <row r="1" spans="1:33" x14ac:dyDescent="0.25">
      <c r="S1" s="118"/>
      <c r="T1" s="118"/>
      <c r="U1" s="118"/>
      <c r="V1" s="118"/>
      <c r="W1" s="118"/>
      <c r="Y1" t="s">
        <v>70</v>
      </c>
      <c r="Z1" t="s">
        <v>71</v>
      </c>
      <c r="AA1" t="s">
        <v>72</v>
      </c>
      <c r="AC1" t="s">
        <v>21</v>
      </c>
      <c r="AD1" t="s">
        <v>73</v>
      </c>
      <c r="AE1" t="s">
        <v>74</v>
      </c>
      <c r="AF1" t="s">
        <v>75</v>
      </c>
    </row>
    <row r="2" spans="1:33" x14ac:dyDescent="0.25">
      <c r="A2" t="s">
        <v>21</v>
      </c>
      <c r="B2" s="119" t="str">
        <f>IF(Лист1!B14="А","II",IF(Лист1!B14="В","III","IV"))</f>
        <v>II</v>
      </c>
      <c r="S2" s="120"/>
      <c r="Y2" t="s">
        <v>14</v>
      </c>
      <c r="Z2">
        <v>0.25</v>
      </c>
      <c r="AA2">
        <v>20</v>
      </c>
      <c r="AC2" s="120">
        <v>0</v>
      </c>
      <c r="AD2" t="s">
        <v>76</v>
      </c>
      <c r="AE2">
        <v>3.0000000000000001E-3</v>
      </c>
      <c r="AF2">
        <v>1</v>
      </c>
      <c r="AG2" s="3" t="s">
        <v>4</v>
      </c>
    </row>
    <row r="3" spans="1:33" x14ac:dyDescent="0.25">
      <c r="A3" t="s">
        <v>149</v>
      </c>
      <c r="B3" s="119">
        <f>Лист1!B15</f>
        <v>0.38</v>
      </c>
      <c r="C3" t="s">
        <v>25</v>
      </c>
      <c r="Y3" t="s">
        <v>15</v>
      </c>
      <c r="Z3">
        <v>0.39</v>
      </c>
      <c r="AA3">
        <v>25</v>
      </c>
      <c r="AC3" t="s">
        <v>14</v>
      </c>
      <c r="AD3" t="s">
        <v>77</v>
      </c>
      <c r="AE3">
        <v>0.01</v>
      </c>
      <c r="AF3">
        <v>1</v>
      </c>
      <c r="AG3" s="3" t="s">
        <v>4</v>
      </c>
    </row>
    <row r="4" spans="1:33" ht="30" x14ac:dyDescent="0.25">
      <c r="A4" s="2" t="s">
        <v>78</v>
      </c>
      <c r="B4" t="e">
        <f>INDEX(AA2:AA9,MATCH(B3,Z2:Z9,0),1)</f>
        <v>#N/A</v>
      </c>
      <c r="C4" t="s">
        <v>79</v>
      </c>
      <c r="Y4" t="s">
        <v>16</v>
      </c>
      <c r="Z4">
        <v>0.56000000000000005</v>
      </c>
      <c r="AA4">
        <v>30</v>
      </c>
      <c r="AC4" t="s">
        <v>15</v>
      </c>
      <c r="AD4" t="s">
        <v>80</v>
      </c>
      <c r="AE4">
        <v>0.05</v>
      </c>
      <c r="AF4">
        <v>2</v>
      </c>
      <c r="AG4" s="3" t="s">
        <v>4</v>
      </c>
    </row>
    <row r="5" spans="1:33" x14ac:dyDescent="0.25">
      <c r="A5" t="s">
        <v>81</v>
      </c>
      <c r="B5" s="119">
        <f>Лист1!B9</f>
        <v>6</v>
      </c>
      <c r="C5" t="s">
        <v>11</v>
      </c>
      <c r="Y5" t="s">
        <v>17</v>
      </c>
      <c r="Z5">
        <v>0.77</v>
      </c>
      <c r="AA5">
        <v>35</v>
      </c>
      <c r="AC5" t="s">
        <v>16</v>
      </c>
      <c r="AD5" t="s">
        <v>82</v>
      </c>
      <c r="AE5">
        <v>0.3</v>
      </c>
      <c r="AF5">
        <v>5</v>
      </c>
      <c r="AG5" s="3" t="s">
        <v>5</v>
      </c>
    </row>
    <row r="6" spans="1:33" x14ac:dyDescent="0.25">
      <c r="A6" s="2" t="s">
        <v>83</v>
      </c>
      <c r="B6" s="121" t="e">
        <f>Z27/1000</f>
        <v>#N/A</v>
      </c>
      <c r="C6" t="s">
        <v>25</v>
      </c>
      <c r="Y6" t="s">
        <v>18</v>
      </c>
      <c r="Z6">
        <v>1</v>
      </c>
      <c r="AA6">
        <v>40</v>
      </c>
      <c r="AC6" t="s">
        <v>17</v>
      </c>
      <c r="AD6" t="s">
        <v>84</v>
      </c>
      <c r="AE6">
        <v>1</v>
      </c>
      <c r="AF6">
        <v>10</v>
      </c>
      <c r="AG6" s="4" t="s">
        <v>6</v>
      </c>
    </row>
    <row r="7" spans="1:33" x14ac:dyDescent="0.25">
      <c r="A7" t="s">
        <v>85</v>
      </c>
      <c r="B7" s="119">
        <f>Лист1!B10</f>
        <v>18</v>
      </c>
      <c r="C7" t="s">
        <v>11</v>
      </c>
      <c r="Y7" t="s">
        <v>19</v>
      </c>
      <c r="Z7">
        <v>1.26</v>
      </c>
      <c r="AA7">
        <v>45</v>
      </c>
    </row>
    <row r="8" spans="1:33" x14ac:dyDescent="0.25">
      <c r="A8" s="2" t="s">
        <v>86</v>
      </c>
      <c r="B8" s="119">
        <f>Лист1!B11</f>
        <v>42</v>
      </c>
      <c r="C8" t="s">
        <v>11</v>
      </c>
      <c r="Y8" t="s">
        <v>20</v>
      </c>
      <c r="Z8">
        <v>1.56</v>
      </c>
      <c r="AA8">
        <v>50</v>
      </c>
    </row>
    <row r="9" spans="1:33" ht="30" x14ac:dyDescent="0.25">
      <c r="A9" s="2" t="s">
        <v>87</v>
      </c>
      <c r="B9" t="e">
        <f>MAX(Z47)</f>
        <v>#N/A</v>
      </c>
      <c r="C9" s="1" t="s">
        <v>88</v>
      </c>
      <c r="D9" t="e">
        <f>Z48</f>
        <v>#N/A</v>
      </c>
      <c r="E9" t="s">
        <v>25</v>
      </c>
      <c r="Y9" t="s">
        <v>89</v>
      </c>
      <c r="Z9">
        <v>2.25</v>
      </c>
      <c r="AA9">
        <v>60</v>
      </c>
    </row>
    <row r="10" spans="1:33" ht="45" x14ac:dyDescent="0.25">
      <c r="A10" s="2" t="s">
        <v>90</v>
      </c>
      <c r="B10" t="e">
        <f>MAX(AC47)</f>
        <v>#N/A</v>
      </c>
      <c r="C10" s="1" t="s">
        <v>88</v>
      </c>
      <c r="D10" t="e">
        <f>AC48</f>
        <v>#N/A</v>
      </c>
      <c r="E10" t="s">
        <v>25</v>
      </c>
    </row>
    <row r="11" spans="1:33" x14ac:dyDescent="0.25">
      <c r="A11" s="2" t="s">
        <v>91</v>
      </c>
      <c r="B11" s="119">
        <v>6</v>
      </c>
      <c r="C11" s="122" t="s">
        <v>92</v>
      </c>
    </row>
    <row r="12" spans="1:33" x14ac:dyDescent="0.25">
      <c r="A12" s="2" t="s">
        <v>299</v>
      </c>
      <c r="B12">
        <v>1.5</v>
      </c>
    </row>
    <row r="13" spans="1:33" x14ac:dyDescent="0.25">
      <c r="B13" s="283" t="s">
        <v>93</v>
      </c>
      <c r="C13" s="284"/>
      <c r="D13" s="39" t="s">
        <v>94</v>
      </c>
      <c r="E13" s="39">
        <f>B5/B8</f>
        <v>0.14285714285714285</v>
      </c>
    </row>
    <row r="14" spans="1:33" ht="30" x14ac:dyDescent="0.25">
      <c r="B14" s="123" t="s">
        <v>95</v>
      </c>
      <c r="C14" s="123" t="s">
        <v>96</v>
      </c>
      <c r="D14" s="124" t="s">
        <v>97</v>
      </c>
      <c r="F14" s="39" t="s">
        <v>98</v>
      </c>
      <c r="G14" s="39">
        <f>MIN(B7,2*B5)</f>
        <v>12</v>
      </c>
      <c r="H14" s="39" t="s">
        <v>11</v>
      </c>
    </row>
    <row r="15" spans="1:33" x14ac:dyDescent="0.25">
      <c r="B15" s="39" t="s">
        <v>37</v>
      </c>
      <c r="C15" s="39">
        <v>-1.2</v>
      </c>
      <c r="D15" s="125" t="e">
        <f>$D$9*C15*$B$12</f>
        <v>#N/A</v>
      </c>
      <c r="F15" s="39" t="s">
        <v>99</v>
      </c>
      <c r="G15" s="39">
        <f>G14/5</f>
        <v>2.4</v>
      </c>
      <c r="H15" s="39" t="s">
        <v>11</v>
      </c>
      <c r="Y15" s="122" t="s">
        <v>100</v>
      </c>
      <c r="Z15">
        <v>1.25</v>
      </c>
      <c r="AA15" t="s">
        <v>101</v>
      </c>
    </row>
    <row r="16" spans="1:33" x14ac:dyDescent="0.25">
      <c r="B16" s="39" t="s">
        <v>41</v>
      </c>
      <c r="C16" s="39">
        <v>-0.8</v>
      </c>
      <c r="D16" s="125" t="e">
        <f t="shared" ref="D16:D23" si="0">$D$9*C16*$B$12</f>
        <v>#N/A</v>
      </c>
      <c r="F16" s="39" t="s">
        <v>102</v>
      </c>
      <c r="G16" s="39">
        <f>4/5*G14</f>
        <v>9.6000000000000014</v>
      </c>
      <c r="H16" s="39" t="s">
        <v>11</v>
      </c>
      <c r="Y16" t="s">
        <v>103</v>
      </c>
      <c r="Z16">
        <v>1</v>
      </c>
    </row>
    <row r="17" spans="2:29" x14ac:dyDescent="0.25">
      <c r="B17" s="39" t="s">
        <v>42</v>
      </c>
      <c r="C17" s="39">
        <v>-0.5</v>
      </c>
      <c r="D17" s="125" t="e">
        <f t="shared" si="0"/>
        <v>#N/A</v>
      </c>
      <c r="F17" s="39" t="s">
        <v>104</v>
      </c>
      <c r="G17" s="39">
        <f>B8-G14</f>
        <v>30</v>
      </c>
      <c r="H17" s="39" t="s">
        <v>11</v>
      </c>
      <c r="Y17" t="s">
        <v>105</v>
      </c>
      <c r="Z17">
        <f>B5</f>
        <v>6</v>
      </c>
      <c r="AA17" t="s">
        <v>11</v>
      </c>
    </row>
    <row r="18" spans="2:29" x14ac:dyDescent="0.25">
      <c r="B18" s="39" t="s">
        <v>43</v>
      </c>
      <c r="C18" s="39">
        <v>0.7</v>
      </c>
      <c r="D18" s="125" t="e">
        <f t="shared" si="0"/>
        <v>#N/A</v>
      </c>
      <c r="Y18" t="s">
        <v>75</v>
      </c>
      <c r="Z18">
        <f>INDEX(AF2:AF6,MATCH(B2,AC2:AC6,0),1)</f>
        <v>2</v>
      </c>
      <c r="AA18" t="s">
        <v>11</v>
      </c>
    </row>
    <row r="19" spans="2:29" x14ac:dyDescent="0.25">
      <c r="B19" s="39" t="s">
        <v>44</v>
      </c>
      <c r="C19" s="39">
        <v>-0.5</v>
      </c>
      <c r="D19" s="125" t="e">
        <f t="shared" si="0"/>
        <v>#N/A</v>
      </c>
      <c r="Y19" t="s">
        <v>74</v>
      </c>
      <c r="Z19">
        <f>INDEX(AE2:AE6,MATCH(B2,AC2:AC6,0),1)</f>
        <v>0.05</v>
      </c>
      <c r="AA19" t="s">
        <v>11</v>
      </c>
    </row>
    <row r="20" spans="2:29" x14ac:dyDescent="0.25">
      <c r="B20" s="39" t="s">
        <v>45</v>
      </c>
      <c r="C20" s="39">
        <v>-1.6</v>
      </c>
      <c r="D20" s="125" t="e">
        <f t="shared" si="0"/>
        <v>#N/A</v>
      </c>
      <c r="Y20" t="s">
        <v>106</v>
      </c>
      <c r="Z20">
        <v>200</v>
      </c>
      <c r="AA20" t="s">
        <v>11</v>
      </c>
    </row>
    <row r="21" spans="2:29" x14ac:dyDescent="0.25">
      <c r="B21" s="39" t="s">
        <v>47</v>
      </c>
      <c r="C21" s="39">
        <v>-1.3</v>
      </c>
      <c r="D21" s="125" t="e">
        <f t="shared" si="0"/>
        <v>#N/A</v>
      </c>
      <c r="Y21" t="s">
        <v>107</v>
      </c>
      <c r="Z21">
        <f>0.19*(Z19/AE4)^0.07</f>
        <v>0.19</v>
      </c>
    </row>
    <row r="22" spans="2:29" x14ac:dyDescent="0.25">
      <c r="B22" s="39" t="s">
        <v>49</v>
      </c>
      <c r="C22" s="39">
        <v>-0.7</v>
      </c>
      <c r="D22" s="125" t="e">
        <f t="shared" si="0"/>
        <v>#N/A</v>
      </c>
      <c r="Y22" t="s">
        <v>108</v>
      </c>
      <c r="Z22">
        <f>IF(AND(Z17&gt;=Z18,Z17&lt;=Z20),Z21*LN(Z17/Z19),Z21*LN(Z18/Z19))</f>
        <v>0.90962343112858868</v>
      </c>
    </row>
    <row r="23" spans="2:29" x14ac:dyDescent="0.25">
      <c r="B23" s="39" t="s">
        <v>14</v>
      </c>
      <c r="C23" s="39">
        <v>-0.6</v>
      </c>
      <c r="D23" s="125" t="e">
        <f t="shared" si="0"/>
        <v>#N/A</v>
      </c>
      <c r="Y23" t="s">
        <v>109</v>
      </c>
      <c r="Z23" t="e">
        <f>B4*Z22*Z16</f>
        <v>#N/A</v>
      </c>
      <c r="AA23" t="s">
        <v>79</v>
      </c>
    </row>
    <row r="24" spans="2:29" x14ac:dyDescent="0.25">
      <c r="Y24" t="s">
        <v>110</v>
      </c>
      <c r="Z24">
        <v>1</v>
      </c>
    </row>
    <row r="25" spans="2:29" x14ac:dyDescent="0.25">
      <c r="Y25" s="122" t="s">
        <v>111</v>
      </c>
      <c r="Z25" t="e">
        <f>Z21*B4*Z24</f>
        <v>#N/A</v>
      </c>
    </row>
    <row r="26" spans="2:29" x14ac:dyDescent="0.25">
      <c r="B26" s="283" t="s">
        <v>112</v>
      </c>
      <c r="C26" s="284"/>
      <c r="D26" s="39" t="s">
        <v>94</v>
      </c>
      <c r="E26" s="39">
        <f>B5/B7</f>
        <v>0.33333333333333331</v>
      </c>
      <c r="Y26" t="s">
        <v>113</v>
      </c>
      <c r="Z26" t="e">
        <f>Z25/Z23</f>
        <v>#N/A</v>
      </c>
    </row>
    <row r="27" spans="2:29" ht="30" x14ac:dyDescent="0.25">
      <c r="B27" s="123" t="s">
        <v>95</v>
      </c>
      <c r="C27" s="123" t="s">
        <v>96</v>
      </c>
      <c r="D27" s="124" t="s">
        <v>97</v>
      </c>
      <c r="F27" s="39" t="s">
        <v>98</v>
      </c>
      <c r="G27" s="39">
        <f>MIN(B8,2*B5)</f>
        <v>12</v>
      </c>
      <c r="H27" s="39" t="s">
        <v>11</v>
      </c>
      <c r="Y27" t="s">
        <v>114</v>
      </c>
      <c r="Z27" t="e">
        <f>(1+7*Z26)*0.5*Z15*Z23^2</f>
        <v>#N/A</v>
      </c>
      <c r="AA27" t="s">
        <v>115</v>
      </c>
    </row>
    <row r="28" spans="2:29" x14ac:dyDescent="0.25">
      <c r="B28" s="39" t="s">
        <v>37</v>
      </c>
      <c r="C28" s="39">
        <v>-1.2</v>
      </c>
      <c r="D28" s="125" t="e">
        <f>$D$10*C28*$B$12</f>
        <v>#N/A</v>
      </c>
      <c r="F28" s="39" t="s">
        <v>99</v>
      </c>
      <c r="G28" s="39">
        <f>G27/5</f>
        <v>2.4</v>
      </c>
      <c r="H28" s="39" t="s">
        <v>11</v>
      </c>
      <c r="Y28" t="s">
        <v>116</v>
      </c>
      <c r="Z28">
        <v>200</v>
      </c>
      <c r="AA28" t="s">
        <v>11</v>
      </c>
    </row>
    <row r="29" spans="2:29" x14ac:dyDescent="0.25">
      <c r="B29" s="39" t="s">
        <v>41</v>
      </c>
      <c r="C29" s="39">
        <v>-0.8</v>
      </c>
      <c r="D29" s="125" t="e">
        <f t="shared" ref="D29:D41" si="1">$D$10*C29*$B$12</f>
        <v>#N/A</v>
      </c>
      <c r="F29" s="39" t="s">
        <v>102</v>
      </c>
      <c r="G29" s="39">
        <f>4/5*G27</f>
        <v>9.6000000000000014</v>
      </c>
      <c r="H29" s="39" t="s">
        <v>11</v>
      </c>
      <c r="Y29" t="s">
        <v>117</v>
      </c>
      <c r="Z29">
        <v>300</v>
      </c>
      <c r="AA29" t="s">
        <v>11</v>
      </c>
    </row>
    <row r="30" spans="2:29" x14ac:dyDescent="0.25">
      <c r="B30" s="39" t="s">
        <v>42</v>
      </c>
      <c r="C30" s="39">
        <v>-0.5</v>
      </c>
      <c r="D30" s="125" t="e">
        <f t="shared" si="1"/>
        <v>#N/A</v>
      </c>
      <c r="F30" s="39" t="s">
        <v>104</v>
      </c>
      <c r="G30" s="39">
        <f>B7-G27</f>
        <v>6</v>
      </c>
      <c r="H30" s="39" t="s">
        <v>11</v>
      </c>
      <c r="Y30" s="122" t="s">
        <v>118</v>
      </c>
      <c r="Z30">
        <f>0.67+0.05*LN(Z19)</f>
        <v>0.52021338632230052</v>
      </c>
    </row>
    <row r="31" spans="2:29" x14ac:dyDescent="0.25">
      <c r="B31" s="39" t="s">
        <v>43</v>
      </c>
      <c r="C31" s="39">
        <v>0.8</v>
      </c>
      <c r="D31" s="125" t="e">
        <f t="shared" si="1"/>
        <v>#N/A</v>
      </c>
      <c r="Y31" t="s">
        <v>119</v>
      </c>
      <c r="Z31">
        <f>Z29*((MAX(Z17,Z18))/Z28)^Z30</f>
        <v>48.406016631079744</v>
      </c>
    </row>
    <row r="32" spans="2:29" x14ac:dyDescent="0.25">
      <c r="B32" s="39" t="s">
        <v>44</v>
      </c>
      <c r="C32" s="39">
        <v>-0.5</v>
      </c>
      <c r="D32" s="125" t="e">
        <f t="shared" si="1"/>
        <v>#N/A</v>
      </c>
      <c r="Y32" t="s">
        <v>120</v>
      </c>
      <c r="Z32">
        <f>1/(1+0.9*((B7+B5)/Z31)^0.63)</f>
        <v>0.63352050512467328</v>
      </c>
      <c r="AB32" t="s">
        <v>120</v>
      </c>
      <c r="AC32">
        <f>1/(1+0.9*((B8+B5)/Z31)^0.63)</f>
        <v>0.52763856588782754</v>
      </c>
    </row>
    <row r="33" spans="2:30" x14ac:dyDescent="0.25">
      <c r="B33" s="39" t="s">
        <v>45</v>
      </c>
      <c r="C33" s="39">
        <v>-1.7</v>
      </c>
      <c r="D33" s="125" t="e">
        <f t="shared" si="1"/>
        <v>#N/A</v>
      </c>
      <c r="Y33" t="s">
        <v>121</v>
      </c>
      <c r="Z33">
        <f>1/(2*PI())*(9.81/(B5/200))^0.5</f>
        <v>2.8780213277113003</v>
      </c>
      <c r="AA33" t="s">
        <v>122</v>
      </c>
      <c r="AB33" t="s">
        <v>121</v>
      </c>
      <c r="AC33">
        <f>1/(2*PI())*(9.81/(B5/200))^0.5</f>
        <v>2.8780213277113003</v>
      </c>
      <c r="AD33" t="s">
        <v>122</v>
      </c>
    </row>
    <row r="34" spans="2:30" x14ac:dyDescent="0.25">
      <c r="B34" s="39" t="s">
        <v>45</v>
      </c>
      <c r="C34" s="39">
        <v>0.02</v>
      </c>
      <c r="D34" s="125" t="e">
        <f t="shared" si="1"/>
        <v>#N/A</v>
      </c>
      <c r="Y34" t="s">
        <v>121</v>
      </c>
      <c r="Z34">
        <f>46/B5</f>
        <v>7.666666666666667</v>
      </c>
      <c r="AA34" t="s">
        <v>122</v>
      </c>
      <c r="AB34" t="s">
        <v>121</v>
      </c>
      <c r="AC34">
        <f>46/B5</f>
        <v>7.666666666666667</v>
      </c>
      <c r="AD34" t="s">
        <v>122</v>
      </c>
    </row>
    <row r="35" spans="2:30" x14ac:dyDescent="0.25">
      <c r="B35" s="39" t="s">
        <v>47</v>
      </c>
      <c r="C35" s="39">
        <v>-1.2</v>
      </c>
      <c r="D35" s="125" t="e">
        <f t="shared" si="1"/>
        <v>#N/A</v>
      </c>
      <c r="Y35" t="s">
        <v>40</v>
      </c>
      <c r="Z35">
        <f>AVERAGE(Z33:Z34)</f>
        <v>5.2723439971889832</v>
      </c>
      <c r="AA35" t="s">
        <v>122</v>
      </c>
      <c r="AB35" t="s">
        <v>40</v>
      </c>
      <c r="AC35">
        <f>AVERAGE(AC33:AC34)</f>
        <v>5.2723439971889832</v>
      </c>
      <c r="AD35" t="s">
        <v>122</v>
      </c>
    </row>
    <row r="36" spans="2:30" x14ac:dyDescent="0.25">
      <c r="B36" s="39" t="s">
        <v>47</v>
      </c>
      <c r="C36" s="39">
        <v>0.02</v>
      </c>
      <c r="D36" s="125" t="e">
        <f t="shared" si="1"/>
        <v>#N/A</v>
      </c>
      <c r="Y36" t="s">
        <v>123</v>
      </c>
      <c r="Z36" t="e">
        <f>Z35*Z31/Z23</f>
        <v>#N/A</v>
      </c>
      <c r="AB36" t="s">
        <v>123</v>
      </c>
      <c r="AC36" t="e">
        <f>AC35*Z31/Z23</f>
        <v>#N/A</v>
      </c>
    </row>
    <row r="37" spans="2:30" x14ac:dyDescent="0.25">
      <c r="B37" s="39" t="s">
        <v>49</v>
      </c>
      <c r="C37" s="39">
        <v>-0.6</v>
      </c>
      <c r="D37" s="125" t="e">
        <f t="shared" si="1"/>
        <v>#N/A</v>
      </c>
      <c r="Y37" t="s">
        <v>124</v>
      </c>
      <c r="Z37" t="e">
        <f>6.8*Z36/(1+10.2*Z36)^(5/3)</f>
        <v>#N/A</v>
      </c>
      <c r="AB37" t="s">
        <v>124</v>
      </c>
      <c r="AC37" t="e">
        <f>6.8*AC36/(1+10.2*AC36)^(5/3)</f>
        <v>#N/A</v>
      </c>
    </row>
    <row r="38" spans="2:30" x14ac:dyDescent="0.25">
      <c r="B38" s="39" t="s">
        <v>49</v>
      </c>
      <c r="C38" s="39">
        <v>0.02</v>
      </c>
      <c r="D38" s="125" t="e">
        <f t="shared" si="1"/>
        <v>#N/A</v>
      </c>
      <c r="Y38" s="122" t="s">
        <v>125</v>
      </c>
      <c r="Z38" t="e">
        <f>4.6*B5/Z31*Z36</f>
        <v>#N/A</v>
      </c>
      <c r="AB38" s="122" t="s">
        <v>125</v>
      </c>
      <c r="AC38" t="e">
        <f>4.6*B5/Z31*AC36</f>
        <v>#N/A</v>
      </c>
    </row>
    <row r="39" spans="2:30" x14ac:dyDescent="0.25">
      <c r="B39" s="39" t="s">
        <v>14</v>
      </c>
      <c r="C39" s="39">
        <v>-0.6</v>
      </c>
      <c r="D39" s="125" t="e">
        <f t="shared" si="1"/>
        <v>#N/A</v>
      </c>
      <c r="Y39" s="122" t="s">
        <v>126</v>
      </c>
      <c r="Z39" t="e">
        <f>4.6*B7/Z31*Z36</f>
        <v>#N/A</v>
      </c>
      <c r="AB39" s="122" t="s">
        <v>126</v>
      </c>
      <c r="AC39" t="e">
        <f>4.6*B8/Z31*AC36</f>
        <v>#N/A</v>
      </c>
    </row>
    <row r="40" spans="2:30" x14ac:dyDescent="0.25">
      <c r="B40" s="39" t="s">
        <v>51</v>
      </c>
      <c r="C40" s="39">
        <v>0.2</v>
      </c>
      <c r="D40" s="125" t="e">
        <f t="shared" si="1"/>
        <v>#N/A</v>
      </c>
      <c r="Y40" t="s">
        <v>127</v>
      </c>
      <c r="Z40" t="e">
        <f>1/Z38-1/(2*Z38^2)*(1-2.718^(-2*Z38))</f>
        <v>#N/A</v>
      </c>
      <c r="AB40" t="s">
        <v>127</v>
      </c>
      <c r="AC40" t="e">
        <f>1/AC38-1/(2*AC38^2)*(1-2.718^(-2*AC38))</f>
        <v>#N/A</v>
      </c>
    </row>
    <row r="41" spans="2:30" x14ac:dyDescent="0.25">
      <c r="B41" s="39" t="s">
        <v>51</v>
      </c>
      <c r="C41" s="39">
        <v>-0.6</v>
      </c>
      <c r="D41" s="125" t="e">
        <f t="shared" si="1"/>
        <v>#N/A</v>
      </c>
      <c r="Y41" t="s">
        <v>128</v>
      </c>
      <c r="Z41" t="e">
        <f>1/Z39-1/(2*Z39^2)*(1-2.718^(-2*Z39))</f>
        <v>#N/A</v>
      </c>
      <c r="AB41" t="s">
        <v>128</v>
      </c>
      <c r="AC41" t="e">
        <f>1/AC39-1/(2*AC39^2)*(1-2.718^(-2*AC39))</f>
        <v>#N/A</v>
      </c>
    </row>
    <row r="42" spans="2:30" x14ac:dyDescent="0.25">
      <c r="Y42" s="122" t="s">
        <v>129</v>
      </c>
      <c r="Z42">
        <v>0.3</v>
      </c>
      <c r="AB42" s="122" t="s">
        <v>129</v>
      </c>
      <c r="AC42">
        <v>0.3</v>
      </c>
    </row>
    <row r="43" spans="2:30" x14ac:dyDescent="0.25">
      <c r="B43" s="39" t="s">
        <v>130</v>
      </c>
      <c r="C43" s="39"/>
      <c r="Y43" s="122" t="s">
        <v>131</v>
      </c>
      <c r="Z43" t="e">
        <f>PI()^2/(2*Z42)*Z37*Z40*Z41</f>
        <v>#N/A</v>
      </c>
      <c r="AB43" s="122" t="s">
        <v>131</v>
      </c>
      <c r="AC43" t="e">
        <f>PI()^2/(2*AC42)*AC37*AC40*AC41</f>
        <v>#N/A</v>
      </c>
    </row>
    <row r="44" spans="2:30" ht="30" x14ac:dyDescent="0.25">
      <c r="B44" s="39" t="s">
        <v>96</v>
      </c>
      <c r="C44" s="126" t="s">
        <v>97</v>
      </c>
      <c r="Y44" s="122" t="s">
        <v>132</v>
      </c>
      <c r="Z44" t="e">
        <f>Z35*(Z43/(Z32+Z43))^0.5</f>
        <v>#N/A</v>
      </c>
      <c r="AA44" t="s">
        <v>122</v>
      </c>
      <c r="AB44" s="122" t="s">
        <v>132</v>
      </c>
      <c r="AC44" t="e">
        <f>AC35*(AC43/(AC32+AC43))^0.5</f>
        <v>#N/A</v>
      </c>
      <c r="AD44" t="s">
        <v>122</v>
      </c>
    </row>
    <row r="45" spans="2:30" x14ac:dyDescent="0.25">
      <c r="B45" s="39">
        <v>0.2</v>
      </c>
      <c r="C45" s="39" t="e">
        <f>$D$9*B45*$B$12</f>
        <v>#N/A</v>
      </c>
      <c r="Y45" s="122" t="s">
        <v>133</v>
      </c>
      <c r="Z45">
        <v>600</v>
      </c>
      <c r="AA45" t="s">
        <v>39</v>
      </c>
      <c r="AB45" s="122" t="s">
        <v>133</v>
      </c>
      <c r="AC45">
        <v>600</v>
      </c>
      <c r="AD45" t="s">
        <v>39</v>
      </c>
    </row>
    <row r="46" spans="2:30" x14ac:dyDescent="0.25">
      <c r="B46" s="39">
        <v>-0.3</v>
      </c>
      <c r="C46" s="39" t="e">
        <f>$D$9*B46*$B$12</f>
        <v>#N/A</v>
      </c>
      <c r="Y46" s="122" t="s">
        <v>134</v>
      </c>
      <c r="Z46" t="e">
        <f>MAX((2*LN(Z44*Z45))^0.5,3)</f>
        <v>#N/A</v>
      </c>
      <c r="AB46" s="122" t="s">
        <v>134</v>
      </c>
      <c r="AC46" t="e">
        <f>MAX((2*LN(AC44*AC45))^0.5,3)</f>
        <v>#N/A</v>
      </c>
    </row>
    <row r="47" spans="2:30" x14ac:dyDescent="0.25">
      <c r="Y47" s="122" t="s">
        <v>135</v>
      </c>
      <c r="Z47" t="e">
        <f>(1+2*Z46*Z26*(Z32+Z43)^0.5)/(1+7*Z26)</f>
        <v>#N/A</v>
      </c>
      <c r="AB47" s="122" t="s">
        <v>135</v>
      </c>
      <c r="AC47" t="e">
        <f>(1+2*AC46*Z26*(AC32+AC43)^0.5)/(1+7*Z26)</f>
        <v>#N/A</v>
      </c>
    </row>
    <row r="48" spans="2:30" x14ac:dyDescent="0.25">
      <c r="Y48" s="122" t="s">
        <v>136</v>
      </c>
      <c r="Z48" t="e">
        <f>B6*B9</f>
        <v>#N/A</v>
      </c>
      <c r="AB48" s="122" t="s">
        <v>136</v>
      </c>
      <c r="AC48" t="e">
        <f>B6*B10</f>
        <v>#N/A</v>
      </c>
    </row>
  </sheetData>
  <mergeCells count="2">
    <mergeCell ref="B13:C13"/>
    <mergeCell ref="B26:C26"/>
  </mergeCells>
  <dataValidations count="1">
    <dataValidation type="list" allowBlank="1" showInputMessage="1" showErrorMessage="1" sqref="B2">
      <formula1>$AC$2:$AC$6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zoomScale="55" zoomScaleNormal="55" workbookViewId="0">
      <selection activeCell="AR39" sqref="A14:AR3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Лист1</vt:lpstr>
      <vt:lpstr>Расчет</vt:lpstr>
      <vt:lpstr>Лист2</vt:lpstr>
      <vt:lpstr>Ветер СП</vt:lpstr>
      <vt:lpstr>Ветер по СП РК EN</vt:lpstr>
      <vt:lpstr>типы окон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2025-10-08T08:13:15Z</dcterms:modified>
</cp:coreProperties>
</file>