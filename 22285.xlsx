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Desktop\Август 2026\22285 (18х48х6, спринт сп)\"/>
    </mc:Choice>
  </mc:AlternateContent>
  <bookViews>
    <workbookView xWindow="0" yWindow="1560" windowWidth="15195" windowHeight="7260"/>
  </bookViews>
  <sheets>
    <sheet name="12м" sheetId="3" r:id="rId1"/>
    <sheet name="15" sheetId="4" r:id="rId2"/>
    <sheet name="18" sheetId="5" r:id="rId3"/>
    <sheet name="21" sheetId="6" r:id="rId4"/>
    <sheet name="1ск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0">'12м'!$A$1:$G$166</definedName>
    <definedName name="_xlnm.Print_Area" localSheetId="1">'15'!$A$1:$G$157</definedName>
    <definedName name="_xlnm.Print_Area" localSheetId="2">'18'!$A$1:$G$159</definedName>
    <definedName name="_xlnm.Print_Area" localSheetId="4">'1ск'!$A$1:$G$146</definedName>
    <definedName name="_xlnm.Print_Area" localSheetId="3">'21'!$A$1:$G$148</definedName>
  </definedNames>
  <calcPr calcId="152511"/>
</workbook>
</file>

<file path=xl/calcChain.xml><?xml version="1.0" encoding="utf-8"?>
<calcChain xmlns="http://schemas.openxmlformats.org/spreadsheetml/2006/main">
  <c r="L156" i="3" l="1"/>
  <c r="E139" i="3"/>
  <c r="E138" i="3"/>
  <c r="B139" i="3"/>
  <c r="B138" i="3"/>
  <c r="C102" i="3"/>
  <c r="C97" i="3"/>
  <c r="L92" i="3"/>
  <c r="O88" i="3"/>
  <c r="C85" i="3"/>
  <c r="C24" i="3"/>
  <c r="E24" i="3"/>
  <c r="E22" i="3" l="1"/>
  <c r="E97" i="3" l="1"/>
  <c r="C78" i="3" l="1"/>
  <c r="G64" i="3"/>
  <c r="C28" i="3"/>
  <c r="C26" i="3"/>
  <c r="E21" i="3"/>
  <c r="B103" i="3" l="1"/>
  <c r="E102" i="3"/>
  <c r="E75" i="3" l="1"/>
  <c r="E26" i="3"/>
  <c r="E79" i="3" l="1"/>
  <c r="E78" i="3"/>
  <c r="E74" i="3"/>
  <c r="E73" i="3"/>
  <c r="E28" i="3"/>
  <c r="C72" i="3" l="1"/>
  <c r="C65" i="3" l="1"/>
  <c r="C64" i="3"/>
  <c r="C61" i="3"/>
  <c r="G61" i="3" l="1"/>
  <c r="G65" i="3"/>
  <c r="C60" i="3"/>
  <c r="C25" i="3"/>
  <c r="G60" i="3" l="1"/>
  <c r="E72" i="3"/>
  <c r="E27" i="3"/>
  <c r="N161" i="3" l="1"/>
  <c r="M161" i="3"/>
  <c r="C62" i="3" l="1"/>
  <c r="G62" i="3" l="1"/>
  <c r="C139" i="3"/>
  <c r="C104" i="3"/>
  <c r="C75" i="3"/>
  <c r="C73" i="3"/>
  <c r="C39" i="3"/>
  <c r="C38" i="3"/>
  <c r="E98" i="3" l="1"/>
  <c r="E96" i="3"/>
  <c r="E17" i="3" l="1"/>
  <c r="L155" i="3"/>
  <c r="C122" i="3" l="1"/>
  <c r="B120" i="3"/>
  <c r="C56" i="3"/>
  <c r="C55" i="3"/>
  <c r="E119" i="3" l="1"/>
  <c r="B119" i="3"/>
  <c r="E109" i="3" l="1"/>
  <c r="E104" i="3"/>
  <c r="E95" i="3"/>
  <c r="E94" i="3"/>
  <c r="E93" i="3"/>
  <c r="E89" i="3"/>
  <c r="E88" i="3"/>
  <c r="E87" i="3"/>
  <c r="E86" i="3"/>
  <c r="E85" i="3"/>
  <c r="E38" i="3"/>
  <c r="C76" i="3" l="1"/>
  <c r="E25" i="3" l="1"/>
  <c r="E142" i="3" l="1"/>
  <c r="E141" i="3"/>
  <c r="F102" i="3" l="1"/>
  <c r="E39" i="3" l="1"/>
  <c r="G24" i="3" l="1"/>
  <c r="N163" i="3" l="1"/>
  <c r="N162" i="3"/>
  <c r="N160" i="3"/>
  <c r="G73" i="3" l="1"/>
  <c r="E68" i="3"/>
  <c r="E67" i="3"/>
  <c r="E66" i="3"/>
  <c r="E65" i="3"/>
  <c r="F65" i="3" s="1"/>
  <c r="E64" i="3"/>
  <c r="F64" i="3" s="1"/>
  <c r="E63" i="3"/>
  <c r="E62" i="3"/>
  <c r="F62" i="3" s="1"/>
  <c r="E61" i="3"/>
  <c r="F61" i="3" s="1"/>
  <c r="E60" i="3"/>
  <c r="F60" i="3" s="1"/>
  <c r="G38" i="3"/>
  <c r="C38" i="4"/>
  <c r="C77" i="3" l="1"/>
  <c r="C40" i="3"/>
  <c r="C37" i="3"/>
  <c r="C36" i="3"/>
  <c r="C35" i="3"/>
  <c r="E77" i="3" l="1"/>
  <c r="E40" i="3"/>
  <c r="E37" i="3" l="1"/>
  <c r="E36" i="3"/>
  <c r="E35" i="3"/>
  <c r="G35" i="3" l="1"/>
  <c r="C23" i="3"/>
  <c r="G36" i="3"/>
  <c r="F25" i="3" l="1"/>
  <c r="G26" i="3" l="1"/>
  <c r="F26" i="3"/>
  <c r="C143" i="3"/>
  <c r="C145" i="3" l="1"/>
  <c r="C144" i="3"/>
  <c r="C137" i="3"/>
  <c r="I103" i="3" l="1"/>
  <c r="C103" i="3" s="1"/>
  <c r="G139" i="3"/>
  <c r="G103" i="3" l="1"/>
  <c r="H34" i="3"/>
  <c r="G34" i="3" s="1"/>
  <c r="C79" i="3" l="1"/>
  <c r="J75" i="3"/>
  <c r="K75" i="3"/>
  <c r="A76" i="3"/>
  <c r="B76" i="3"/>
  <c r="J76" i="3"/>
  <c r="K76" i="3"/>
  <c r="A77" i="3"/>
  <c r="B77" i="3"/>
  <c r="H77" i="3"/>
  <c r="G77" i="3" s="1"/>
  <c r="J77" i="3"/>
  <c r="K77" i="3"/>
  <c r="G78" i="3"/>
  <c r="J78" i="3"/>
  <c r="K79" i="3"/>
  <c r="J80" i="3"/>
  <c r="J79" i="3" s="1"/>
  <c r="K80" i="3"/>
  <c r="C136" i="3" l="1"/>
  <c r="F73" i="3"/>
  <c r="F78" i="3"/>
  <c r="G75" i="3"/>
  <c r="F75" i="3"/>
  <c r="F79" i="3"/>
  <c r="G79" i="3"/>
  <c r="B23" i="3" l="1"/>
  <c r="C111" i="3" l="1"/>
  <c r="C112" i="3" s="1"/>
  <c r="C107" i="3"/>
  <c r="L98" i="5"/>
  <c r="C42" i="3" l="1"/>
  <c r="C105" i="3" s="1"/>
  <c r="I17" i="3"/>
  <c r="C27" i="3" s="1"/>
  <c r="G27" i="3" s="1"/>
  <c r="F39" i="3" l="1"/>
  <c r="F38" i="3"/>
  <c r="G25" i="3" l="1"/>
  <c r="J101" i="3" l="1"/>
  <c r="I147" i="3" l="1"/>
  <c r="C138" i="3" s="1"/>
  <c r="G107" i="3" l="1"/>
  <c r="H23" i="3" l="1"/>
  <c r="I128" i="3" l="1"/>
  <c r="B42" i="3"/>
  <c r="B40" i="3"/>
  <c r="N54" i="3"/>
  <c r="M54" i="3"/>
  <c r="E30" i="3"/>
  <c r="E29" i="3"/>
  <c r="F40" i="3" l="1"/>
  <c r="E76" i="3"/>
  <c r="F76" i="3" s="1"/>
  <c r="H40" i="3"/>
  <c r="G40" i="3" s="1"/>
  <c r="H76" i="3"/>
  <c r="G76" i="3" s="1"/>
  <c r="E42" i="3"/>
  <c r="H42" i="3"/>
  <c r="C103" i="5"/>
  <c r="I107" i="5"/>
  <c r="E108" i="5"/>
  <c r="C130" i="5"/>
  <c r="D130" i="5"/>
  <c r="B130" i="5"/>
  <c r="C108" i="5"/>
  <c r="G108" i="5" s="1"/>
  <c r="C98" i="5"/>
  <c r="C97" i="5"/>
  <c r="C96" i="5"/>
  <c r="C25" i="5"/>
  <c r="F108" i="5" l="1"/>
  <c r="E130" i="5"/>
  <c r="F130" i="5" s="1"/>
  <c r="G130" i="5"/>
  <c r="C106" i="5"/>
  <c r="O90" i="5"/>
  <c r="M90" i="5"/>
  <c r="C75" i="5"/>
  <c r="C73" i="5"/>
  <c r="C24" i="5" l="1"/>
  <c r="B129" i="5"/>
  <c r="B128" i="5"/>
  <c r="B107" i="5"/>
  <c r="B106" i="5"/>
  <c r="H22" i="5"/>
  <c r="B22" i="5"/>
  <c r="C96" i="4"/>
  <c r="C97" i="4"/>
  <c r="E27" i="4"/>
  <c r="J34" i="4"/>
  <c r="E24" i="4" s="1"/>
  <c r="H23" i="4"/>
  <c r="B23" i="4"/>
  <c r="G128" i="4"/>
  <c r="B103" i="4"/>
  <c r="C129" i="4"/>
  <c r="C24" i="4"/>
  <c r="C128" i="4" l="1"/>
  <c r="I101" i="4"/>
  <c r="C104" i="4" s="1"/>
  <c r="G62" i="4"/>
  <c r="G63" i="4"/>
  <c r="G64" i="4"/>
  <c r="G65" i="4"/>
  <c r="G66" i="4"/>
  <c r="G67" i="4"/>
  <c r="G68" i="4"/>
  <c r="G69" i="4"/>
  <c r="G61" i="4"/>
  <c r="C40" i="4"/>
  <c r="C37" i="4"/>
  <c r="G36" i="4"/>
  <c r="G28" i="4"/>
  <c r="G26" i="4"/>
  <c r="C103" i="4" l="1"/>
  <c r="G103" i="4" l="1"/>
  <c r="H22" i="4" l="1"/>
  <c r="H21" i="4"/>
  <c r="B22" i="4"/>
  <c r="B21" i="4"/>
  <c r="G86" i="6" l="1"/>
  <c r="F88" i="6"/>
  <c r="F87" i="6"/>
  <c r="F86" i="6"/>
  <c r="B40" i="6"/>
  <c r="G35" i="6"/>
  <c r="H24" i="6"/>
  <c r="B24" i="6"/>
  <c r="C24" i="6"/>
  <c r="C87" i="6"/>
  <c r="C86" i="6"/>
  <c r="C35" i="6"/>
  <c r="G22" i="6"/>
  <c r="H23" i="6"/>
  <c r="G121" i="6" l="1"/>
  <c r="G126" i="6"/>
  <c r="G127" i="6"/>
  <c r="G118" i="6"/>
  <c r="G102" i="6"/>
  <c r="G103" i="6"/>
  <c r="G93" i="6"/>
  <c r="G94" i="6"/>
  <c r="G95" i="6"/>
  <c r="G66" i="6"/>
  <c r="G42" i="6"/>
  <c r="G40" i="6"/>
  <c r="G34" i="6"/>
  <c r="H34" i="6"/>
  <c r="C34" i="6"/>
  <c r="G23" i="6"/>
  <c r="B23" i="6"/>
  <c r="H22" i="6"/>
  <c r="B22" i="6"/>
  <c r="C108" i="3"/>
  <c r="C109" i="3" s="1"/>
  <c r="E108" i="3"/>
  <c r="E106" i="3"/>
  <c r="C40" i="7"/>
  <c r="C35" i="7"/>
  <c r="C34" i="7"/>
  <c r="B34" i="7"/>
  <c r="C24" i="7"/>
  <c r="B24" i="7"/>
  <c r="B23" i="7" l="1"/>
  <c r="J20" i="7"/>
  <c r="E21" i="7" s="1"/>
  <c r="F21" i="7" s="1"/>
  <c r="C111" i="6" l="1"/>
  <c r="C124" i="6"/>
  <c r="M96" i="4" l="1"/>
  <c r="M138" i="7" l="1"/>
  <c r="K90" i="7"/>
  <c r="K89" i="7"/>
  <c r="K88" i="7"/>
  <c r="G55" i="7"/>
  <c r="E97" i="7"/>
  <c r="E121" i="7" s="1"/>
  <c r="O100" i="4" l="1"/>
  <c r="E129" i="4"/>
  <c r="F129" i="4" s="1"/>
  <c r="E121" i="4"/>
  <c r="C121" i="4"/>
  <c r="G121" i="4" s="1"/>
  <c r="E104" i="4"/>
  <c r="K100" i="4"/>
  <c r="K99" i="4"/>
  <c r="K98" i="4"/>
  <c r="J100" i="4"/>
  <c r="J99" i="4"/>
  <c r="J98" i="4"/>
  <c r="C102" i="4"/>
  <c r="G104" i="4" s="1"/>
  <c r="C120" i="4"/>
  <c r="C127" i="4"/>
  <c r="G129" i="4" l="1"/>
  <c r="F121" i="4"/>
  <c r="F104" i="4"/>
  <c r="E98" i="6" l="1"/>
  <c r="E111" i="6" s="1"/>
  <c r="E124" i="6" s="1"/>
  <c r="C120" i="6"/>
  <c r="N117" i="7" l="1"/>
  <c r="M117" i="7"/>
  <c r="L117" i="7"/>
  <c r="O127" i="6"/>
  <c r="N127" i="6"/>
  <c r="M127" i="6"/>
  <c r="O129" i="5"/>
  <c r="N129" i="5"/>
  <c r="M129" i="5"/>
  <c r="O117" i="4"/>
  <c r="N117" i="4"/>
  <c r="M117" i="4"/>
  <c r="P109" i="3"/>
  <c r="O109" i="3"/>
  <c r="N109" i="3"/>
  <c r="B118" i="3" l="1"/>
  <c r="F104" i="3" l="1"/>
  <c r="G104" i="3"/>
  <c r="E140" i="3"/>
  <c r="E121" i="3"/>
  <c r="C35" i="4"/>
  <c r="C34" i="4"/>
  <c r="C111" i="4"/>
  <c r="C112" i="4" s="1"/>
  <c r="C110" i="4"/>
  <c r="G140" i="3" l="1"/>
  <c r="C111" i="5"/>
  <c r="C104" i="5"/>
  <c r="C40" i="5"/>
  <c r="C35" i="5"/>
  <c r="C34" i="5"/>
  <c r="C99" i="6" l="1"/>
  <c r="C97" i="6"/>
  <c r="C96" i="6" s="1"/>
  <c r="C98" i="6" s="1"/>
  <c r="C129" i="5"/>
  <c r="C107" i="5"/>
  <c r="K14" i="7" l="1"/>
  <c r="J16" i="7"/>
  <c r="J14" i="7"/>
  <c r="J15" i="7" s="1"/>
  <c r="J19" i="7"/>
  <c r="J16" i="6"/>
  <c r="J15" i="6"/>
  <c r="J14" i="6"/>
  <c r="J16" i="5"/>
  <c r="J14" i="5"/>
  <c r="J15" i="5" s="1"/>
  <c r="J16" i="4"/>
  <c r="J15" i="4"/>
  <c r="J14" i="4"/>
  <c r="J14" i="3"/>
  <c r="J15" i="3" s="1"/>
  <c r="J16" i="3" s="1"/>
  <c r="C140" i="3" s="1"/>
  <c r="C21" i="3" l="1"/>
  <c r="G21" i="3" s="1"/>
  <c r="F140" i="3"/>
  <c r="K15" i="7"/>
  <c r="K16" i="7" s="1"/>
  <c r="C121" i="7"/>
  <c r="C102" i="6" l="1"/>
  <c r="C95" i="6"/>
  <c r="C40" i="6"/>
  <c r="K77" i="4" l="1"/>
  <c r="K77" i="5" l="1"/>
  <c r="K78" i="5" s="1"/>
  <c r="K67" i="7" l="1"/>
  <c r="C95" i="7" l="1"/>
  <c r="C97" i="7" s="1"/>
  <c r="N142" i="7"/>
  <c r="N141" i="7"/>
  <c r="E124" i="7"/>
  <c r="E107" i="7"/>
  <c r="E103" i="7"/>
  <c r="E102" i="7"/>
  <c r="E100" i="7"/>
  <c r="E99" i="7"/>
  <c r="E123" i="7" s="1"/>
  <c r="E94" i="7"/>
  <c r="I89" i="7"/>
  <c r="E87" i="7" s="1"/>
  <c r="I88" i="7"/>
  <c r="E86" i="7" s="1"/>
  <c r="I90" i="7"/>
  <c r="E89" i="7" s="1"/>
  <c r="E85" i="7"/>
  <c r="E84" i="7"/>
  <c r="E83" i="7"/>
  <c r="E79" i="7"/>
  <c r="E78" i="7"/>
  <c r="E77" i="7"/>
  <c r="E76" i="7"/>
  <c r="E75" i="7"/>
  <c r="E68" i="7"/>
  <c r="I59" i="7"/>
  <c r="I58" i="7"/>
  <c r="I57" i="7"/>
  <c r="I56" i="7"/>
  <c r="I55" i="7"/>
  <c r="I54" i="7"/>
  <c r="I53" i="7"/>
  <c r="I52" i="7"/>
  <c r="I51" i="7"/>
  <c r="E59" i="7"/>
  <c r="E58" i="7"/>
  <c r="E57" i="7"/>
  <c r="E56" i="7"/>
  <c r="E55" i="7"/>
  <c r="F55" i="7" s="1"/>
  <c r="E54" i="7"/>
  <c r="E53" i="7"/>
  <c r="E52" i="7"/>
  <c r="E51" i="7"/>
  <c r="C67" i="7"/>
  <c r="C93" i="7"/>
  <c r="E30" i="7"/>
  <c r="E29" i="7"/>
  <c r="E27" i="7"/>
  <c r="H24" i="7"/>
  <c r="H22" i="7"/>
  <c r="H21" i="7"/>
  <c r="L124" i="7"/>
  <c r="L123" i="7"/>
  <c r="L122" i="7"/>
  <c r="L120" i="7"/>
  <c r="L119" i="7"/>
  <c r="L118" i="7"/>
  <c r="N116" i="7"/>
  <c r="M116" i="7"/>
  <c r="L116" i="7"/>
  <c r="N115" i="7"/>
  <c r="M115" i="7"/>
  <c r="L115" i="7"/>
  <c r="N114" i="7"/>
  <c r="M114" i="7"/>
  <c r="L114" i="7"/>
  <c r="N113" i="7"/>
  <c r="M113" i="7"/>
  <c r="L113" i="7"/>
  <c r="N112" i="7"/>
  <c r="M112" i="7"/>
  <c r="L112" i="7"/>
  <c r="J108" i="7"/>
  <c r="J106" i="7"/>
  <c r="E98" i="7" s="1"/>
  <c r="J99" i="7"/>
  <c r="L98" i="7"/>
  <c r="K98" i="7"/>
  <c r="J98" i="7"/>
  <c r="E118" i="7" s="1"/>
  <c r="K94" i="7"/>
  <c r="J94" i="7"/>
  <c r="O78" i="7"/>
  <c r="K70" i="7"/>
  <c r="J70" i="7"/>
  <c r="K69" i="7"/>
  <c r="J69" i="7"/>
  <c r="J68" i="7"/>
  <c r="J67" i="7"/>
  <c r="K66" i="7"/>
  <c r="E65" i="7" s="1"/>
  <c r="J66" i="7"/>
  <c r="M58" i="7"/>
  <c r="N56" i="7"/>
  <c r="M56" i="7"/>
  <c r="N54" i="7"/>
  <c r="E67" i="7" s="1"/>
  <c r="M54" i="7"/>
  <c r="N52" i="7"/>
  <c r="M52" i="7"/>
  <c r="M51" i="7"/>
  <c r="M50" i="7"/>
  <c r="M49" i="7"/>
  <c r="N47" i="7"/>
  <c r="M47" i="7"/>
  <c r="N45" i="7"/>
  <c r="E40" i="7" s="1"/>
  <c r="M45" i="7"/>
  <c r="N43" i="7"/>
  <c r="M43" i="7"/>
  <c r="J45" i="7"/>
  <c r="J44" i="7"/>
  <c r="J43" i="7"/>
  <c r="M39" i="7"/>
  <c r="M37" i="7"/>
  <c r="J42" i="7"/>
  <c r="J41" i="7"/>
  <c r="E34" i="7" s="1"/>
  <c r="J40" i="7"/>
  <c r="J39" i="7"/>
  <c r="J38" i="7"/>
  <c r="J37" i="7"/>
  <c r="J36" i="7"/>
  <c r="J35" i="7"/>
  <c r="J34" i="7"/>
  <c r="J33" i="7"/>
  <c r="E24" i="7" s="1"/>
  <c r="J32" i="7"/>
  <c r="J31" i="7"/>
  <c r="J30" i="7"/>
  <c r="J29" i="7"/>
  <c r="J25" i="7"/>
  <c r="J24" i="7"/>
  <c r="J23" i="7"/>
  <c r="J22" i="7"/>
  <c r="E23" i="7" s="1"/>
  <c r="N20" i="7"/>
  <c r="M20" i="7"/>
  <c r="E113" i="7" l="1"/>
  <c r="F34" i="7"/>
  <c r="F67" i="7"/>
  <c r="G34" i="7"/>
  <c r="J21" i="7" l="1"/>
  <c r="E22" i="7" l="1"/>
  <c r="N13" i="4"/>
  <c r="M13" i="4"/>
  <c r="M12" i="4"/>
  <c r="J114" i="4"/>
  <c r="J115" i="4"/>
  <c r="E136" i="5" l="1"/>
  <c r="E135" i="5"/>
  <c r="E134" i="5"/>
  <c r="E133" i="5"/>
  <c r="E116" i="5"/>
  <c r="E112" i="5"/>
  <c r="E111" i="5"/>
  <c r="E110" i="5"/>
  <c r="E109" i="5"/>
  <c r="G91" i="5" l="1"/>
  <c r="E97" i="5"/>
  <c r="E96" i="5"/>
  <c r="E91" i="5" s="1"/>
  <c r="F91" i="5" s="1"/>
  <c r="E98" i="5"/>
  <c r="E95" i="5"/>
  <c r="E94" i="5"/>
  <c r="E93" i="5"/>
  <c r="E89" i="5"/>
  <c r="E88" i="5"/>
  <c r="E87" i="5"/>
  <c r="E86" i="5"/>
  <c r="E85" i="5"/>
  <c r="E79" i="5"/>
  <c r="E78" i="5"/>
  <c r="E73" i="5"/>
  <c r="I59" i="5"/>
  <c r="I58" i="5"/>
  <c r="I57" i="5"/>
  <c r="I56" i="5"/>
  <c r="I55" i="5"/>
  <c r="I54" i="5"/>
  <c r="I53" i="5"/>
  <c r="I52" i="5"/>
  <c r="I51" i="5"/>
  <c r="E59" i="5"/>
  <c r="E58" i="5"/>
  <c r="E57" i="5"/>
  <c r="E56" i="5"/>
  <c r="E55" i="5"/>
  <c r="E54" i="5"/>
  <c r="E53" i="5"/>
  <c r="E52" i="5"/>
  <c r="E51" i="5"/>
  <c r="E30" i="5"/>
  <c r="E67" i="5" s="1"/>
  <c r="E29" i="5"/>
  <c r="E66" i="5" s="1"/>
  <c r="E26" i="5"/>
  <c r="N17" i="5"/>
  <c r="K22" i="4"/>
  <c r="M17" i="5"/>
  <c r="N154" i="5"/>
  <c r="N153" i="5"/>
  <c r="M136" i="5"/>
  <c r="M135" i="5"/>
  <c r="E129" i="5" s="1"/>
  <c r="M134" i="5"/>
  <c r="M133" i="5"/>
  <c r="E106" i="5" s="1"/>
  <c r="M132" i="5"/>
  <c r="E107" i="5" s="1"/>
  <c r="M131" i="5"/>
  <c r="O128" i="5"/>
  <c r="H128" i="5" s="1"/>
  <c r="N128" i="5"/>
  <c r="E128" i="5" s="1"/>
  <c r="M128" i="5"/>
  <c r="O127" i="5"/>
  <c r="N127" i="5"/>
  <c r="M127" i="5"/>
  <c r="O126" i="5"/>
  <c r="H106" i="5" s="1"/>
  <c r="N126" i="5"/>
  <c r="M126" i="5"/>
  <c r="O125" i="5"/>
  <c r="N125" i="5"/>
  <c r="M125" i="5"/>
  <c r="O124" i="5"/>
  <c r="N124" i="5"/>
  <c r="M124" i="5"/>
  <c r="J116" i="5"/>
  <c r="J114" i="5"/>
  <c r="E105" i="5" s="1"/>
  <c r="K103" i="5"/>
  <c r="J103" i="5"/>
  <c r="E68" i="5" s="1"/>
  <c r="K105" i="4"/>
  <c r="J105" i="4"/>
  <c r="J106" i="5"/>
  <c r="L105" i="5"/>
  <c r="K105" i="5"/>
  <c r="J105" i="5"/>
  <c r="K80" i="5"/>
  <c r="J80" i="5"/>
  <c r="K79" i="5"/>
  <c r="J78" i="5"/>
  <c r="J77" i="5"/>
  <c r="E38" i="5" s="1"/>
  <c r="K76" i="5"/>
  <c r="J76" i="5"/>
  <c r="K75" i="5"/>
  <c r="J75" i="5"/>
  <c r="M58" i="5"/>
  <c r="N56" i="5"/>
  <c r="M56" i="5"/>
  <c r="N54" i="5"/>
  <c r="E69" i="5" s="1"/>
  <c r="M54" i="5"/>
  <c r="N52" i="5"/>
  <c r="M52" i="5"/>
  <c r="M51" i="5"/>
  <c r="M50" i="5"/>
  <c r="M49" i="5"/>
  <c r="N47" i="5"/>
  <c r="M47" i="5"/>
  <c r="N45" i="5"/>
  <c r="M45" i="5"/>
  <c r="N43" i="5"/>
  <c r="M43" i="5"/>
  <c r="M38" i="5"/>
  <c r="M36" i="5"/>
  <c r="J45" i="5"/>
  <c r="J44" i="5"/>
  <c r="J43" i="5"/>
  <c r="J42" i="5"/>
  <c r="J41" i="5"/>
  <c r="E34" i="5" s="1"/>
  <c r="J40" i="5"/>
  <c r="J39" i="5"/>
  <c r="J38" i="5"/>
  <c r="J37" i="5"/>
  <c r="J36" i="5"/>
  <c r="E24" i="5" s="1"/>
  <c r="J35" i="5"/>
  <c r="J34" i="5"/>
  <c r="J33" i="5"/>
  <c r="J32" i="5"/>
  <c r="J31" i="5"/>
  <c r="J30" i="5"/>
  <c r="J29" i="5"/>
  <c r="E39" i="5" l="1"/>
  <c r="J79" i="5"/>
  <c r="J25" i="5"/>
  <c r="J24" i="5"/>
  <c r="E23" i="5" s="1"/>
  <c r="J23" i="5"/>
  <c r="J22" i="5"/>
  <c r="J21" i="5"/>
  <c r="E22" i="5" s="1"/>
  <c r="J20" i="5"/>
  <c r="J19" i="5"/>
  <c r="B96" i="6" l="1"/>
  <c r="B120" i="6"/>
  <c r="B119" i="6"/>
  <c r="B97" i="6"/>
  <c r="C67" i="6"/>
  <c r="L88" i="6"/>
  <c r="N143" i="6" l="1"/>
  <c r="N142" i="6"/>
  <c r="E125" i="6"/>
  <c r="E107" i="6"/>
  <c r="E103" i="6"/>
  <c r="F103" i="6" s="1"/>
  <c r="E102" i="6"/>
  <c r="F102" i="6" s="1"/>
  <c r="E101" i="6"/>
  <c r="E100" i="6"/>
  <c r="E114" i="6" s="1"/>
  <c r="E123" i="6" s="1"/>
  <c r="E94" i="6"/>
  <c r="F94" i="6" s="1"/>
  <c r="I90" i="6"/>
  <c r="I89" i="6"/>
  <c r="I88" i="6"/>
  <c r="E85" i="6"/>
  <c r="E84" i="6"/>
  <c r="E83" i="6"/>
  <c r="E79" i="6"/>
  <c r="E78" i="6"/>
  <c r="E77" i="6"/>
  <c r="E76" i="6"/>
  <c r="E75" i="6"/>
  <c r="E69" i="6"/>
  <c r="E68" i="6"/>
  <c r="E63" i="6"/>
  <c r="G61" i="6" l="1"/>
  <c r="I59" i="6"/>
  <c r="I58" i="6"/>
  <c r="I57" i="6"/>
  <c r="I56" i="6"/>
  <c r="I55" i="6"/>
  <c r="I54" i="6"/>
  <c r="I53" i="6"/>
  <c r="I52" i="6"/>
  <c r="I51" i="6"/>
  <c r="E59" i="6"/>
  <c r="E58" i="6"/>
  <c r="E56" i="6"/>
  <c r="E57" i="6" s="1"/>
  <c r="E55" i="6"/>
  <c r="E53" i="6"/>
  <c r="E54" i="6" s="1"/>
  <c r="E52" i="6"/>
  <c r="E51" i="6"/>
  <c r="E30" i="6"/>
  <c r="E29" i="6"/>
  <c r="E27" i="6"/>
  <c r="M133" i="6"/>
  <c r="M132" i="6"/>
  <c r="M131" i="6"/>
  <c r="M130" i="6"/>
  <c r="M129" i="6"/>
  <c r="M128" i="6"/>
  <c r="O126" i="6"/>
  <c r="N126" i="6"/>
  <c r="E119" i="6" s="1"/>
  <c r="M126" i="6"/>
  <c r="E97" i="6" s="1"/>
  <c r="O125" i="6"/>
  <c r="N125" i="6"/>
  <c r="M125" i="6"/>
  <c r="O123" i="6"/>
  <c r="N123" i="6"/>
  <c r="M123" i="6"/>
  <c r="O122" i="6"/>
  <c r="N122" i="6"/>
  <c r="M122" i="6"/>
  <c r="O121" i="6"/>
  <c r="N121" i="6"/>
  <c r="M121" i="6"/>
  <c r="M124" i="4"/>
  <c r="M123" i="4"/>
  <c r="M122" i="4"/>
  <c r="M120" i="4"/>
  <c r="M119" i="4"/>
  <c r="E103" i="4" s="1"/>
  <c r="F103" i="4" s="1"/>
  <c r="M118" i="4"/>
  <c r="O116" i="4"/>
  <c r="N116" i="4"/>
  <c r="E127" i="4" s="1"/>
  <c r="F127" i="4" s="1"/>
  <c r="M116" i="4"/>
  <c r="O115" i="4"/>
  <c r="N115" i="4"/>
  <c r="M115" i="4"/>
  <c r="O114" i="4"/>
  <c r="N114" i="4"/>
  <c r="M114" i="4"/>
  <c r="O113" i="4"/>
  <c r="H102" i="4" s="1"/>
  <c r="G102" i="4" s="1"/>
  <c r="N113" i="4"/>
  <c r="M113" i="4"/>
  <c r="E102" i="4" s="1"/>
  <c r="F102" i="4" s="1"/>
  <c r="O112" i="4"/>
  <c r="N112" i="4"/>
  <c r="M112" i="4"/>
  <c r="N115" i="3"/>
  <c r="N114" i="3"/>
  <c r="N113" i="3"/>
  <c r="N112" i="3"/>
  <c r="N111" i="3"/>
  <c r="N110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3" i="3"/>
  <c r="O103" i="3"/>
  <c r="N103" i="3"/>
  <c r="J107" i="6"/>
  <c r="J105" i="6"/>
  <c r="E99" i="6" s="1"/>
  <c r="J116" i="4"/>
  <c r="J116" i="3"/>
  <c r="J114" i="3"/>
  <c r="G138" i="3" l="1"/>
  <c r="G102" i="3"/>
  <c r="F138" i="3"/>
  <c r="H119" i="6"/>
  <c r="H97" i="6"/>
  <c r="E96" i="6"/>
  <c r="E120" i="6"/>
  <c r="J100" i="6"/>
  <c r="L99" i="6"/>
  <c r="K99" i="6"/>
  <c r="J99" i="6"/>
  <c r="E95" i="6" s="1"/>
  <c r="K94" i="6"/>
  <c r="J94" i="6"/>
  <c r="K67" i="6" l="1"/>
  <c r="M58" i="6"/>
  <c r="N56" i="6"/>
  <c r="M56" i="6"/>
  <c r="M43" i="6" l="1"/>
  <c r="N43" i="6"/>
  <c r="J69" i="6"/>
  <c r="J29" i="6"/>
  <c r="J30" i="6"/>
  <c r="J31" i="6"/>
  <c r="E24" i="6" s="1"/>
  <c r="J32" i="6"/>
  <c r="J33" i="6"/>
  <c r="J34" i="6"/>
  <c r="J35" i="6"/>
  <c r="J36" i="6"/>
  <c r="M50" i="6" l="1"/>
  <c r="M51" i="6" l="1"/>
  <c r="N47" i="6"/>
  <c r="M47" i="6"/>
  <c r="M45" i="6"/>
  <c r="N45" i="6"/>
  <c r="M52" i="6"/>
  <c r="N52" i="6"/>
  <c r="M54" i="6"/>
  <c r="E67" i="6" s="1"/>
  <c r="N54" i="6"/>
  <c r="M49" i="6"/>
  <c r="J70" i="6"/>
  <c r="E39" i="6" s="1"/>
  <c r="K70" i="6"/>
  <c r="K69" i="6"/>
  <c r="J65" i="6"/>
  <c r="K65" i="6"/>
  <c r="J66" i="6"/>
  <c r="K66" i="6"/>
  <c r="J37" i="6"/>
  <c r="M37" i="6"/>
  <c r="J38" i="6"/>
  <c r="M38" i="6"/>
  <c r="E34" i="6" s="1"/>
  <c r="J39" i="6"/>
  <c r="E25" i="6" s="1"/>
  <c r="J40" i="6"/>
  <c r="J41" i="6"/>
  <c r="J42" i="6"/>
  <c r="M25" i="6"/>
  <c r="J44" i="6"/>
  <c r="J43" i="6"/>
  <c r="J45" i="6"/>
  <c r="F34" i="6" l="1"/>
  <c r="J68" i="6"/>
  <c r="J67" i="6"/>
  <c r="E38" i="6" s="1"/>
  <c r="J25" i="6"/>
  <c r="E23" i="6" s="1"/>
  <c r="F23" i="6" s="1"/>
  <c r="J24" i="6"/>
  <c r="J23" i="6"/>
  <c r="J22" i="6"/>
  <c r="J21" i="6"/>
  <c r="E21" i="6" s="1"/>
  <c r="J20" i="6"/>
  <c r="E22" i="6" s="1"/>
  <c r="J19" i="6"/>
  <c r="H34" i="4" l="1"/>
  <c r="B34" i="4"/>
  <c r="E105" i="4" l="1"/>
  <c r="J153" i="4" l="1"/>
  <c r="N152" i="4"/>
  <c r="N151" i="4"/>
  <c r="C77" i="4"/>
  <c r="L107" i="4"/>
  <c r="K107" i="4"/>
  <c r="J107" i="4"/>
  <c r="J108" i="4"/>
  <c r="E134" i="4"/>
  <c r="E128" i="4"/>
  <c r="F128" i="4" s="1"/>
  <c r="H127" i="4"/>
  <c r="G127" i="4" s="1"/>
  <c r="B127" i="4"/>
  <c r="B128" i="4"/>
  <c r="E123" i="4"/>
  <c r="E133" i="4" s="1"/>
  <c r="E116" i="4"/>
  <c r="E112" i="4"/>
  <c r="E136" i="4" s="1"/>
  <c r="E111" i="4"/>
  <c r="E108" i="4"/>
  <c r="E107" i="4"/>
  <c r="E106" i="4"/>
  <c r="E122" i="4" s="1"/>
  <c r="E95" i="4"/>
  <c r="E94" i="4"/>
  <c r="E93" i="4"/>
  <c r="E89" i="4"/>
  <c r="E88" i="4"/>
  <c r="E87" i="4"/>
  <c r="E86" i="4"/>
  <c r="E85" i="4"/>
  <c r="E79" i="4"/>
  <c r="E78" i="4"/>
  <c r="E73" i="4"/>
  <c r="I68" i="4"/>
  <c r="I69" i="4"/>
  <c r="I67" i="4"/>
  <c r="I66" i="4"/>
  <c r="I65" i="4"/>
  <c r="I64" i="4"/>
  <c r="I63" i="4"/>
  <c r="I62" i="4"/>
  <c r="I61" i="4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135" i="4" l="1"/>
  <c r="E30" i="4"/>
  <c r="E50" i="4" s="1"/>
  <c r="E29" i="4"/>
  <c r="E49" i="4" s="1"/>
  <c r="M66" i="4" l="1"/>
  <c r="N66" i="4"/>
  <c r="M68" i="4"/>
  <c r="E143" i="3" l="1"/>
  <c r="E110" i="3"/>
  <c r="E129" i="3"/>
  <c r="J100" i="3"/>
  <c r="J99" i="3"/>
  <c r="E130" i="3" l="1"/>
  <c r="E123" i="3"/>
  <c r="E122" i="3"/>
  <c r="E108" i="7" l="1"/>
  <c r="E39" i="7" l="1"/>
  <c r="C68" i="7"/>
  <c r="E112" i="7"/>
  <c r="E122" i="7" s="1"/>
  <c r="C41" i="7"/>
  <c r="E109" i="7"/>
  <c r="C108" i="7"/>
  <c r="C109" i="7" s="1"/>
  <c r="E96" i="7"/>
  <c r="C96" i="7"/>
  <c r="C26" i="7"/>
  <c r="H26" i="7"/>
  <c r="C102" i="7"/>
  <c r="C103" i="7" s="1"/>
  <c r="C101" i="7"/>
  <c r="B101" i="7"/>
  <c r="H93" i="7"/>
  <c r="B93" i="7"/>
  <c r="B96" i="7"/>
  <c r="H109" i="7"/>
  <c r="H108" i="7"/>
  <c r="B109" i="7"/>
  <c r="B108" i="7"/>
  <c r="N24" i="6" l="1"/>
  <c r="N23" i="6"/>
  <c r="M24" i="6"/>
  <c r="M23" i="6"/>
  <c r="M22" i="6"/>
  <c r="N22" i="6" s="1"/>
  <c r="E109" i="6"/>
  <c r="E110" i="6"/>
  <c r="C109" i="6"/>
  <c r="C110" i="6" s="1"/>
  <c r="B110" i="6"/>
  <c r="B109" i="6"/>
  <c r="H112" i="6"/>
  <c r="B112" i="6"/>
  <c r="I164" i="7" l="1"/>
  <c r="I161" i="7"/>
  <c r="G159" i="7"/>
  <c r="G158" i="7"/>
  <c r="G157" i="7"/>
  <c r="G156" i="7"/>
  <c r="H155" i="7"/>
  <c r="G155" i="7"/>
  <c r="G154" i="7"/>
  <c r="A154" i="7"/>
  <c r="D158" i="7" s="1"/>
  <c r="J163" i="7" s="1"/>
  <c r="M143" i="7"/>
  <c r="M142" i="7"/>
  <c r="M141" i="7"/>
  <c r="I128" i="7"/>
  <c r="C119" i="7" s="1"/>
  <c r="G127" i="7"/>
  <c r="C126" i="7"/>
  <c r="G126" i="7" s="1"/>
  <c r="C125" i="7"/>
  <c r="H123" i="7"/>
  <c r="H120" i="7"/>
  <c r="H119" i="7"/>
  <c r="E119" i="7"/>
  <c r="C118" i="7"/>
  <c r="H117" i="7"/>
  <c r="B117" i="7"/>
  <c r="C113" i="7"/>
  <c r="C112" i="7"/>
  <c r="B111" i="7"/>
  <c r="E126" i="7"/>
  <c r="E125" i="7"/>
  <c r="E101" i="7"/>
  <c r="E110" i="7" s="1"/>
  <c r="C98" i="7"/>
  <c r="C99" i="7" s="1"/>
  <c r="H95" i="7"/>
  <c r="C94" i="7"/>
  <c r="G94" i="7" s="1"/>
  <c r="J87" i="7"/>
  <c r="J86" i="7"/>
  <c r="J85" i="7"/>
  <c r="J84" i="7"/>
  <c r="J83" i="7"/>
  <c r="J82" i="7"/>
  <c r="J81" i="7"/>
  <c r="G81" i="7"/>
  <c r="F81" i="7"/>
  <c r="O80" i="7"/>
  <c r="L82" i="7" s="1"/>
  <c r="N80" i="7"/>
  <c r="M80" i="7"/>
  <c r="J80" i="7"/>
  <c r="G80" i="7"/>
  <c r="F80" i="7"/>
  <c r="M77" i="7"/>
  <c r="K77" i="7"/>
  <c r="J77" i="7"/>
  <c r="J76" i="7"/>
  <c r="C76" i="7"/>
  <c r="G76" i="7" s="1"/>
  <c r="J75" i="7"/>
  <c r="G68" i="7"/>
  <c r="H67" i="7"/>
  <c r="G67" i="7" s="1"/>
  <c r="B67" i="7"/>
  <c r="A67" i="7"/>
  <c r="H66" i="7"/>
  <c r="C66" i="7"/>
  <c r="A66" i="7"/>
  <c r="H65" i="7"/>
  <c r="C65" i="7"/>
  <c r="C56" i="7"/>
  <c r="C55" i="7"/>
  <c r="C52" i="7"/>
  <c r="E41" i="7"/>
  <c r="H47" i="7"/>
  <c r="C47" i="7"/>
  <c r="B47" i="7"/>
  <c r="H46" i="7"/>
  <c r="C46" i="7"/>
  <c r="F40" i="7"/>
  <c r="E37" i="7"/>
  <c r="H42" i="7"/>
  <c r="C42" i="7"/>
  <c r="G93" i="7" s="1"/>
  <c r="B42" i="7"/>
  <c r="A42" i="7"/>
  <c r="H41" i="7"/>
  <c r="B41" i="7"/>
  <c r="H40" i="7"/>
  <c r="G40" i="7" s="1"/>
  <c r="B40" i="7"/>
  <c r="A40" i="7"/>
  <c r="E25" i="7"/>
  <c r="H39" i="7"/>
  <c r="C39" i="7"/>
  <c r="E36" i="7"/>
  <c r="H38" i="7"/>
  <c r="E38" i="7"/>
  <c r="C38" i="7"/>
  <c r="E46" i="7"/>
  <c r="H37" i="7"/>
  <c r="C37" i="7"/>
  <c r="B37" i="7"/>
  <c r="H36" i="7"/>
  <c r="C36" i="7"/>
  <c r="H35" i="7"/>
  <c r="G35" i="7" s="1"/>
  <c r="H28" i="7"/>
  <c r="C28" i="7"/>
  <c r="H25" i="7"/>
  <c r="C25" i="7"/>
  <c r="C124" i="7"/>
  <c r="H23" i="7"/>
  <c r="C23" i="7"/>
  <c r="B22" i="7"/>
  <c r="B21" i="7"/>
  <c r="I17" i="7"/>
  <c r="C13" i="7"/>
  <c r="C12" i="7"/>
  <c r="F7" i="7"/>
  <c r="C135" i="7" s="1"/>
  <c r="L83" i="7" l="1"/>
  <c r="K80" i="7"/>
  <c r="C89" i="7" s="1"/>
  <c r="F89" i="7" s="1"/>
  <c r="C21" i="7"/>
  <c r="C22" i="7"/>
  <c r="C58" i="7"/>
  <c r="G52" i="7"/>
  <c r="F52" i="7"/>
  <c r="C57" i="7"/>
  <c r="G56" i="7"/>
  <c r="F56" i="7"/>
  <c r="G47" i="7"/>
  <c r="G25" i="7"/>
  <c r="F126" i="7"/>
  <c r="C86" i="7"/>
  <c r="G86" i="7" s="1"/>
  <c r="C87" i="7"/>
  <c r="G39" i="7"/>
  <c r="C117" i="7"/>
  <c r="G38" i="7"/>
  <c r="F76" i="7"/>
  <c r="F46" i="7"/>
  <c r="C51" i="7"/>
  <c r="G65" i="7"/>
  <c r="G71" i="7" s="1"/>
  <c r="C83" i="7"/>
  <c r="D154" i="7"/>
  <c r="J159" i="7" s="1"/>
  <c r="H159" i="7"/>
  <c r="G24" i="7"/>
  <c r="C59" i="7"/>
  <c r="D155" i="7"/>
  <c r="J160" i="7" s="1"/>
  <c r="E35" i="7"/>
  <c r="F35" i="7" s="1"/>
  <c r="E26" i="7"/>
  <c r="E66" i="7"/>
  <c r="H168" i="7" s="1"/>
  <c r="E117" i="7"/>
  <c r="E93" i="7"/>
  <c r="F93" i="7" s="1"/>
  <c r="F68" i="7"/>
  <c r="G105" i="7"/>
  <c r="F24" i="7"/>
  <c r="F38" i="7"/>
  <c r="F65" i="7"/>
  <c r="F37" i="7"/>
  <c r="E28" i="7"/>
  <c r="F25" i="7"/>
  <c r="F39" i="7"/>
  <c r="F137" i="7"/>
  <c r="G37" i="7"/>
  <c r="G46" i="7"/>
  <c r="G49" i="7" s="1"/>
  <c r="C77" i="7"/>
  <c r="C75" i="7"/>
  <c r="C120" i="7"/>
  <c r="H163" i="7"/>
  <c r="C27" i="7"/>
  <c r="E42" i="7"/>
  <c r="E47" i="7"/>
  <c r="F47" i="7" s="1"/>
  <c r="D157" i="7"/>
  <c r="H162" i="7" s="1"/>
  <c r="D159" i="7"/>
  <c r="J164" i="7" s="1"/>
  <c r="C29" i="7"/>
  <c r="C54" i="7"/>
  <c r="F94" i="7"/>
  <c r="C100" i="7"/>
  <c r="C111" i="7"/>
  <c r="E111" i="7"/>
  <c r="D156" i="7"/>
  <c r="C107" i="7" s="1"/>
  <c r="C122" i="7" l="1"/>
  <c r="C123" i="7" s="1"/>
  <c r="G54" i="7"/>
  <c r="F54" i="7"/>
  <c r="G58" i="7"/>
  <c r="F58" i="7"/>
  <c r="G59" i="7"/>
  <c r="F59" i="7"/>
  <c r="G51" i="7"/>
  <c r="F51" i="7"/>
  <c r="G57" i="7"/>
  <c r="F57" i="7"/>
  <c r="F117" i="7"/>
  <c r="G117" i="7"/>
  <c r="C53" i="7"/>
  <c r="F86" i="7"/>
  <c r="F48" i="7"/>
  <c r="F49" i="7" s="1"/>
  <c r="G44" i="7"/>
  <c r="A87" i="7"/>
  <c r="I91" i="7" s="1"/>
  <c r="H160" i="7"/>
  <c r="F70" i="7"/>
  <c r="F71" i="7" s="1"/>
  <c r="F43" i="7"/>
  <c r="F44" i="7" s="1"/>
  <c r="F104" i="7"/>
  <c r="F105" i="7" s="1"/>
  <c r="J161" i="7"/>
  <c r="C85" i="7"/>
  <c r="G83" i="7"/>
  <c r="C84" i="7"/>
  <c r="F83" i="7"/>
  <c r="F111" i="7"/>
  <c r="G111" i="7"/>
  <c r="G21" i="7"/>
  <c r="F75" i="7"/>
  <c r="G75" i="7"/>
  <c r="C30" i="7"/>
  <c r="F29" i="7"/>
  <c r="G29" i="7"/>
  <c r="F22" i="7"/>
  <c r="G22" i="7"/>
  <c r="G89" i="7"/>
  <c r="G107" i="7"/>
  <c r="F107" i="7"/>
  <c r="J162" i="7"/>
  <c r="C110" i="7"/>
  <c r="H161" i="7"/>
  <c r="H164" i="7"/>
  <c r="F87" i="7"/>
  <c r="G87" i="7"/>
  <c r="C79" i="7"/>
  <c r="C78" i="7"/>
  <c r="G77" i="7"/>
  <c r="F77" i="7"/>
  <c r="G53" i="7" l="1"/>
  <c r="G61" i="7" s="1"/>
  <c r="F53" i="7"/>
  <c r="F60" i="7" s="1"/>
  <c r="F61" i="7" s="1"/>
  <c r="E143" i="7" s="1"/>
  <c r="J165" i="7"/>
  <c r="E139" i="7"/>
  <c r="H165" i="7"/>
  <c r="F110" i="7"/>
  <c r="F114" i="7" s="1"/>
  <c r="F115" i="7" s="1"/>
  <c r="E142" i="7" s="1"/>
  <c r="G110" i="7"/>
  <c r="G115" i="7" s="1"/>
  <c r="G128" i="7"/>
  <c r="F127" i="7"/>
  <c r="F128" i="7" s="1"/>
  <c r="F84" i="7"/>
  <c r="G84" i="7"/>
  <c r="F78" i="7"/>
  <c r="G78" i="7"/>
  <c r="G30" i="7"/>
  <c r="G32" i="7" s="1"/>
  <c r="F30" i="7"/>
  <c r="G79" i="7"/>
  <c r="F79" i="7"/>
  <c r="F85" i="7"/>
  <c r="G85" i="7"/>
  <c r="E140" i="7" l="1"/>
  <c r="G72" i="7"/>
  <c r="G91" i="7"/>
  <c r="G129" i="7" s="1"/>
  <c r="F90" i="7"/>
  <c r="F91" i="7" s="1"/>
  <c r="F129" i="7" s="1"/>
  <c r="F31" i="7"/>
  <c r="F32" i="7" s="1"/>
  <c r="G133" i="7" l="1"/>
  <c r="F72" i="7"/>
  <c r="F130" i="7" s="1"/>
  <c r="E138" i="7"/>
  <c r="H138" i="7" s="1"/>
  <c r="F131" i="7" l="1"/>
  <c r="F132" i="7" s="1"/>
  <c r="E133" i="7" s="1"/>
  <c r="H28" i="6" l="1"/>
  <c r="C28" i="6"/>
  <c r="G71" i="5"/>
  <c r="F70" i="5"/>
  <c r="F71" i="5" s="1"/>
  <c r="C69" i="5"/>
  <c r="C68" i="5" s="1"/>
  <c r="C64" i="5"/>
  <c r="B69" i="5"/>
  <c r="B65" i="5"/>
  <c r="B64" i="5"/>
  <c r="B63" i="5"/>
  <c r="H65" i="5"/>
  <c r="H64" i="5"/>
  <c r="H63" i="5"/>
  <c r="O21" i="5"/>
  <c r="O20" i="5"/>
  <c r="O19" i="5"/>
  <c r="N21" i="5"/>
  <c r="N20" i="5"/>
  <c r="N19" i="5"/>
  <c r="H26" i="5"/>
  <c r="C47" i="4"/>
  <c r="M153" i="4"/>
  <c r="M152" i="4"/>
  <c r="M151" i="4"/>
  <c r="F147" i="4" l="1"/>
  <c r="I165" i="6"/>
  <c r="I162" i="6"/>
  <c r="G160" i="6"/>
  <c r="G159" i="6"/>
  <c r="G158" i="6"/>
  <c r="G157" i="6"/>
  <c r="H156" i="6"/>
  <c r="G156" i="6"/>
  <c r="G155" i="6"/>
  <c r="A155" i="6"/>
  <c r="D159" i="6" s="1"/>
  <c r="J164" i="6" s="1"/>
  <c r="M144" i="6"/>
  <c r="M143" i="6"/>
  <c r="M142" i="6"/>
  <c r="L139" i="6"/>
  <c r="I129" i="6"/>
  <c r="C119" i="6" s="1"/>
  <c r="C127" i="6"/>
  <c r="C126" i="6"/>
  <c r="H123" i="6"/>
  <c r="C121" i="6"/>
  <c r="H118" i="6"/>
  <c r="C113" i="6"/>
  <c r="C114" i="6" s="1"/>
  <c r="E127" i="6"/>
  <c r="F127" i="6" s="1"/>
  <c r="E126" i="6"/>
  <c r="F126" i="6" s="1"/>
  <c r="C103" i="6"/>
  <c r="E121" i="6"/>
  <c r="F121" i="6" s="1"/>
  <c r="E113" i="6"/>
  <c r="E122" i="6" s="1"/>
  <c r="C100" i="6"/>
  <c r="C94" i="6"/>
  <c r="J87" i="6"/>
  <c r="J86" i="6"/>
  <c r="J85" i="6"/>
  <c r="J84" i="6"/>
  <c r="J83" i="6"/>
  <c r="J82" i="6"/>
  <c r="J81" i="6"/>
  <c r="O80" i="6"/>
  <c r="N80" i="6"/>
  <c r="M80" i="6"/>
  <c r="M82" i="6" s="1"/>
  <c r="J80" i="6"/>
  <c r="J77" i="6"/>
  <c r="J76" i="6"/>
  <c r="C76" i="6"/>
  <c r="G76" i="6" s="1"/>
  <c r="J75" i="6"/>
  <c r="C68" i="6"/>
  <c r="H67" i="6"/>
  <c r="G67" i="6" s="1"/>
  <c r="B67" i="6"/>
  <c r="A67" i="6"/>
  <c r="H66" i="6"/>
  <c r="C66" i="6"/>
  <c r="C118" i="6" s="1"/>
  <c r="B66" i="6"/>
  <c r="A66" i="6"/>
  <c r="E64" i="6"/>
  <c r="H65" i="6"/>
  <c r="E65" i="6"/>
  <c r="F65" i="6" s="1"/>
  <c r="C65" i="6"/>
  <c r="H64" i="6"/>
  <c r="C64" i="6"/>
  <c r="C69" i="6" s="1"/>
  <c r="C63" i="6"/>
  <c r="G63" i="6" s="1"/>
  <c r="M59" i="6"/>
  <c r="C56" i="6"/>
  <c r="C59" i="6" s="1"/>
  <c r="C55" i="6"/>
  <c r="F67" i="6"/>
  <c r="C52" i="6"/>
  <c r="C58" i="6" s="1"/>
  <c r="E41" i="6"/>
  <c r="H47" i="6"/>
  <c r="C47" i="6"/>
  <c r="C112" i="6" s="1"/>
  <c r="B47" i="6"/>
  <c r="H46" i="6"/>
  <c r="E66" i="6"/>
  <c r="E37" i="6"/>
  <c r="E26" i="6"/>
  <c r="H42" i="6"/>
  <c r="B42" i="6"/>
  <c r="A42" i="6"/>
  <c r="H41" i="6"/>
  <c r="C41" i="6"/>
  <c r="H40" i="6"/>
  <c r="A40" i="6"/>
  <c r="H39" i="6"/>
  <c r="C39" i="6"/>
  <c r="E36" i="6"/>
  <c r="H38" i="6"/>
  <c r="C38" i="6"/>
  <c r="F38" i="6" s="1"/>
  <c r="E46" i="6"/>
  <c r="C37" i="6"/>
  <c r="G37" i="6" s="1"/>
  <c r="H36" i="6"/>
  <c r="C36" i="6"/>
  <c r="G36" i="6" s="1"/>
  <c r="H35" i="6"/>
  <c r="B35" i="6"/>
  <c r="H26" i="6"/>
  <c r="C26" i="6"/>
  <c r="B26" i="6"/>
  <c r="H25" i="6"/>
  <c r="C25" i="6"/>
  <c r="C125" i="6"/>
  <c r="C23" i="6"/>
  <c r="H21" i="6"/>
  <c r="B21" i="6"/>
  <c r="I17" i="6"/>
  <c r="C13" i="6"/>
  <c r="C12" i="6"/>
  <c r="F7" i="6"/>
  <c r="C136" i="6" s="1"/>
  <c r="G125" i="6" l="1"/>
  <c r="F125" i="6"/>
  <c r="H169" i="6"/>
  <c r="F66" i="6"/>
  <c r="E108" i="6"/>
  <c r="F95" i="6"/>
  <c r="C21" i="6"/>
  <c r="G21" i="6" s="1"/>
  <c r="C22" i="6"/>
  <c r="G47" i="6"/>
  <c r="C51" i="6"/>
  <c r="C53" i="6" s="1"/>
  <c r="G69" i="6"/>
  <c r="F69" i="6"/>
  <c r="G65" i="6"/>
  <c r="G38" i="6"/>
  <c r="G39" i="6"/>
  <c r="F39" i="6"/>
  <c r="G68" i="6"/>
  <c r="F68" i="6"/>
  <c r="L83" i="6"/>
  <c r="F37" i="6"/>
  <c r="L82" i="6"/>
  <c r="G113" i="6"/>
  <c r="G25" i="6"/>
  <c r="G24" i="6"/>
  <c r="C57" i="6"/>
  <c r="F76" i="6"/>
  <c r="G26" i="6"/>
  <c r="F36" i="6"/>
  <c r="G64" i="6"/>
  <c r="F64" i="6"/>
  <c r="F138" i="6"/>
  <c r="E93" i="6"/>
  <c r="F93" i="6" s="1"/>
  <c r="E112" i="6"/>
  <c r="D155" i="6"/>
  <c r="D156" i="6"/>
  <c r="J161" i="6" s="1"/>
  <c r="E40" i="6"/>
  <c r="F40" i="6" s="1"/>
  <c r="E42" i="6"/>
  <c r="F42" i="6" s="1"/>
  <c r="F25" i="6"/>
  <c r="E35" i="6"/>
  <c r="F35" i="6" s="1"/>
  <c r="E28" i="6"/>
  <c r="F24" i="6"/>
  <c r="E47" i="6"/>
  <c r="F47" i="6" s="1"/>
  <c r="G114" i="6"/>
  <c r="F114" i="6"/>
  <c r="H164" i="6"/>
  <c r="C29" i="6"/>
  <c r="C27" i="6"/>
  <c r="K80" i="6"/>
  <c r="C101" i="6"/>
  <c r="C42" i="6"/>
  <c r="C93" i="6" s="1"/>
  <c r="G105" i="6" s="1"/>
  <c r="F113" i="6"/>
  <c r="D158" i="6"/>
  <c r="H163" i="6" s="1"/>
  <c r="D160" i="6"/>
  <c r="J165" i="6" s="1"/>
  <c r="F26" i="6"/>
  <c r="F63" i="6"/>
  <c r="C54" i="6"/>
  <c r="D157" i="6"/>
  <c r="C107" i="6" s="1"/>
  <c r="F21" i="6" l="1"/>
  <c r="C88" i="6"/>
  <c r="C83" i="6"/>
  <c r="G71" i="6"/>
  <c r="G44" i="6"/>
  <c r="F43" i="6"/>
  <c r="F44" i="6" s="1"/>
  <c r="G129" i="6"/>
  <c r="H161" i="6"/>
  <c r="E118" i="6"/>
  <c r="F104" i="6"/>
  <c r="F105" i="6" s="1"/>
  <c r="J160" i="6"/>
  <c r="C46" i="6"/>
  <c r="H165" i="6"/>
  <c r="H160" i="6"/>
  <c r="G107" i="6"/>
  <c r="F107" i="6"/>
  <c r="C77" i="6"/>
  <c r="C75" i="6"/>
  <c r="C122" i="6"/>
  <c r="C123" i="6" s="1"/>
  <c r="J162" i="6"/>
  <c r="F27" i="6"/>
  <c r="G27" i="6"/>
  <c r="F22" i="6"/>
  <c r="F70" i="6"/>
  <c r="F71" i="6" s="1"/>
  <c r="J163" i="6"/>
  <c r="C108" i="6"/>
  <c r="H162" i="6"/>
  <c r="F29" i="6"/>
  <c r="C30" i="6"/>
  <c r="G29" i="6"/>
  <c r="F118" i="6" l="1"/>
  <c r="F128" i="6" s="1"/>
  <c r="F129" i="6" s="1"/>
  <c r="E140" i="6"/>
  <c r="F60" i="6"/>
  <c r="F61" i="6" s="1"/>
  <c r="E144" i="6" s="1"/>
  <c r="H166" i="6"/>
  <c r="G46" i="6"/>
  <c r="G49" i="6" s="1"/>
  <c r="F46" i="6"/>
  <c r="F48" i="6" s="1"/>
  <c r="F49" i="6" s="1"/>
  <c r="C85" i="6"/>
  <c r="G83" i="6"/>
  <c r="C84" i="6"/>
  <c r="F83" i="6"/>
  <c r="C79" i="6"/>
  <c r="C78" i="6"/>
  <c r="G77" i="6"/>
  <c r="F77" i="6"/>
  <c r="G30" i="6"/>
  <c r="G32" i="6" s="1"/>
  <c r="F30" i="6"/>
  <c r="F31" i="6" s="1"/>
  <c r="F75" i="6"/>
  <c r="G75" i="6"/>
  <c r="G108" i="6"/>
  <c r="G116" i="6" s="1"/>
  <c r="F108" i="6"/>
  <c r="F115" i="6" s="1"/>
  <c r="G88" i="6"/>
  <c r="J166" i="6"/>
  <c r="G87" i="6"/>
  <c r="A87" i="6"/>
  <c r="I91" i="6" s="1"/>
  <c r="E119" i="5"/>
  <c r="E118" i="5"/>
  <c r="N14" i="4"/>
  <c r="M14" i="4"/>
  <c r="N12" i="4"/>
  <c r="B102" i="4"/>
  <c r="B119" i="4"/>
  <c r="H120" i="4"/>
  <c r="E120" i="4"/>
  <c r="E119" i="4"/>
  <c r="C119" i="4"/>
  <c r="B120" i="4"/>
  <c r="G72" i="6" l="1"/>
  <c r="G85" i="6"/>
  <c r="F85" i="6"/>
  <c r="F116" i="6"/>
  <c r="E143" i="6" s="1"/>
  <c r="G78" i="6"/>
  <c r="F78" i="6"/>
  <c r="G79" i="6"/>
  <c r="F79" i="6"/>
  <c r="G84" i="6"/>
  <c r="F84" i="6"/>
  <c r="F32" i="6"/>
  <c r="N19" i="3"/>
  <c r="M19" i="3"/>
  <c r="N17" i="3"/>
  <c r="M17" i="3"/>
  <c r="N15" i="3"/>
  <c r="M15" i="3"/>
  <c r="H117" i="5"/>
  <c r="C118" i="5"/>
  <c r="C119" i="5" s="1"/>
  <c r="B117" i="5"/>
  <c r="H118" i="5"/>
  <c r="G91" i="6" l="1"/>
  <c r="G130" i="6" s="1"/>
  <c r="G134" i="6" s="1"/>
  <c r="E141" i="6"/>
  <c r="F90" i="6"/>
  <c r="F91" i="6" s="1"/>
  <c r="F130" i="6" s="1"/>
  <c r="E139" i="6"/>
  <c r="F72" i="6"/>
  <c r="H139" i="6" l="1"/>
  <c r="F131" i="6"/>
  <c r="E134" i="6" s="1"/>
  <c r="H119" i="4"/>
  <c r="I176" i="5"/>
  <c r="I173" i="5"/>
  <c r="G171" i="5"/>
  <c r="G170" i="5"/>
  <c r="G169" i="5"/>
  <c r="G168" i="5"/>
  <c r="H167" i="5"/>
  <c r="G167" i="5"/>
  <c r="G166" i="5"/>
  <c r="A166" i="5"/>
  <c r="D170" i="5" s="1"/>
  <c r="J175" i="5" s="1"/>
  <c r="M155" i="5"/>
  <c r="M154" i="5"/>
  <c r="J153" i="5"/>
  <c r="I140" i="5"/>
  <c r="C128" i="5" s="1"/>
  <c r="C138" i="5"/>
  <c r="C137" i="5"/>
  <c r="C135" i="5"/>
  <c r="C134" i="5"/>
  <c r="C133" i="5"/>
  <c r="H132" i="5"/>
  <c r="C127" i="5"/>
  <c r="H126" i="5"/>
  <c r="E122" i="5"/>
  <c r="C121" i="5"/>
  <c r="C122" i="5" s="1"/>
  <c r="E138" i="5"/>
  <c r="E137" i="5"/>
  <c r="C112" i="5"/>
  <c r="E104" i="5"/>
  <c r="E120" i="5" s="1"/>
  <c r="G106" i="5"/>
  <c r="E127" i="5"/>
  <c r="E121" i="5"/>
  <c r="E131" i="5" s="1"/>
  <c r="C105" i="5"/>
  <c r="C109" i="5" s="1"/>
  <c r="J97" i="5"/>
  <c r="J96" i="5"/>
  <c r="J95" i="5"/>
  <c r="J94" i="5"/>
  <c r="J93" i="5"/>
  <c r="J92" i="5"/>
  <c r="J91" i="5"/>
  <c r="N90" i="5"/>
  <c r="J90" i="5"/>
  <c r="J87" i="5"/>
  <c r="J86" i="5"/>
  <c r="C86" i="5"/>
  <c r="J85" i="5"/>
  <c r="C78" i="5"/>
  <c r="G78" i="5" s="1"/>
  <c r="H77" i="5"/>
  <c r="C77" i="5"/>
  <c r="B77" i="5"/>
  <c r="E75" i="5"/>
  <c r="H76" i="5"/>
  <c r="C76" i="5"/>
  <c r="B76" i="5"/>
  <c r="A76" i="5"/>
  <c r="E74" i="5"/>
  <c r="H75" i="5"/>
  <c r="H74" i="5"/>
  <c r="C74" i="5"/>
  <c r="C79" i="5" s="1"/>
  <c r="G79" i="5" s="1"/>
  <c r="G73" i="5"/>
  <c r="C56" i="5"/>
  <c r="C51" i="5" s="1"/>
  <c r="C55" i="5"/>
  <c r="G55" i="5" s="1"/>
  <c r="E77" i="5"/>
  <c r="C52" i="5"/>
  <c r="C58" i="5" s="1"/>
  <c r="H47" i="5"/>
  <c r="C47" i="5"/>
  <c r="C117" i="5" s="1"/>
  <c r="B47" i="5"/>
  <c r="H46" i="5"/>
  <c r="C46" i="5"/>
  <c r="E76" i="5"/>
  <c r="H180" i="5" s="1"/>
  <c r="E37" i="5"/>
  <c r="E27" i="5"/>
  <c r="H42" i="5"/>
  <c r="E42" i="5"/>
  <c r="B42" i="5"/>
  <c r="A42" i="5"/>
  <c r="E35" i="5"/>
  <c r="H41" i="5"/>
  <c r="G41" i="5" s="1"/>
  <c r="F41" i="5"/>
  <c r="H40" i="5"/>
  <c r="C42" i="5"/>
  <c r="C102" i="5" s="1"/>
  <c r="B40" i="5"/>
  <c r="A40" i="5"/>
  <c r="E25" i="5"/>
  <c r="H39" i="5"/>
  <c r="C39" i="5"/>
  <c r="G39" i="5" s="1"/>
  <c r="H38" i="5"/>
  <c r="C38" i="5"/>
  <c r="G38" i="5" s="1"/>
  <c r="C37" i="5"/>
  <c r="G37" i="5" s="1"/>
  <c r="E64" i="5"/>
  <c r="H36" i="5"/>
  <c r="C36" i="5"/>
  <c r="H35" i="5"/>
  <c r="H34" i="5"/>
  <c r="H28" i="5"/>
  <c r="C28" i="5"/>
  <c r="H27" i="5"/>
  <c r="C27" i="5"/>
  <c r="H25" i="5"/>
  <c r="H23" i="5"/>
  <c r="C23" i="5"/>
  <c r="B23" i="5"/>
  <c r="E21" i="5"/>
  <c r="H21" i="5"/>
  <c r="B21" i="5"/>
  <c r="I17" i="5"/>
  <c r="C13" i="5"/>
  <c r="C12" i="5"/>
  <c r="F7" i="5"/>
  <c r="C147" i="5" s="1"/>
  <c r="C21" i="5" l="1"/>
  <c r="C22" i="5"/>
  <c r="C126" i="5"/>
  <c r="G46" i="5"/>
  <c r="L150" i="5"/>
  <c r="G96" i="5" s="1"/>
  <c r="L93" i="5"/>
  <c r="L92" i="5"/>
  <c r="F78" i="5"/>
  <c r="G24" i="5"/>
  <c r="C136" i="5"/>
  <c r="C29" i="5"/>
  <c r="G29" i="5" s="1"/>
  <c r="C63" i="5"/>
  <c r="C65" i="5"/>
  <c r="G28" i="5"/>
  <c r="G27" i="5"/>
  <c r="G74" i="5"/>
  <c r="G25" i="5"/>
  <c r="E46" i="5"/>
  <c r="F46" i="5" s="1"/>
  <c r="E65" i="5"/>
  <c r="E36" i="5"/>
  <c r="E63" i="5"/>
  <c r="G56" i="5"/>
  <c r="C57" i="5"/>
  <c r="G57" i="5" s="1"/>
  <c r="C59" i="5"/>
  <c r="G59" i="5" s="1"/>
  <c r="C110" i="5"/>
  <c r="C53" i="5"/>
  <c r="G53" i="5" s="1"/>
  <c r="G51" i="5"/>
  <c r="F37" i="5"/>
  <c r="G47" i="5"/>
  <c r="G49" i="5" s="1"/>
  <c r="F52" i="5"/>
  <c r="M153" i="5"/>
  <c r="F149" i="5" s="1"/>
  <c r="D166" i="5"/>
  <c r="J171" i="5" s="1"/>
  <c r="G52" i="5"/>
  <c r="F79" i="5"/>
  <c r="H171" i="5"/>
  <c r="K90" i="5"/>
  <c r="C93" i="5" s="1"/>
  <c r="C26" i="5"/>
  <c r="F75" i="5"/>
  <c r="D167" i="5"/>
  <c r="J172" i="5" s="1"/>
  <c r="F51" i="5"/>
  <c r="F132" i="6"/>
  <c r="F133" i="6" s="1"/>
  <c r="F73" i="5"/>
  <c r="E102" i="5"/>
  <c r="E126" i="5" s="1"/>
  <c r="E117" i="5"/>
  <c r="E28" i="5"/>
  <c r="F28" i="5" s="1"/>
  <c r="F38" i="5"/>
  <c r="F25" i="5"/>
  <c r="E40" i="5"/>
  <c r="E47" i="5"/>
  <c r="F47" i="5" s="1"/>
  <c r="F56" i="5"/>
  <c r="H175" i="5"/>
  <c r="F27" i="5"/>
  <c r="G44" i="5"/>
  <c r="F39" i="5"/>
  <c r="F58" i="5"/>
  <c r="F55" i="5"/>
  <c r="G58" i="5"/>
  <c r="F74" i="5"/>
  <c r="G75" i="5"/>
  <c r="G86" i="5"/>
  <c r="F86" i="5"/>
  <c r="F24" i="5"/>
  <c r="C54" i="5"/>
  <c r="D169" i="5"/>
  <c r="D171" i="5"/>
  <c r="J176" i="5" s="1"/>
  <c r="F106" i="5"/>
  <c r="D168" i="5"/>
  <c r="C116" i="5" s="1"/>
  <c r="I174" i="4"/>
  <c r="I171" i="4"/>
  <c r="G169" i="4"/>
  <c r="G168" i="4"/>
  <c r="G167" i="4"/>
  <c r="G166" i="4"/>
  <c r="H165" i="4"/>
  <c r="G165" i="4"/>
  <c r="G164" i="4"/>
  <c r="A164" i="4"/>
  <c r="D168" i="4" s="1"/>
  <c r="J173" i="4" s="1"/>
  <c r="L148" i="4"/>
  <c r="I138" i="4"/>
  <c r="C136" i="4"/>
  <c r="C135" i="4"/>
  <c r="H133" i="4"/>
  <c r="H130" i="4"/>
  <c r="H109" i="4" s="1"/>
  <c r="H128" i="4"/>
  <c r="C122" i="4"/>
  <c r="C123" i="4" s="1"/>
  <c r="H118" i="4"/>
  <c r="B118" i="4"/>
  <c r="E110" i="4"/>
  <c r="E131" i="4"/>
  <c r="E132" i="4"/>
  <c r="C106" i="4"/>
  <c r="C108" i="4" s="1"/>
  <c r="E117" i="4"/>
  <c r="C105" i="4"/>
  <c r="P102" i="4"/>
  <c r="J97" i="4"/>
  <c r="P96" i="4"/>
  <c r="P93" i="4" s="1"/>
  <c r="J96" i="4"/>
  <c r="J95" i="4"/>
  <c r="J94" i="4"/>
  <c r="J93" i="4"/>
  <c r="J92" i="4"/>
  <c r="P91" i="4"/>
  <c r="P88" i="4" s="1"/>
  <c r="M91" i="4"/>
  <c r="J91" i="4"/>
  <c r="J90" i="4"/>
  <c r="M89" i="4"/>
  <c r="M87" i="4"/>
  <c r="J87" i="4"/>
  <c r="J86" i="4"/>
  <c r="C86" i="4"/>
  <c r="G86" i="4" s="1"/>
  <c r="M85" i="4"/>
  <c r="J85" i="4"/>
  <c r="C78" i="4"/>
  <c r="H77" i="4"/>
  <c r="B77" i="4"/>
  <c r="A77" i="4"/>
  <c r="H76" i="4"/>
  <c r="C76" i="4"/>
  <c r="C130" i="4" s="1"/>
  <c r="B76" i="4"/>
  <c r="A76" i="4"/>
  <c r="H75" i="4"/>
  <c r="C75" i="4"/>
  <c r="H74" i="4"/>
  <c r="C74" i="4"/>
  <c r="G74" i="4" s="1"/>
  <c r="C73" i="4"/>
  <c r="G73" i="4" s="1"/>
  <c r="C66" i="4"/>
  <c r="C69" i="4" s="1"/>
  <c r="C65" i="4"/>
  <c r="C62" i="4"/>
  <c r="C68" i="4" s="1"/>
  <c r="H57" i="4"/>
  <c r="C57" i="4"/>
  <c r="B57" i="4"/>
  <c r="H56" i="4"/>
  <c r="C56" i="4"/>
  <c r="E37" i="4"/>
  <c r="G54" i="4"/>
  <c r="F53" i="4"/>
  <c r="F54" i="4" s="1"/>
  <c r="E151" i="4" s="1"/>
  <c r="C52" i="4"/>
  <c r="C51" i="4" s="1"/>
  <c r="B52" i="4"/>
  <c r="H48" i="4"/>
  <c r="B48" i="4"/>
  <c r="H47" i="4"/>
  <c r="H46" i="4"/>
  <c r="B46" i="4"/>
  <c r="H42" i="4"/>
  <c r="B42" i="4"/>
  <c r="A42" i="4"/>
  <c r="H41" i="4"/>
  <c r="C41" i="4"/>
  <c r="H40" i="4"/>
  <c r="C42" i="4"/>
  <c r="B40" i="4"/>
  <c r="A40" i="4"/>
  <c r="H39" i="4"/>
  <c r="C39" i="4"/>
  <c r="H38" i="4"/>
  <c r="G38" i="4"/>
  <c r="G37" i="4"/>
  <c r="H36" i="4"/>
  <c r="C36" i="4"/>
  <c r="H35" i="4"/>
  <c r="H28" i="4"/>
  <c r="C28" i="4"/>
  <c r="B28" i="4"/>
  <c r="H27" i="4"/>
  <c r="H26" i="4"/>
  <c r="C26" i="4"/>
  <c r="H25" i="4"/>
  <c r="E25" i="4"/>
  <c r="C25" i="4"/>
  <c r="C134" i="4"/>
  <c r="C23" i="4"/>
  <c r="G23" i="4" s="1"/>
  <c r="I17" i="4"/>
  <c r="C13" i="4"/>
  <c r="C12" i="4"/>
  <c r="F7" i="4"/>
  <c r="C145" i="4" s="1"/>
  <c r="F78" i="4" l="1"/>
  <c r="G78" i="4"/>
  <c r="C21" i="4"/>
  <c r="C22" i="4"/>
  <c r="G22" i="4" s="1"/>
  <c r="F59" i="5"/>
  <c r="C131" i="4"/>
  <c r="G26" i="5"/>
  <c r="F26" i="5"/>
  <c r="F128" i="5"/>
  <c r="G128" i="5"/>
  <c r="G41" i="4"/>
  <c r="C94" i="5"/>
  <c r="C87" i="5"/>
  <c r="C89" i="5" s="1"/>
  <c r="F98" i="5"/>
  <c r="A97" i="5"/>
  <c r="I99" i="5" s="1"/>
  <c r="G75" i="4"/>
  <c r="G81" i="5"/>
  <c r="F96" i="5"/>
  <c r="C85" i="5"/>
  <c r="G85" i="5" s="1"/>
  <c r="C66" i="5"/>
  <c r="C67" i="5" s="1"/>
  <c r="F105" i="4"/>
  <c r="G105" i="4"/>
  <c r="F29" i="5"/>
  <c r="C131" i="5"/>
  <c r="C132" i="5" s="1"/>
  <c r="C27" i="4"/>
  <c r="C48" i="4"/>
  <c r="C46" i="4"/>
  <c r="C49" i="4" s="1"/>
  <c r="C50" i="4" s="1"/>
  <c r="C107" i="4"/>
  <c r="D164" i="4"/>
  <c r="J169" i="4" s="1"/>
  <c r="C30" i="5"/>
  <c r="G30" i="5" s="1"/>
  <c r="C109" i="4"/>
  <c r="G39" i="4"/>
  <c r="G57" i="4"/>
  <c r="F53" i="5"/>
  <c r="F87" i="5"/>
  <c r="F48" i="5"/>
  <c r="F49" i="5" s="1"/>
  <c r="E118" i="4"/>
  <c r="E109" i="4"/>
  <c r="F57" i="5"/>
  <c r="H172" i="5"/>
  <c r="J173" i="5"/>
  <c r="F43" i="5"/>
  <c r="F44" i="5" s="1"/>
  <c r="F80" i="5"/>
  <c r="F81" i="5" s="1"/>
  <c r="G56" i="4"/>
  <c r="P100" i="4"/>
  <c r="E51" i="4"/>
  <c r="C61" i="4"/>
  <c r="G96" i="4"/>
  <c r="C67" i="4"/>
  <c r="C29" i="4"/>
  <c r="G29" i="4" s="1"/>
  <c r="G25" i="4"/>
  <c r="D165" i="4"/>
  <c r="J170" i="4" s="1"/>
  <c r="F54" i="5"/>
  <c r="G54" i="5"/>
  <c r="G61" i="5" s="1"/>
  <c r="F93" i="5"/>
  <c r="C95" i="5"/>
  <c r="G93" i="5"/>
  <c r="J174" i="5"/>
  <c r="C120" i="5"/>
  <c r="H174" i="5"/>
  <c r="G22" i="5"/>
  <c r="F22" i="5"/>
  <c r="G21" i="5"/>
  <c r="F21" i="5"/>
  <c r="G116" i="5"/>
  <c r="F116" i="5"/>
  <c r="H173" i="5"/>
  <c r="H176" i="5"/>
  <c r="F107" i="5"/>
  <c r="F113" i="5" s="1"/>
  <c r="G107" i="5"/>
  <c r="G114" i="5" s="1"/>
  <c r="G87" i="5"/>
  <c r="H173" i="4"/>
  <c r="G24" i="4"/>
  <c r="F37" i="4"/>
  <c r="C64" i="4"/>
  <c r="F73" i="4"/>
  <c r="C79" i="4"/>
  <c r="K90" i="4"/>
  <c r="C118" i="4"/>
  <c r="E130" i="4"/>
  <c r="D167" i="4"/>
  <c r="D169" i="4"/>
  <c r="J174" i="4" s="1"/>
  <c r="F25" i="4"/>
  <c r="F86" i="4"/>
  <c r="D166" i="4"/>
  <c r="C116" i="4" s="1"/>
  <c r="G32" i="5" l="1"/>
  <c r="G27" i="4"/>
  <c r="F27" i="4"/>
  <c r="C87" i="4"/>
  <c r="C93" i="4"/>
  <c r="F30" i="5"/>
  <c r="F31" i="5" s="1"/>
  <c r="F32" i="5" s="1"/>
  <c r="G129" i="5"/>
  <c r="G140" i="5" s="1"/>
  <c r="F129" i="5"/>
  <c r="F139" i="5" s="1"/>
  <c r="F140" i="5" s="1"/>
  <c r="G79" i="4"/>
  <c r="G81" i="4" s="1"/>
  <c r="F79" i="4"/>
  <c r="F85" i="5"/>
  <c r="J177" i="5"/>
  <c r="G44" i="4"/>
  <c r="C88" i="5"/>
  <c r="G88" i="5" s="1"/>
  <c r="G97" i="5"/>
  <c r="G59" i="4"/>
  <c r="H170" i="4"/>
  <c r="F97" i="5"/>
  <c r="H169" i="4"/>
  <c r="F60" i="5"/>
  <c r="F61" i="5" s="1"/>
  <c r="E155" i="5" s="1"/>
  <c r="F137" i="4"/>
  <c r="F138" i="4" s="1"/>
  <c r="G98" i="5"/>
  <c r="F114" i="5"/>
  <c r="H177" i="5"/>
  <c r="G82" i="5"/>
  <c r="F96" i="4"/>
  <c r="E151" i="5"/>
  <c r="C30" i="4"/>
  <c r="G30" i="4" s="1"/>
  <c r="G138" i="4"/>
  <c r="F29" i="4"/>
  <c r="C63" i="4"/>
  <c r="G94" i="5"/>
  <c r="F94" i="5"/>
  <c r="F89" i="5"/>
  <c r="G89" i="5"/>
  <c r="G95" i="5"/>
  <c r="F95" i="5"/>
  <c r="G120" i="5"/>
  <c r="G124" i="5" s="1"/>
  <c r="F120" i="5"/>
  <c r="F88" i="5"/>
  <c r="H171" i="4"/>
  <c r="J172" i="4"/>
  <c r="C117" i="4"/>
  <c r="G21" i="4"/>
  <c r="G114" i="4"/>
  <c r="J171" i="4"/>
  <c r="G116" i="4"/>
  <c r="F116" i="4"/>
  <c r="C85" i="4"/>
  <c r="C132" i="4"/>
  <c r="C133" i="4" s="1"/>
  <c r="C98" i="4"/>
  <c r="F118" i="4"/>
  <c r="G118" i="4"/>
  <c r="H172" i="4"/>
  <c r="H174" i="4"/>
  <c r="E152" i="5" l="1"/>
  <c r="E150" i="5"/>
  <c r="F30" i="4"/>
  <c r="F113" i="4"/>
  <c r="F114" i="4" s="1"/>
  <c r="F82" i="5"/>
  <c r="F123" i="5"/>
  <c r="F124" i="5" s="1"/>
  <c r="E154" i="5" s="1"/>
  <c r="G71" i="4"/>
  <c r="J175" i="4"/>
  <c r="G100" i="5"/>
  <c r="G141" i="5" s="1"/>
  <c r="G145" i="5" s="1"/>
  <c r="F99" i="5"/>
  <c r="F100" i="5" s="1"/>
  <c r="G98" i="4"/>
  <c r="F98" i="4"/>
  <c r="C95" i="4"/>
  <c r="C94" i="4"/>
  <c r="F93" i="4"/>
  <c r="G93" i="4"/>
  <c r="C89" i="4"/>
  <c r="G87" i="4"/>
  <c r="C88" i="4"/>
  <c r="F87" i="4"/>
  <c r="G97" i="4"/>
  <c r="F97" i="4"/>
  <c r="A97" i="4"/>
  <c r="I99" i="4" s="1"/>
  <c r="G117" i="4"/>
  <c r="G125" i="4" s="1"/>
  <c r="F117" i="4"/>
  <c r="F124" i="4" s="1"/>
  <c r="F125" i="4" s="1"/>
  <c r="G32" i="4"/>
  <c r="H175" i="4"/>
  <c r="F85" i="4"/>
  <c r="G85" i="4"/>
  <c r="G82" i="4" l="1"/>
  <c r="F70" i="4"/>
  <c r="F71" i="4" s="1"/>
  <c r="H150" i="5"/>
  <c r="F141" i="5"/>
  <c r="F142" i="5" s="1"/>
  <c r="G88" i="4"/>
  <c r="F88" i="4"/>
  <c r="G95" i="4"/>
  <c r="F95" i="4"/>
  <c r="G89" i="4"/>
  <c r="F89" i="4"/>
  <c r="F94" i="4"/>
  <c r="G94" i="4"/>
  <c r="E150" i="4" l="1"/>
  <c r="E153" i="4"/>
  <c r="G100" i="4"/>
  <c r="G139" i="4" s="1"/>
  <c r="G143" i="4" s="1"/>
  <c r="E145" i="5"/>
  <c r="F143" i="5"/>
  <c r="F144" i="5" s="1"/>
  <c r="F99" i="4"/>
  <c r="F100" i="4" s="1"/>
  <c r="F139" i="4" s="1"/>
  <c r="H139" i="3" l="1"/>
  <c r="H132" i="3"/>
  <c r="H131" i="3"/>
  <c r="C129" i="3"/>
  <c r="H120" i="3"/>
  <c r="C119" i="3"/>
  <c r="H118" i="3"/>
  <c r="C49" i="3"/>
  <c r="C131" i="3" s="1"/>
  <c r="H48" i="3"/>
  <c r="H47" i="3"/>
  <c r="H46" i="3"/>
  <c r="C47" i="3"/>
  <c r="B48" i="3"/>
  <c r="B47" i="3"/>
  <c r="B46" i="3"/>
  <c r="C121" i="3" l="1"/>
  <c r="G119" i="3"/>
  <c r="F119" i="3"/>
  <c r="C120" i="3"/>
  <c r="G120" i="3" s="1"/>
  <c r="C132" i="3"/>
  <c r="C127" i="3"/>
  <c r="C128" i="3"/>
  <c r="C130" i="3"/>
  <c r="G121" i="3" l="1"/>
  <c r="F121" i="3"/>
  <c r="G134" i="3"/>
  <c r="F133" i="3"/>
  <c r="F134" i="3" l="1"/>
  <c r="F28" i="3" l="1"/>
  <c r="B28" i="3"/>
  <c r="G28" i="3" l="1"/>
  <c r="C41" i="3" l="1"/>
  <c r="B41" i="3"/>
  <c r="G37" i="3" l="1"/>
  <c r="G146" i="3"/>
  <c r="O90" i="3" l="1"/>
  <c r="N90" i="3"/>
  <c r="L93" i="3" s="1"/>
  <c r="C96" i="3" s="1"/>
  <c r="M90" i="3"/>
  <c r="C74" i="3" s="1"/>
  <c r="H142" i="3" l="1"/>
  <c r="H136" i="3"/>
  <c r="G136" i="3" s="1"/>
  <c r="G122" i="3"/>
  <c r="G111" i="3"/>
  <c r="C86" i="3"/>
  <c r="G86" i="3" s="1"/>
  <c r="G96" i="3" l="1"/>
  <c r="C110" i="3"/>
  <c r="G112" i="3"/>
  <c r="A42" i="3"/>
  <c r="A40" i="3"/>
  <c r="G72" i="3"/>
  <c r="G81" i="3" s="1"/>
  <c r="C118" i="3" l="1"/>
  <c r="G118" i="3" s="1"/>
  <c r="B56" i="3"/>
  <c r="H56" i="3"/>
  <c r="H55" i="3"/>
  <c r="H41" i="3"/>
  <c r="G41" i="3" s="1"/>
  <c r="G39" i="3"/>
  <c r="G56" i="3" l="1"/>
  <c r="F7" i="3"/>
  <c r="P165" i="3" s="1"/>
  <c r="J97" i="3"/>
  <c r="J96" i="3"/>
  <c r="J95" i="3"/>
  <c r="J94" i="3"/>
  <c r="J93" i="3"/>
  <c r="J92" i="3"/>
  <c r="J91" i="3"/>
  <c r="J90" i="3"/>
  <c r="J86" i="3"/>
  <c r="J85" i="3"/>
  <c r="M71" i="3"/>
  <c r="N69" i="3"/>
  <c r="M69" i="3"/>
  <c r="M162" i="3"/>
  <c r="M163" i="3"/>
  <c r="M160" i="3"/>
  <c r="F160" i="3" l="1"/>
  <c r="S167" i="3"/>
  <c r="C29" i="3" l="1"/>
  <c r="G29" i="3" s="1"/>
  <c r="C22" i="3"/>
  <c r="G22" i="3" s="1"/>
  <c r="C48" i="3"/>
  <c r="C46" i="3"/>
  <c r="K90" i="3"/>
  <c r="C98" i="3" l="1"/>
  <c r="G85" i="3"/>
  <c r="C93" i="3"/>
  <c r="G93" i="3" s="1"/>
  <c r="C141" i="3"/>
  <c r="F141" i="3" s="1"/>
  <c r="C106" i="3"/>
  <c r="F27" i="3"/>
  <c r="C87" i="3"/>
  <c r="C88" i="3" s="1"/>
  <c r="C50" i="3"/>
  <c r="C51" i="3" s="1"/>
  <c r="G53" i="3"/>
  <c r="G141" i="3" l="1"/>
  <c r="G106" i="3"/>
  <c r="F106" i="3"/>
  <c r="A97" i="3"/>
  <c r="G98" i="3"/>
  <c r="G97" i="3"/>
  <c r="C94" i="3"/>
  <c r="C142" i="3"/>
  <c r="C89" i="3"/>
  <c r="G89" i="3" s="1"/>
  <c r="G87" i="3"/>
  <c r="G88" i="3"/>
  <c r="F142" i="3" l="1"/>
  <c r="G142" i="3"/>
  <c r="I99" i="3"/>
  <c r="G105" i="3" l="1"/>
  <c r="G114" i="3" l="1"/>
  <c r="C63" i="3" l="1"/>
  <c r="C67" i="3"/>
  <c r="C68" i="3"/>
  <c r="C66" i="3"/>
  <c r="G66" i="3" l="1"/>
  <c r="F66" i="3"/>
  <c r="F68" i="3"/>
  <c r="G68" i="3"/>
  <c r="F67" i="3"/>
  <c r="G67" i="3"/>
  <c r="G63" i="3"/>
  <c r="F63" i="3"/>
  <c r="C123" i="3"/>
  <c r="G123" i="3" l="1"/>
  <c r="F123" i="3"/>
  <c r="F122" i="3" l="1"/>
  <c r="F96" i="3" l="1"/>
  <c r="A174" i="3" l="1"/>
  <c r="D174" i="3" s="1"/>
  <c r="H175" i="3"/>
  <c r="G179" i="3"/>
  <c r="G178" i="3"/>
  <c r="G177" i="3"/>
  <c r="G176" i="3"/>
  <c r="G175" i="3"/>
  <c r="G174" i="3"/>
  <c r="I181" i="3"/>
  <c r="I184" i="3"/>
  <c r="D177" i="3" l="1"/>
  <c r="C117" i="3" s="1"/>
  <c r="F86" i="3"/>
  <c r="D176" i="3"/>
  <c r="C116" i="3" s="1"/>
  <c r="D178" i="3"/>
  <c r="J183" i="3" s="1"/>
  <c r="D175" i="3"/>
  <c r="J180" i="3" s="1"/>
  <c r="H179" i="3"/>
  <c r="J179" i="3"/>
  <c r="D179" i="3"/>
  <c r="J181" i="3" l="1"/>
  <c r="H182" i="3"/>
  <c r="G116" i="3"/>
  <c r="J182" i="3"/>
  <c r="G117" i="3"/>
  <c r="H183" i="3"/>
  <c r="H181" i="3"/>
  <c r="F93" i="3"/>
  <c r="H180" i="3"/>
  <c r="J184" i="3"/>
  <c r="H184" i="3"/>
  <c r="G125" i="3" l="1"/>
  <c r="J185" i="3"/>
  <c r="G55" i="3"/>
  <c r="G58" i="3" s="1"/>
  <c r="F87" i="3"/>
  <c r="H185" i="3"/>
  <c r="F97" i="3"/>
  <c r="F98" i="3"/>
  <c r="C30" i="3"/>
  <c r="G30" i="3" s="1"/>
  <c r="C95" i="3"/>
  <c r="F88" i="3"/>
  <c r="F89" i="3"/>
  <c r="G147" i="3"/>
  <c r="F94" i="3" l="1"/>
  <c r="G94" i="3"/>
  <c r="F95" i="3"/>
  <c r="G95" i="3"/>
  <c r="G32" i="3"/>
  <c r="G44" i="3"/>
  <c r="G100" i="3" l="1"/>
  <c r="G148" i="3" l="1"/>
  <c r="G153" i="3"/>
  <c r="J32" i="4"/>
  <c r="J32" i="3"/>
  <c r="J36" i="4"/>
  <c r="J36" i="3"/>
  <c r="J34" i="3"/>
  <c r="J31" i="4"/>
  <c r="J31" i="3"/>
  <c r="J30" i="4"/>
  <c r="J30" i="3"/>
  <c r="M43" i="4"/>
  <c r="M56" i="3"/>
  <c r="J35" i="4"/>
  <c r="J35" i="3"/>
  <c r="J33" i="4"/>
  <c r="J33" i="3"/>
  <c r="E51" i="3"/>
  <c r="F30" i="3"/>
  <c r="E50" i="3"/>
  <c r="F29" i="3"/>
  <c r="J29" i="4"/>
  <c r="J29" i="3"/>
  <c r="N43" i="4"/>
  <c r="N56" i="3"/>
  <c r="F24" i="3" l="1"/>
  <c r="F24" i="4"/>
  <c r="L108" i="3"/>
  <c r="J108" i="3"/>
  <c r="E107" i="3" s="1"/>
  <c r="F107" i="3" s="1"/>
  <c r="K108" i="3"/>
  <c r="E117" i="3" l="1"/>
  <c r="F117" i="3" s="1"/>
  <c r="M60" i="4"/>
  <c r="E41" i="4" s="1"/>
  <c r="F41" i="4" s="1"/>
  <c r="M63" i="3"/>
  <c r="F72" i="3" l="1"/>
  <c r="I61" i="3"/>
  <c r="I60" i="3"/>
  <c r="I65" i="3"/>
  <c r="I66" i="3" s="1"/>
  <c r="I62" i="3"/>
  <c r="I63" i="3" s="1"/>
  <c r="I67" i="3"/>
  <c r="I64" i="3"/>
  <c r="I68" i="3"/>
  <c r="J109" i="3"/>
  <c r="E112" i="3"/>
  <c r="F112" i="3" s="1"/>
  <c r="J106" i="3"/>
  <c r="K106" i="3"/>
  <c r="E116" i="3"/>
  <c r="F116" i="3" s="1"/>
  <c r="E105" i="3" l="1"/>
  <c r="E136" i="3" s="1"/>
  <c r="F136" i="3" s="1"/>
  <c r="E137" i="3"/>
  <c r="E131" i="3"/>
  <c r="E118" i="3"/>
  <c r="F118" i="3" s="1"/>
  <c r="J43" i="4"/>
  <c r="E28" i="4" s="1"/>
  <c r="F28" i="4" s="1"/>
  <c r="J43" i="3"/>
  <c r="J26" i="4"/>
  <c r="E23" i="4" s="1"/>
  <c r="J26" i="3"/>
  <c r="E23" i="3" s="1"/>
  <c r="M39" i="4"/>
  <c r="M39" i="3"/>
  <c r="J80" i="4"/>
  <c r="J79" i="4" s="1"/>
  <c r="M62" i="4"/>
  <c r="M65" i="3"/>
  <c r="M61" i="4"/>
  <c r="M64" i="3"/>
  <c r="E41" i="3" s="1"/>
  <c r="F41" i="3" s="1"/>
  <c r="J45" i="4"/>
  <c r="J45" i="3"/>
  <c r="J20" i="4"/>
  <c r="E21" i="4" s="1"/>
  <c r="J20" i="3"/>
  <c r="J38" i="4"/>
  <c r="E36" i="4" s="1"/>
  <c r="F36" i="4" s="1"/>
  <c r="J38" i="3"/>
  <c r="F36" i="3" s="1"/>
  <c r="M37" i="4"/>
  <c r="M37" i="3"/>
  <c r="K76" i="4"/>
  <c r="K79" i="4"/>
  <c r="N64" i="4"/>
  <c r="E52" i="4" s="1"/>
  <c r="N67" i="3"/>
  <c r="E132" i="3"/>
  <c r="F85" i="3"/>
  <c r="J22" i="4"/>
  <c r="J21" i="3"/>
  <c r="J23" i="4"/>
  <c r="J23" i="3"/>
  <c r="J42" i="4"/>
  <c r="J42" i="3"/>
  <c r="E145" i="3"/>
  <c r="J44" i="4"/>
  <c r="J44" i="3"/>
  <c r="J19" i="4"/>
  <c r="E47" i="4" s="1"/>
  <c r="J19" i="3"/>
  <c r="J25" i="4"/>
  <c r="J25" i="3"/>
  <c r="J41" i="4"/>
  <c r="J41" i="3"/>
  <c r="J37" i="4"/>
  <c r="J37" i="3"/>
  <c r="J76" i="4"/>
  <c r="E75" i="4" s="1"/>
  <c r="F75" i="4" s="1"/>
  <c r="J78" i="4"/>
  <c r="J77" i="4"/>
  <c r="E38" i="4" s="1"/>
  <c r="F38" i="4" s="1"/>
  <c r="M64" i="4"/>
  <c r="E77" i="4" s="1"/>
  <c r="M67" i="3"/>
  <c r="M57" i="4"/>
  <c r="M60" i="3"/>
  <c r="J75" i="4"/>
  <c r="E74" i="4" s="1"/>
  <c r="F74" i="4" s="1"/>
  <c r="M59" i="4"/>
  <c r="M62" i="3"/>
  <c r="M55" i="4"/>
  <c r="M58" i="3"/>
  <c r="N57" i="4"/>
  <c r="N60" i="3"/>
  <c r="J21" i="4"/>
  <c r="J22" i="3"/>
  <c r="J24" i="4"/>
  <c r="J24" i="3"/>
  <c r="J40" i="4"/>
  <c r="J40" i="3"/>
  <c r="J39" i="4"/>
  <c r="E34" i="4" s="1"/>
  <c r="J39" i="3"/>
  <c r="E34" i="3" s="1"/>
  <c r="F34" i="3" s="1"/>
  <c r="E128" i="3"/>
  <c r="E111" i="3"/>
  <c r="F111" i="3" s="1"/>
  <c r="K75" i="4"/>
  <c r="K80" i="4"/>
  <c r="N62" i="4"/>
  <c r="N65" i="3"/>
  <c r="N55" i="4"/>
  <c r="N58" i="3"/>
  <c r="F105" i="3" l="1"/>
  <c r="E49" i="3"/>
  <c r="F77" i="3"/>
  <c r="F80" i="3" s="1"/>
  <c r="F81" i="3" s="1"/>
  <c r="F21" i="3"/>
  <c r="F22" i="3"/>
  <c r="G70" i="3"/>
  <c r="G82" i="3" s="1"/>
  <c r="F69" i="3"/>
  <c r="F70" i="3" s="1"/>
  <c r="F35" i="3"/>
  <c r="E46" i="3"/>
  <c r="F52" i="3" s="1"/>
  <c r="F53" i="3" s="1"/>
  <c r="F158" i="3" s="1"/>
  <c r="F23" i="4"/>
  <c r="E48" i="4"/>
  <c r="E22" i="4"/>
  <c r="F22" i="4" s="1"/>
  <c r="F21" i="4"/>
  <c r="E39" i="4"/>
  <c r="F39" i="4" s="1"/>
  <c r="E47" i="3"/>
  <c r="E144" i="3"/>
  <c r="E56" i="3"/>
  <c r="F56" i="3" s="1"/>
  <c r="E48" i="3"/>
  <c r="E56" i="4"/>
  <c r="F56" i="4" s="1"/>
  <c r="E46" i="4"/>
  <c r="E76" i="4"/>
  <c r="E40" i="4"/>
  <c r="E57" i="4"/>
  <c r="F57" i="4" s="1"/>
  <c r="E42" i="4"/>
  <c r="E26" i="4"/>
  <c r="F26" i="4" s="1"/>
  <c r="E35" i="4"/>
  <c r="E55" i="3"/>
  <c r="F55" i="3" s="1"/>
  <c r="F99" i="3"/>
  <c r="F100" i="3" s="1"/>
  <c r="F37" i="3"/>
  <c r="F154" i="3" l="1"/>
  <c r="G152" i="3"/>
  <c r="R173" i="3"/>
  <c r="F43" i="4"/>
  <c r="F44" i="4" s="1"/>
  <c r="F57" i="3"/>
  <c r="F43" i="3"/>
  <c r="F44" i="3" s="1"/>
  <c r="F31" i="4"/>
  <c r="F32" i="4" s="1"/>
  <c r="E148" i="4" s="1"/>
  <c r="F58" i="4"/>
  <c r="F59" i="4" s="1"/>
  <c r="E152" i="4" s="1"/>
  <c r="H178" i="4"/>
  <c r="F80" i="4"/>
  <c r="F81" i="4" s="1"/>
  <c r="H188" i="3"/>
  <c r="F31" i="3"/>
  <c r="F32" i="3" s="1"/>
  <c r="F155" i="3" l="1"/>
  <c r="F58" i="3"/>
  <c r="E149" i="4"/>
  <c r="H148" i="4" s="1"/>
  <c r="F82" i="4"/>
  <c r="F140" i="4" s="1"/>
  <c r="F141" i="4" s="1"/>
  <c r="F142" i="4" s="1"/>
  <c r="R168" i="3"/>
  <c r="F82" i="3" l="1"/>
  <c r="E143" i="4"/>
  <c r="R169" i="3"/>
  <c r="E120" i="3" l="1"/>
  <c r="F120" i="3" s="1"/>
  <c r="F124" i="3" s="1"/>
  <c r="F125" i="3" s="1"/>
  <c r="F159" i="3" l="1"/>
  <c r="R172" i="3"/>
  <c r="F139" i="3" l="1"/>
  <c r="E103" i="3"/>
  <c r="F103" i="3" s="1"/>
  <c r="F113" i="3" s="1"/>
  <c r="F114" i="3" s="1"/>
  <c r="F156" i="3" s="1"/>
  <c r="R170" i="3" l="1"/>
  <c r="F146" i="3"/>
  <c r="F147" i="3" s="1"/>
  <c r="F148" i="3" l="1"/>
  <c r="F149" i="3" s="1"/>
  <c r="F150" i="3" s="1"/>
  <c r="F151" i="3" s="1"/>
  <c r="E152" i="3" s="1"/>
  <c r="F157" i="3"/>
  <c r="H157" i="3" s="1"/>
</calcChain>
</file>

<file path=xl/comments1.xml><?xml version="1.0" encoding="utf-8"?>
<comments xmlns="http://schemas.openxmlformats.org/spreadsheetml/2006/main">
  <authors>
    <author>Nata</author>
    <author>111</author>
  </authors>
  <commentList>
    <comment ref="C5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Заполнять только голубые ячейки</t>
        </r>
      </text>
    </comment>
    <comment ref="B34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Стеновье стойки и прогоны</t>
        </r>
      </text>
    </comment>
    <comment ref="B37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Нщ5 по фундаменту</t>
        </r>
      </text>
    </comment>
    <comment ref="B72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Нщ3 по коню</t>
        </r>
      </text>
    </comment>
    <comment ref="I163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Черняк под ворота считать вручную!!!
</t>
        </r>
      </text>
    </comment>
  </commentList>
</comments>
</file>

<file path=xl/comments2.xml><?xml version="1.0" encoding="utf-8"?>
<comments xmlns="http://schemas.openxmlformats.org/spreadsheetml/2006/main">
  <authors>
    <author>Nata</author>
    <author>111</author>
  </authors>
  <commentList>
    <comment ref="C5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Заполнять только голубые ячейки</t>
        </r>
      </text>
    </comment>
    <comment ref="B34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Стеновье стойки и прогоны</t>
        </r>
      </text>
    </comment>
    <comment ref="B37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Нщ5 по фундаменту</t>
        </r>
      </text>
    </comment>
    <comment ref="B73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Нщ3 по коню</t>
        </r>
      </text>
    </comment>
    <comment ref="I153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Черняк под ворота считать вручную!!!
</t>
        </r>
      </text>
    </comment>
  </commentList>
</comments>
</file>

<file path=xl/comments3.xml><?xml version="1.0" encoding="utf-8"?>
<comments xmlns="http://schemas.openxmlformats.org/spreadsheetml/2006/main">
  <authors>
    <author>Nata</author>
    <author>111</author>
  </authors>
  <commentList>
    <comment ref="C5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Заполнять только голубые ячейки</t>
        </r>
      </text>
    </comment>
    <comment ref="B34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Стеновье стойки и прогоны</t>
        </r>
      </text>
    </comment>
    <comment ref="B37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Нщ5 по фундаменту</t>
        </r>
      </text>
    </comment>
    <comment ref="B73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Нщ3 по коню</t>
        </r>
      </text>
    </comment>
    <comment ref="I155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Черняк под ворота считать вручную!!!
</t>
        </r>
      </text>
    </comment>
  </commentList>
</comments>
</file>

<file path=xl/comments4.xml><?xml version="1.0" encoding="utf-8"?>
<comments xmlns="http://schemas.openxmlformats.org/spreadsheetml/2006/main">
  <authors>
    <author>111</author>
    <author>Nata</author>
  </authors>
  <commentList>
    <comment ref="B34" authorId="0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Стеновье стойки и прогоны</t>
        </r>
      </text>
    </comment>
    <comment ref="B37" authorId="0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Нщ5 по фундаменту</t>
        </r>
      </text>
    </comment>
    <comment ref="B63" authorId="0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Нщ3 по коню</t>
        </r>
      </text>
    </comment>
    <comment ref="I144" authorId="1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Черняк под ворота считать вручную!!!
</t>
        </r>
      </text>
    </comment>
  </commentList>
</comments>
</file>

<file path=xl/comments5.xml><?xml version="1.0" encoding="utf-8"?>
<comments xmlns="http://schemas.openxmlformats.org/spreadsheetml/2006/main">
  <authors>
    <author>Nata</author>
    <author>111</author>
  </authors>
  <commentList>
    <comment ref="C5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Заполнять только голубые ячейки</t>
        </r>
      </text>
    </comment>
    <comment ref="B34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Стеновье стойки и прогоны</t>
        </r>
      </text>
    </comment>
    <comment ref="B37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Нщ5 по фундаменту</t>
        </r>
      </text>
    </comment>
    <comment ref="B63" authorId="1" shapeId="0">
      <text>
        <r>
          <rPr>
            <b/>
            <sz val="8"/>
            <color indexed="81"/>
            <rFont val="Tahoma"/>
            <family val="2"/>
            <charset val="204"/>
          </rPr>
          <t>111:</t>
        </r>
        <r>
          <rPr>
            <sz val="8"/>
            <color indexed="81"/>
            <rFont val="Tahoma"/>
            <family val="2"/>
            <charset val="204"/>
          </rPr>
          <t xml:space="preserve">
Нщ3 по коню</t>
        </r>
      </text>
    </comment>
    <comment ref="I143" authorId="0" shapeId="0">
      <text>
        <r>
          <rPr>
            <b/>
            <sz val="8"/>
            <color indexed="81"/>
            <rFont val="Tahoma"/>
            <family val="2"/>
            <charset val="204"/>
          </rPr>
          <t>Nata:</t>
        </r>
        <r>
          <rPr>
            <sz val="8"/>
            <color indexed="81"/>
            <rFont val="Tahoma"/>
            <family val="2"/>
            <charset val="204"/>
          </rPr>
          <t xml:space="preserve">
Черняк под ворота считать вручную!!!
</t>
        </r>
      </text>
    </comment>
  </commentList>
</comments>
</file>

<file path=xl/sharedStrings.xml><?xml version="1.0" encoding="utf-8"?>
<sst xmlns="http://schemas.openxmlformats.org/spreadsheetml/2006/main" count="2144" uniqueCount="405">
  <si>
    <t>Желоб</t>
  </si>
  <si>
    <t>Сайдинг</t>
  </si>
  <si>
    <t>Труба</t>
  </si>
  <si>
    <t>Держатель желоба</t>
  </si>
  <si>
    <t>Держатель трубы</t>
  </si>
  <si>
    <t>Заглушка желоба</t>
  </si>
  <si>
    <t>Патрубок</t>
  </si>
  <si>
    <t>саморез 4,2*16</t>
  </si>
  <si>
    <t>п.м.</t>
  </si>
  <si>
    <t>т</t>
  </si>
  <si>
    <t>шт.</t>
  </si>
  <si>
    <t>Гайка М12</t>
  </si>
  <si>
    <t>Шайба 12</t>
  </si>
  <si>
    <t>Предварительная ведомость материалов</t>
  </si>
  <si>
    <t>Укажите тип обшивки</t>
  </si>
  <si>
    <t>наружная</t>
  </si>
  <si>
    <t>внутренняя</t>
  </si>
  <si>
    <t>нет обшивки</t>
  </si>
  <si>
    <t>оцинкованный профлист</t>
  </si>
  <si>
    <t>ТПП 110х1</t>
  </si>
  <si>
    <t>Пролет, м :</t>
  </si>
  <si>
    <t>окрашенный профлист</t>
  </si>
  <si>
    <t>Длина, м :</t>
  </si>
  <si>
    <t>сайдинг (горизонт)</t>
  </si>
  <si>
    <t>Высота, м :</t>
  </si>
  <si>
    <t>фасадная панель (верт.)</t>
  </si>
  <si>
    <t>шаг рам, м :</t>
  </si>
  <si>
    <t>наружная обшивка :</t>
  </si>
  <si>
    <t xml:space="preserve"> внутренняя обшивка : </t>
  </si>
  <si>
    <t>утепление кровли:</t>
  </si>
  <si>
    <t>мм</t>
  </si>
  <si>
    <t>утепление стен:</t>
  </si>
  <si>
    <t>перегородки</t>
  </si>
  <si>
    <t>м2</t>
  </si>
  <si>
    <t>МАТЕРИАЛЫ ЗАО "ИНСИ"</t>
  </si>
  <si>
    <t>№  п.п.</t>
  </si>
  <si>
    <t>наименование</t>
  </si>
  <si>
    <t xml:space="preserve">кол-во </t>
  </si>
  <si>
    <t>ед. изм</t>
  </si>
  <si>
    <t>цена ед.</t>
  </si>
  <si>
    <t>цена</t>
  </si>
  <si>
    <t>общий вес, кг</t>
  </si>
  <si>
    <t>ПП 110x1</t>
  </si>
  <si>
    <t>шт</t>
  </si>
  <si>
    <t>Саморез 5,5x25</t>
  </si>
  <si>
    <t>Саморез 4,8x20</t>
  </si>
  <si>
    <t>Итого материалы:</t>
  </si>
  <si>
    <t>ДОПОЛНИТЕЛЬНЫЕ МАТЕРИАЛЫ</t>
  </si>
  <si>
    <t>м3</t>
  </si>
  <si>
    <t>Итого дополнительные материалы:</t>
  </si>
  <si>
    <t>ПРОЕКТНЫЕ РАБОТЫ</t>
  </si>
  <si>
    <t>окна</t>
  </si>
  <si>
    <t>ворота</t>
  </si>
  <si>
    <t>двери</t>
  </si>
  <si>
    <t>п.м</t>
  </si>
  <si>
    <t>саморез 4,8*20</t>
  </si>
  <si>
    <t>количество температурных блоков кранового пути</t>
  </si>
  <si>
    <t>расход на 1м2</t>
  </si>
  <si>
    <t>вес ед</t>
  </si>
  <si>
    <t>вес,кг</t>
  </si>
  <si>
    <t>Z обр профиль</t>
  </si>
  <si>
    <t>утеплитель 100мм</t>
  </si>
  <si>
    <t>ПС-13</t>
  </si>
  <si>
    <t>с-13 на перегородках</t>
  </si>
  <si>
    <t>Проектно-расчетный отдел</t>
  </si>
  <si>
    <t>Проемы</t>
  </si>
  <si>
    <t>ширина, м</t>
  </si>
  <si>
    <t>высота, м</t>
  </si>
  <si>
    <t>площадь, м2</t>
  </si>
  <si>
    <t>кол-во</t>
  </si>
  <si>
    <t>Цена за м2</t>
  </si>
  <si>
    <t>р.д.</t>
  </si>
  <si>
    <t>Накладные расходы:</t>
  </si>
  <si>
    <t>Рекомендуемая цена реализации</t>
  </si>
  <si>
    <t>Болт М16х50</t>
  </si>
  <si>
    <t>Гайка М16</t>
  </si>
  <si>
    <t>Болт М12х40</t>
  </si>
  <si>
    <t>Дюбель гвоздь 6х60</t>
  </si>
  <si>
    <t>Фс12</t>
  </si>
  <si>
    <t>Фс11, Фс14</t>
  </si>
  <si>
    <t>Каркас</t>
  </si>
  <si>
    <t>Итого каркас</t>
  </si>
  <si>
    <t>Стены</t>
  </si>
  <si>
    <t>Итого стены</t>
  </si>
  <si>
    <t>Кровля</t>
  </si>
  <si>
    <t>Итого кровля</t>
  </si>
  <si>
    <t>Стена</t>
  </si>
  <si>
    <t>Итого стена</t>
  </si>
  <si>
    <t>Конструкции из труб</t>
  </si>
  <si>
    <t xml:space="preserve">Утеплитель </t>
  </si>
  <si>
    <t>Ограждающие конструкции</t>
  </si>
  <si>
    <t>Перекупные материалы</t>
  </si>
  <si>
    <t>ГКЛ/ГВЛ, ЖБ Плиты, Кирпич</t>
  </si>
  <si>
    <t>Перегородки</t>
  </si>
  <si>
    <t>СТОИМОСТЬ ПРОЕКТИРОВАНИЯ</t>
  </si>
  <si>
    <t>Конек плоский (2м)</t>
  </si>
  <si>
    <t>Фронтон (2м)</t>
  </si>
  <si>
    <t>Уголок 50х50 внутр. (3м)</t>
  </si>
  <si>
    <t>Упаковка</t>
  </si>
  <si>
    <t>ИТОГО Цена + упаковка</t>
  </si>
  <si>
    <t>Итого перегородки</t>
  </si>
  <si>
    <t>ГВЛ</t>
  </si>
  <si>
    <t>саморез 3,5х25</t>
  </si>
  <si>
    <t>Уплотнитель (2м)</t>
  </si>
  <si>
    <t>ИзоспанВ</t>
  </si>
  <si>
    <t>Изоспан АМ</t>
  </si>
  <si>
    <t xml:space="preserve">Уголок </t>
  </si>
  <si>
    <t xml:space="preserve">Лист </t>
  </si>
  <si>
    <t>Штрипс (защита рам)</t>
  </si>
  <si>
    <t>ГВЛ + на рамы</t>
  </si>
  <si>
    <t>ПП150х1,5</t>
  </si>
  <si>
    <t>Снегозадержатель</t>
  </si>
  <si>
    <t>Водосток</t>
  </si>
  <si>
    <t>ТПП 150х1</t>
  </si>
  <si>
    <t>окна/ворота/двери</t>
  </si>
  <si>
    <t>ПШ 40х1</t>
  </si>
  <si>
    <t>ф 150мм</t>
  </si>
  <si>
    <t>Колено сливное</t>
  </si>
  <si>
    <t>Колено угловое</t>
  </si>
  <si>
    <t>Соединитель желоба</t>
  </si>
  <si>
    <t>ИТОГО водосток</t>
  </si>
  <si>
    <t>ТПС 145х1,5</t>
  </si>
  <si>
    <t>Линотерм</t>
  </si>
  <si>
    <t>ТПС 150х1,5</t>
  </si>
  <si>
    <t>ПГС-S 300х80х2</t>
  </si>
  <si>
    <t>ПГС 145х70х1,5</t>
  </si>
  <si>
    <t xml:space="preserve">Итого </t>
  </si>
  <si>
    <t>ПГС-S 300х80х1,5</t>
  </si>
  <si>
    <t>цена п м</t>
  </si>
  <si>
    <t>вес пм</t>
  </si>
  <si>
    <t>эл. Рамы</t>
  </si>
  <si>
    <t>ПГС 145х70х2</t>
  </si>
  <si>
    <t>ПГС 145х50х1,5</t>
  </si>
  <si>
    <t>ПГС 145х50х2</t>
  </si>
  <si>
    <t>ПГС-S 300х80х3</t>
  </si>
  <si>
    <t>ТПС 150х65х1,5</t>
  </si>
  <si>
    <t>ТПС 200х1,5</t>
  </si>
  <si>
    <t>ТПС 200х65х1,5</t>
  </si>
  <si>
    <t>ТПС 200х65х2</t>
  </si>
  <si>
    <t>ТПС 200х2</t>
  </si>
  <si>
    <t>ТПС 245х65х1,5</t>
  </si>
  <si>
    <t>ТПС 245х65х2</t>
  </si>
  <si>
    <t>ТПС 195х1,5</t>
  </si>
  <si>
    <t>ТПП 200х1</t>
  </si>
  <si>
    <t>ф100</t>
  </si>
  <si>
    <t>ПФ</t>
  </si>
  <si>
    <t>КФ</t>
  </si>
  <si>
    <t>элемент</t>
  </si>
  <si>
    <t>Конек</t>
  </si>
  <si>
    <t>Фронон</t>
  </si>
  <si>
    <t>Уголок 50х50 вн</t>
  </si>
  <si>
    <t>Уголок 50х50 нар</t>
  </si>
  <si>
    <t xml:space="preserve">Уголок 85х85 вн </t>
  </si>
  <si>
    <t>Уголок 85х85 нар</t>
  </si>
  <si>
    <t>вес кг/м.кв.</t>
  </si>
  <si>
    <t>вес кг/п.м</t>
  </si>
  <si>
    <t xml:space="preserve"> руб/м.кв(окр)</t>
  </si>
  <si>
    <t xml:space="preserve"> руб/м.кв(оц)</t>
  </si>
  <si>
    <t>С-13 0,5мм</t>
  </si>
  <si>
    <t>С-8   0,5 мм</t>
  </si>
  <si>
    <t>С-44  0,5мм</t>
  </si>
  <si>
    <t>С-44  0,7мм</t>
  </si>
  <si>
    <t>Н-60  0,7</t>
  </si>
  <si>
    <t>Н-35  0,7</t>
  </si>
  <si>
    <t>тр кв</t>
  </si>
  <si>
    <t>120*4</t>
  </si>
  <si>
    <t>160*4</t>
  </si>
  <si>
    <t>уголки</t>
  </si>
  <si>
    <t>75*5</t>
  </si>
  <si>
    <t>63*5</t>
  </si>
  <si>
    <t>90*6</t>
  </si>
  <si>
    <t>100*7</t>
  </si>
  <si>
    <t>110*7</t>
  </si>
  <si>
    <t>80*6</t>
  </si>
  <si>
    <t>125*8</t>
  </si>
  <si>
    <t>80*4</t>
  </si>
  <si>
    <t xml:space="preserve"> гор.св/м</t>
  </si>
  <si>
    <t>дл верт св</t>
  </si>
  <si>
    <t>ур. отв</t>
  </si>
  <si>
    <t>Ст.огн.</t>
  </si>
  <si>
    <t>Снег/Ветер :</t>
  </si>
  <si>
    <t>место стр</t>
  </si>
  <si>
    <t>обьект</t>
  </si>
  <si>
    <t>ТЗ №</t>
  </si>
  <si>
    <t>б</t>
  </si>
  <si>
    <t>к</t>
  </si>
  <si>
    <t>р</t>
  </si>
  <si>
    <t>пр</t>
  </si>
  <si>
    <t>с/з</t>
  </si>
  <si>
    <t>нс</t>
  </si>
  <si>
    <t>сс</t>
  </si>
  <si>
    <t>цок</t>
  </si>
  <si>
    <t>Количество распорок из трубы</t>
  </si>
  <si>
    <t>количество рам</t>
  </si>
  <si>
    <t>Средний вес фасонки</t>
  </si>
  <si>
    <t>оц</t>
  </si>
  <si>
    <t>ок</t>
  </si>
  <si>
    <t>4и3</t>
  </si>
  <si>
    <t xml:space="preserve">ГВЛ </t>
  </si>
  <si>
    <t>ГКЛ</t>
  </si>
  <si>
    <t>ГВЛВ</t>
  </si>
  <si>
    <t>Площадь обьекта</t>
  </si>
  <si>
    <t>м/кв</t>
  </si>
  <si>
    <t>Цена м.кв</t>
  </si>
  <si>
    <t>Вес на м.кв</t>
  </si>
  <si>
    <t>р.</t>
  </si>
  <si>
    <t>ок  р/шт</t>
  </si>
  <si>
    <t>оц р/шт</t>
  </si>
  <si>
    <t>п.в,т/п.м</t>
  </si>
  <si>
    <t>140*9</t>
  </si>
  <si>
    <t>вес элемента,кг</t>
  </si>
  <si>
    <t>ТПП 150х1,5</t>
  </si>
  <si>
    <t>Кол.-во рам</t>
  </si>
  <si>
    <t>Выбрать 1или 2</t>
  </si>
  <si>
    <t>Альбом-1</t>
  </si>
  <si>
    <t>Проект-2</t>
  </si>
  <si>
    <t>высота</t>
  </si>
  <si>
    <t>шаг</t>
  </si>
  <si>
    <t>отм низа окна</t>
  </si>
  <si>
    <t>ПШ 61х1</t>
  </si>
  <si>
    <t>ПШ 28х0,7</t>
  </si>
  <si>
    <t>окр</t>
  </si>
  <si>
    <t>Лист 0.7мм оц</t>
  </si>
  <si>
    <t>ПС 50х50 (под гвл)</t>
  </si>
  <si>
    <t>длина</t>
  </si>
  <si>
    <t>Вес фасонок на раму</t>
  </si>
  <si>
    <t>кг</t>
  </si>
  <si>
    <t>М16х50(на раму)</t>
  </si>
  <si>
    <t>Шайба 16 пруж</t>
  </si>
  <si>
    <t>Челябинск</t>
  </si>
  <si>
    <t>вод</t>
  </si>
  <si>
    <t>ПС 145х1,5</t>
  </si>
  <si>
    <t>ПГС-S 300х80х2,5</t>
  </si>
  <si>
    <t>тяж</t>
  </si>
  <si>
    <t>МП 20 0,5мм</t>
  </si>
  <si>
    <t>Перекрытие</t>
  </si>
  <si>
    <t>Перкрытие</t>
  </si>
  <si>
    <t>гл.б</t>
  </si>
  <si>
    <t>вт.б</t>
  </si>
  <si>
    <t>ст</t>
  </si>
  <si>
    <t>С-44 0,7 оц</t>
  </si>
  <si>
    <t>Утепление</t>
  </si>
  <si>
    <t>Изоспан В</t>
  </si>
  <si>
    <t>Саморез 3,5x32(45)</t>
  </si>
  <si>
    <t>Непредвиденные расходы</t>
  </si>
  <si>
    <t>ТПП 110х1,2</t>
  </si>
  <si>
    <t>ТПП 150х1,2</t>
  </si>
  <si>
    <t>Уголок 85x85 наружный (2м)</t>
  </si>
  <si>
    <t>периметр ок</t>
  </si>
  <si>
    <t>СП 80</t>
  </si>
  <si>
    <t>СП 100</t>
  </si>
  <si>
    <t>СП 150</t>
  </si>
  <si>
    <t>СП 120</t>
  </si>
  <si>
    <t>СП 200</t>
  </si>
  <si>
    <t>СП 250</t>
  </si>
  <si>
    <t>вес</t>
  </si>
  <si>
    <t>с\з 5,5х115</t>
  </si>
  <si>
    <t>с\з 5,5х140</t>
  </si>
  <si>
    <t>с\з 5,5х190</t>
  </si>
  <si>
    <t>с\з 5,5х160</t>
  </si>
  <si>
    <t>с\з 5,5х240</t>
  </si>
  <si>
    <t>с\з 5,5х285</t>
  </si>
  <si>
    <t>Пл. перекрытия</t>
  </si>
  <si>
    <t>Расчет условный</t>
  </si>
  <si>
    <t>ПС 145х1,5 водосток</t>
  </si>
  <si>
    <t>Лист пл. оц.1мм</t>
  </si>
  <si>
    <t>Уголок 85x85 наружный (3м)</t>
  </si>
  <si>
    <t>ПФ 0,7мм</t>
  </si>
  <si>
    <t>ПГС-S 300х80х1,5 (09 шаг)</t>
  </si>
  <si>
    <t>МП 20 (0,5)</t>
  </si>
  <si>
    <t>Фронтон</t>
  </si>
  <si>
    <t>ширина</t>
  </si>
  <si>
    <t>Шайба 16</t>
  </si>
  <si>
    <t>Цена р/ м.кв</t>
  </si>
  <si>
    <t>Вес кг/ м.кв</t>
  </si>
  <si>
    <t>ПРОВЕРЬ!</t>
  </si>
  <si>
    <t>антресоль</t>
  </si>
  <si>
    <t>водосток</t>
  </si>
  <si>
    <t xml:space="preserve"> вес фасонок в раме</t>
  </si>
  <si>
    <t>180*5</t>
  </si>
  <si>
    <t>М 16 болт</t>
  </si>
  <si>
    <t>шт/раму</t>
  </si>
  <si>
    <t xml:space="preserve">М 12 болт </t>
  </si>
  <si>
    <t>СП 100мм</t>
  </si>
  <si>
    <t>саморез 5,5х140</t>
  </si>
  <si>
    <t xml:space="preserve">Фанера </t>
  </si>
  <si>
    <t>Воронки вн вод</t>
  </si>
  <si>
    <t>лист пл оц 1мм</t>
  </si>
  <si>
    <t>3сн</t>
  </si>
  <si>
    <t>выс</t>
  </si>
  <si>
    <t xml:space="preserve">4сн </t>
  </si>
  <si>
    <t>5сн</t>
  </si>
  <si>
    <t xml:space="preserve"> (2,5/2,5)</t>
  </si>
  <si>
    <t>(1,5/2,5)</t>
  </si>
  <si>
    <t xml:space="preserve"> (2/2)</t>
  </si>
  <si>
    <t xml:space="preserve"> (1,5/2)</t>
  </si>
  <si>
    <t>(2/2,5)</t>
  </si>
  <si>
    <t xml:space="preserve"> (2,5/3)</t>
  </si>
  <si>
    <t xml:space="preserve"> (2/3)</t>
  </si>
  <si>
    <t>к/б</t>
  </si>
  <si>
    <t>шаг6</t>
  </si>
  <si>
    <t>шаг5</t>
  </si>
  <si>
    <t>3ур</t>
  </si>
  <si>
    <t>2ур</t>
  </si>
  <si>
    <t>Итого перекрытие</t>
  </si>
  <si>
    <t>Итого  перегородки</t>
  </si>
  <si>
    <t>3снег</t>
  </si>
  <si>
    <t>шаг 5</t>
  </si>
  <si>
    <t>4снег</t>
  </si>
  <si>
    <t>шаг4</t>
  </si>
  <si>
    <t>5снег</t>
  </si>
  <si>
    <t>шаг3,5</t>
  </si>
  <si>
    <t>3 снег</t>
  </si>
  <si>
    <t>прогоны</t>
  </si>
  <si>
    <t>до3м</t>
  </si>
  <si>
    <t>6м</t>
  </si>
  <si>
    <t>2/3</t>
  </si>
  <si>
    <t>2,5/3</t>
  </si>
  <si>
    <t>2/2,5</t>
  </si>
  <si>
    <t>кол/б</t>
  </si>
  <si>
    <t>порошек</t>
  </si>
  <si>
    <t>МП 20 0,45</t>
  </si>
  <si>
    <t>НС-35  0,7</t>
  </si>
  <si>
    <t>НС-35  0,5</t>
  </si>
  <si>
    <t xml:space="preserve"> вес фасонок на раму</t>
  </si>
  <si>
    <t>180х5</t>
  </si>
  <si>
    <t>М16 болт</t>
  </si>
  <si>
    <t>шт рама</t>
  </si>
  <si>
    <t>М12 болт</t>
  </si>
  <si>
    <t>шаг 4</t>
  </si>
  <si>
    <t>шаг3</t>
  </si>
  <si>
    <t>шаг2,5</t>
  </si>
  <si>
    <t>4сн</t>
  </si>
  <si>
    <t>3м</t>
  </si>
  <si>
    <t>ГКЛ/ГВЛ</t>
  </si>
  <si>
    <t>Легир Ме -45</t>
  </si>
  <si>
    <t>Лист пл . Оц. 1мм (тяж)</t>
  </si>
  <si>
    <t>МП 20 0,5</t>
  </si>
  <si>
    <t>стойки перег</t>
  </si>
  <si>
    <t>Лист (фасонки)</t>
  </si>
  <si>
    <t>С/П 150</t>
  </si>
  <si>
    <t>Утеплитель</t>
  </si>
  <si>
    <t>С/П 200</t>
  </si>
  <si>
    <t>Саморез 5,5х240</t>
  </si>
  <si>
    <t>ГВЛ на рамы</t>
  </si>
  <si>
    <t>4 снег</t>
  </si>
  <si>
    <t>5 снег</t>
  </si>
  <si>
    <t>шаг прогонов 1,5</t>
  </si>
  <si>
    <t>Прогоны без проц</t>
  </si>
  <si>
    <t>Лист пл. оц. 1мм (тяж)</t>
  </si>
  <si>
    <t>РАСПОРКИ ПГС</t>
  </si>
  <si>
    <t>АС, КМ, КМД</t>
  </si>
  <si>
    <t>АТ</t>
  </si>
  <si>
    <t>Лист пл оц 1мм (тяж)</t>
  </si>
  <si>
    <t>Ферма 14м</t>
  </si>
  <si>
    <t>ГКЛ 12,5</t>
  </si>
  <si>
    <t>Общий периметр</t>
  </si>
  <si>
    <t>цок (100)</t>
  </si>
  <si>
    <t>расчет балки</t>
  </si>
  <si>
    <t>расчет стойки</t>
  </si>
  <si>
    <t>кол*во прогонов</t>
  </si>
  <si>
    <t>пл панели м2</t>
  </si>
  <si>
    <t>БК шнур</t>
  </si>
  <si>
    <t>м,п</t>
  </si>
  <si>
    <t>Расчет условный.</t>
  </si>
  <si>
    <t>Шнур упл</t>
  </si>
  <si>
    <t>м.п</t>
  </si>
  <si>
    <t>Л.Ме/Ст3</t>
  </si>
  <si>
    <t>М16 на раму</t>
  </si>
  <si>
    <t>Ангар</t>
  </si>
  <si>
    <t>ас км кмд</t>
  </si>
  <si>
    <t>С/П</t>
  </si>
  <si>
    <t>ПС 200х65х2 (2,5м)</t>
  </si>
  <si>
    <t>ПС 245х65х2 (3м)</t>
  </si>
  <si>
    <t>Б-К шнур</t>
  </si>
  <si>
    <t>С-18 0,5мм</t>
  </si>
  <si>
    <t>вент. Конька</t>
  </si>
  <si>
    <t>80х3</t>
  </si>
  <si>
    <t>Вес здания</t>
  </si>
  <si>
    <t>Кг</t>
  </si>
  <si>
    <t>Руб</t>
  </si>
  <si>
    <t>Стеновое ограждение</t>
  </si>
  <si>
    <t>Кровельное ограждение</t>
  </si>
  <si>
    <t>ОКНА/ВОРОТА/ДВЕРИ</t>
  </si>
  <si>
    <t>Срок проектных работ (АС,КМ,КМД)</t>
  </si>
  <si>
    <t>Р.Дн.</t>
  </si>
  <si>
    <t>Стоимость проектных работ</t>
  </si>
  <si>
    <t>нет</t>
  </si>
  <si>
    <t>ПС 245х65х1,5</t>
  </si>
  <si>
    <r>
      <t xml:space="preserve">ПС 245х65х1,2 </t>
    </r>
    <r>
      <rPr>
        <b/>
        <sz val="10"/>
        <rFont val="Arial Cyr"/>
        <charset val="204"/>
      </rPr>
      <t>окр.</t>
    </r>
  </si>
  <si>
    <r>
      <t xml:space="preserve">ПС 145х1,5 </t>
    </r>
    <r>
      <rPr>
        <b/>
        <sz val="10"/>
        <rFont val="Arial Cyr"/>
        <charset val="204"/>
      </rPr>
      <t>окр.</t>
    </r>
  </si>
  <si>
    <r>
      <t xml:space="preserve">ПС 145х1,2 </t>
    </r>
    <r>
      <rPr>
        <b/>
        <sz val="10"/>
        <rFont val="Arial Cyr"/>
        <charset val="204"/>
      </rPr>
      <t>окр</t>
    </r>
    <r>
      <rPr>
        <sz val="10"/>
        <rFont val="Arial Cyr"/>
        <charset val="204"/>
      </rPr>
      <t>.</t>
    </r>
  </si>
  <si>
    <t>СП</t>
  </si>
  <si>
    <t xml:space="preserve">ПП150х1,5 </t>
  </si>
  <si>
    <t>У.115 внутр.2м МП</t>
  </si>
  <si>
    <t>У 115 наруж.2м. МП</t>
  </si>
  <si>
    <t>60х3</t>
  </si>
  <si>
    <t>120х3</t>
  </si>
  <si>
    <t xml:space="preserve">Расчет условный! </t>
  </si>
  <si>
    <t>Учтен жб цоколь 500мм</t>
  </si>
  <si>
    <t>ПГС-сигма 300х80х3</t>
  </si>
  <si>
    <t>ПГС -сигма 245х80х2,5</t>
  </si>
  <si>
    <t>Коркино</t>
  </si>
  <si>
    <t>ПС 145х45х1,5</t>
  </si>
  <si>
    <t>390/1,51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</si>
</sst>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р_._-;\-* #,##0.00_р_._-;_-* &quot;-&quot;??_р_._-;_-@_-"/>
    <numFmt numFmtId="165" formatCode="0.0"/>
    <numFmt numFmtId="166" formatCode="#,##0.0"/>
    <numFmt numFmtId="167" formatCode="_-* #,##0_р_._-;\-* #,##0_р_._-;_-* &quot;-&quot;??_р_._-;_-@_-"/>
    <numFmt numFmtId="168" formatCode="#,##0.0_ ;\-#,##0.0\ "/>
    <numFmt numFmtId="169" formatCode="_-* #,##0.0_р_._-;\-* #,##0.0_р_._-;_-* &quot;-&quot;?_р_._-;_-@_-"/>
    <numFmt numFmtId="170" formatCode="_-* #,##0.0_р_._-;\-* #,##0.0_р_._-;_-* &quot;-&quot;??_р_._-;_-@_-"/>
    <numFmt numFmtId="171" formatCode="0.000"/>
  </numFmts>
  <fonts count="3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b/>
      <sz val="12"/>
      <name val="Arial Cyr"/>
      <charset val="204"/>
    </font>
    <font>
      <b/>
      <u/>
      <sz val="10"/>
      <color indexed="10"/>
      <name val="Arial Cyr"/>
      <charset val="204"/>
    </font>
    <font>
      <b/>
      <i/>
      <sz val="9"/>
      <name val="Arial Cyr"/>
      <charset val="204"/>
    </font>
    <font>
      <b/>
      <sz val="10"/>
      <color indexed="10"/>
      <name val="Arial Cyr"/>
      <charset val="204"/>
    </font>
    <font>
      <sz val="12"/>
      <name val="Arial Cyr"/>
      <charset val="204"/>
    </font>
    <font>
      <sz val="10"/>
      <color indexed="10"/>
      <name val="Arial Cyr"/>
      <charset val="204"/>
    </font>
    <font>
      <i/>
      <sz val="10"/>
      <name val="Arial Cyr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name val="Arial Cyr"/>
      <charset val="204"/>
    </font>
    <font>
      <sz val="10"/>
      <color indexed="12"/>
      <name val="Arial Cyr"/>
      <family val="2"/>
      <charset val="204"/>
    </font>
    <font>
      <sz val="10"/>
      <color indexed="57"/>
      <name val="Arial Cyr"/>
      <family val="2"/>
      <charset val="204"/>
    </font>
    <font>
      <sz val="10"/>
      <color rgb="FFFF0000"/>
      <name val="Arial Cyr"/>
      <charset val="204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indexed="12"/>
      <name val="Arial Cyr"/>
      <charset val="204"/>
    </font>
    <font>
      <b/>
      <sz val="10"/>
      <color rgb="FFFF0000"/>
      <name val="Arial Cyr"/>
      <charset val="204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name val="Arial Cyr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0"/>
      <name val="Arial Cyr"/>
      <charset val="204"/>
    </font>
    <font>
      <sz val="10"/>
      <color theme="1"/>
      <name val="Arial Cyr"/>
      <charset val="204"/>
    </font>
    <font>
      <sz val="10"/>
      <name val="Calibri"/>
      <family val="2"/>
      <charset val="204"/>
      <scheme val="minor"/>
    </font>
    <font>
      <sz val="10"/>
      <color theme="0"/>
      <name val="Arial Cyr"/>
      <charset val="204"/>
    </font>
    <font>
      <sz val="10"/>
      <color rgb="FFFF0000"/>
      <name val="Arial Cyr"/>
      <family val="2"/>
      <charset val="204"/>
    </font>
    <font>
      <b/>
      <sz val="11"/>
      <color rgb="FFFF0000"/>
      <name val="Arial Cyr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084">
    <xf numFmtId="0" fontId="0" fillId="0" borderId="0" xfId="0"/>
    <xf numFmtId="0" fontId="0" fillId="0" borderId="0" xfId="0" applyBorder="1"/>
    <xf numFmtId="0" fontId="0" fillId="0" borderId="40" xfId="0" applyBorder="1"/>
    <xf numFmtId="0" fontId="0" fillId="0" borderId="16" xfId="0" applyBorder="1"/>
    <xf numFmtId="0" fontId="0" fillId="0" borderId="16" xfId="0" applyFill="1" applyBorder="1"/>
    <xf numFmtId="0" fontId="4" fillId="0" borderId="0" xfId="0" applyFont="1" applyBorder="1" applyAlignment="1">
      <alignment horizontal="center"/>
    </xf>
    <xf numFmtId="0" fontId="0" fillId="0" borderId="41" xfId="0" applyBorder="1"/>
    <xf numFmtId="0" fontId="0" fillId="0" borderId="41" xfId="0" applyFill="1" applyBorder="1"/>
    <xf numFmtId="0" fontId="0" fillId="0" borderId="0" xfId="0" applyFill="1" applyBorder="1"/>
    <xf numFmtId="0" fontId="0" fillId="0" borderId="12" xfId="0" applyFill="1" applyBorder="1"/>
    <xf numFmtId="0" fontId="0" fillId="0" borderId="9" xfId="0" applyFill="1" applyBorder="1"/>
    <xf numFmtId="3" fontId="0" fillId="0" borderId="16" xfId="0" applyNumberFormat="1" applyFill="1" applyBorder="1"/>
    <xf numFmtId="0" fontId="0" fillId="0" borderId="40" xfId="0" applyFill="1" applyBorder="1"/>
    <xf numFmtId="0" fontId="4" fillId="0" borderId="0" xfId="0" applyFont="1" applyFill="1" applyBorder="1" applyAlignment="1">
      <alignment horizontal="center"/>
    </xf>
    <xf numFmtId="0" fontId="0" fillId="2" borderId="42" xfId="0" applyFill="1" applyBorder="1"/>
    <xf numFmtId="0" fontId="0" fillId="0" borderId="0" xfId="0" applyFill="1"/>
    <xf numFmtId="0" fontId="0" fillId="2" borderId="0" xfId="0" applyFill="1" applyBorder="1"/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right"/>
    </xf>
    <xf numFmtId="0" fontId="9" fillId="0" borderId="0" xfId="0" applyFont="1" applyBorder="1"/>
    <xf numFmtId="0" fontId="4" fillId="0" borderId="0" xfId="0" applyFont="1" applyBorder="1" applyAlignment="1">
      <alignment horizontal="right"/>
    </xf>
    <xf numFmtId="0" fontId="10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0" fontId="2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0" fontId="10" fillId="0" borderId="0" xfId="0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right"/>
    </xf>
    <xf numFmtId="0" fontId="4" fillId="0" borderId="14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right"/>
    </xf>
    <xf numFmtId="0" fontId="4" fillId="0" borderId="9" xfId="0" applyFont="1" applyFill="1" applyBorder="1"/>
    <xf numFmtId="0" fontId="12" fillId="0" borderId="0" xfId="0" applyFont="1" applyFill="1" applyBorder="1" applyAlignment="1"/>
    <xf numFmtId="0" fontId="12" fillId="0" borderId="7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0" fillId="0" borderId="44" xfId="0" applyFill="1" applyBorder="1"/>
    <xf numFmtId="2" fontId="0" fillId="0" borderId="0" xfId="0" applyNumberFormat="1" applyFill="1"/>
    <xf numFmtId="167" fontId="2" fillId="0" borderId="16" xfId="2" applyNumberFormat="1" applyFont="1" applyFill="1" applyBorder="1"/>
    <xf numFmtId="0" fontId="0" fillId="0" borderId="22" xfId="0" applyFill="1" applyBorder="1"/>
    <xf numFmtId="0" fontId="13" fillId="0" borderId="16" xfId="0" applyFont="1" applyFill="1" applyBorder="1" applyAlignment="1">
      <alignment horizontal="left"/>
    </xf>
    <xf numFmtId="0" fontId="2" fillId="0" borderId="0" xfId="0" applyFont="1" applyFill="1"/>
    <xf numFmtId="2" fontId="2" fillId="0" borderId="0" xfId="0" applyNumberFormat="1" applyFont="1" applyFill="1"/>
    <xf numFmtId="0" fontId="0" fillId="0" borderId="0" xfId="0" applyFill="1" applyBorder="1" applyAlignment="1">
      <alignment horizontal="right"/>
    </xf>
    <xf numFmtId="0" fontId="12" fillId="0" borderId="0" xfId="0" applyFont="1" applyFill="1" applyBorder="1" applyAlignment="1">
      <alignment horizontal="center"/>
    </xf>
    <xf numFmtId="167" fontId="12" fillId="0" borderId="0" xfId="2" applyNumberFormat="1" applyFont="1" applyFill="1" applyBorder="1"/>
    <xf numFmtId="167" fontId="0" fillId="0" borderId="0" xfId="0" applyNumberFormat="1" applyFill="1" applyBorder="1"/>
    <xf numFmtId="0" fontId="0" fillId="0" borderId="43" xfId="0" applyFill="1" applyBorder="1"/>
    <xf numFmtId="167" fontId="12" fillId="0" borderId="15" xfId="2" applyNumberFormat="1" applyFont="1" applyFill="1" applyBorder="1"/>
    <xf numFmtId="0" fontId="0" fillId="0" borderId="23" xfId="0" applyFill="1" applyBorder="1"/>
    <xf numFmtId="167" fontId="2" fillId="0" borderId="21" xfId="2" applyNumberFormat="1" applyFont="1" applyFill="1" applyBorder="1"/>
    <xf numFmtId="0" fontId="4" fillId="0" borderId="0" xfId="0" applyFont="1"/>
    <xf numFmtId="0" fontId="0" fillId="0" borderId="48" xfId="0" applyFill="1" applyBorder="1"/>
    <xf numFmtId="0" fontId="0" fillId="0" borderId="28" xfId="0" applyFill="1" applyBorder="1"/>
    <xf numFmtId="2" fontId="0" fillId="0" borderId="0" xfId="0" applyNumberFormat="1" applyFill="1" applyBorder="1"/>
    <xf numFmtId="165" fontId="0" fillId="0" borderId="0" xfId="0" applyNumberFormat="1"/>
    <xf numFmtId="0" fontId="0" fillId="0" borderId="31" xfId="0" applyFill="1" applyBorder="1"/>
    <xf numFmtId="0" fontId="0" fillId="0" borderId="47" xfId="0" applyFill="1" applyBorder="1"/>
    <xf numFmtId="0" fontId="0" fillId="0" borderId="23" xfId="0" applyBorder="1"/>
    <xf numFmtId="0" fontId="0" fillId="0" borderId="22" xfId="0" applyBorder="1"/>
    <xf numFmtId="0" fontId="8" fillId="3" borderId="16" xfId="0" applyFont="1" applyFill="1" applyBorder="1" applyProtection="1">
      <protection locked="0"/>
    </xf>
    <xf numFmtId="0" fontId="8" fillId="3" borderId="0" xfId="0" applyFont="1" applyFill="1" applyBorder="1" applyAlignment="1" applyProtection="1">
      <alignment horizontal="left"/>
      <protection locked="0"/>
    </xf>
    <xf numFmtId="0" fontId="8" fillId="3" borderId="0" xfId="0" applyFont="1" applyFill="1" applyBorder="1" applyAlignment="1" applyProtection="1">
      <alignment horizontal="center"/>
      <protection locked="0"/>
    </xf>
    <xf numFmtId="0" fontId="0" fillId="3" borderId="16" xfId="0" applyFill="1" applyBorder="1"/>
    <xf numFmtId="0" fontId="0" fillId="3" borderId="20" xfId="0" applyFill="1" applyBorder="1"/>
    <xf numFmtId="0" fontId="0" fillId="0" borderId="5" xfId="0" applyFill="1" applyBorder="1"/>
    <xf numFmtId="9" fontId="0" fillId="0" borderId="0" xfId="0" applyNumberFormat="1"/>
    <xf numFmtId="3" fontId="2" fillId="0" borderId="16" xfId="0" applyNumberFormat="1" applyFont="1" applyFill="1" applyBorder="1" applyAlignment="1"/>
    <xf numFmtId="1" fontId="2" fillId="0" borderId="16" xfId="0" applyNumberFormat="1" applyFont="1" applyFill="1" applyBorder="1" applyAlignment="1"/>
    <xf numFmtId="0" fontId="2" fillId="0" borderId="16" xfId="0" applyFont="1" applyFill="1" applyBorder="1"/>
    <xf numFmtId="9" fontId="4" fillId="0" borderId="16" xfId="0" applyNumberFormat="1" applyFont="1" applyFill="1" applyBorder="1"/>
    <xf numFmtId="0" fontId="2" fillId="0" borderId="0" xfId="0" applyFont="1" applyBorder="1" applyAlignment="1">
      <alignment horizontal="center" wrapText="1"/>
    </xf>
    <xf numFmtId="0" fontId="0" fillId="0" borderId="37" xfId="0" applyFill="1" applyBorder="1"/>
    <xf numFmtId="0" fontId="0" fillId="0" borderId="29" xfId="0" applyBorder="1"/>
    <xf numFmtId="0" fontId="0" fillId="0" borderId="35" xfId="0" applyBorder="1"/>
    <xf numFmtId="0" fontId="0" fillId="0" borderId="16" xfId="0" applyFill="1" applyBorder="1" applyAlignment="1">
      <alignment horizontal="left"/>
    </xf>
    <xf numFmtId="3" fontId="0" fillId="0" borderId="23" xfId="0" applyNumberFormat="1" applyFill="1" applyBorder="1"/>
    <xf numFmtId="1" fontId="2" fillId="0" borderId="16" xfId="0" applyNumberFormat="1" applyFont="1" applyFill="1" applyBorder="1"/>
    <xf numFmtId="3" fontId="2" fillId="0" borderId="16" xfId="0" applyNumberFormat="1" applyFont="1" applyFill="1" applyBorder="1"/>
    <xf numFmtId="166" fontId="2" fillId="0" borderId="16" xfId="0" applyNumberFormat="1" applyFont="1" applyFill="1" applyBorder="1"/>
    <xf numFmtId="1" fontId="0" fillId="0" borderId="16" xfId="0" applyNumberFormat="1" applyBorder="1"/>
    <xf numFmtId="0" fontId="12" fillId="0" borderId="0" xfId="0" applyFont="1" applyFill="1" applyBorder="1" applyAlignment="1">
      <alignment horizontal="left"/>
    </xf>
    <xf numFmtId="0" fontId="12" fillId="0" borderId="37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right"/>
    </xf>
    <xf numFmtId="0" fontId="4" fillId="0" borderId="41" xfId="0" applyFont="1" applyFill="1" applyBorder="1"/>
    <xf numFmtId="0" fontId="4" fillId="0" borderId="41" xfId="0" applyFont="1" applyFill="1" applyBorder="1" applyAlignment="1">
      <alignment horizontal="center"/>
    </xf>
    <xf numFmtId="9" fontId="12" fillId="0" borderId="16" xfId="0" applyNumberFormat="1" applyFont="1" applyFill="1" applyBorder="1"/>
    <xf numFmtId="167" fontId="4" fillId="0" borderId="16" xfId="0" applyNumberFormat="1" applyFont="1" applyBorder="1"/>
    <xf numFmtId="3" fontId="4" fillId="0" borderId="16" xfId="0" applyNumberFormat="1" applyFont="1" applyBorder="1" applyAlignment="1">
      <alignment horizontal="center"/>
    </xf>
    <xf numFmtId="166" fontId="2" fillId="0" borderId="23" xfId="2" applyNumberFormat="1" applyFont="1" applyFill="1" applyBorder="1" applyAlignment="1">
      <alignment horizontal="center" vertical="center"/>
    </xf>
    <xf numFmtId="166" fontId="0" fillId="0" borderId="16" xfId="0" applyNumberFormat="1" applyBorder="1"/>
    <xf numFmtId="3" fontId="0" fillId="0" borderId="16" xfId="0" applyNumberFormat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3" fontId="2" fillId="0" borderId="37" xfId="2" applyNumberFormat="1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0" fillId="0" borderId="26" xfId="0" applyBorder="1"/>
    <xf numFmtId="0" fontId="13" fillId="0" borderId="29" xfId="0" applyFont="1" applyFill="1" applyBorder="1" applyAlignment="1">
      <alignment horizontal="center"/>
    </xf>
    <xf numFmtId="166" fontId="0" fillId="0" borderId="22" xfId="0" applyNumberFormat="1" applyBorder="1"/>
    <xf numFmtId="3" fontId="4" fillId="0" borderId="22" xfId="0" applyNumberFormat="1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166" fontId="0" fillId="0" borderId="41" xfId="0" applyNumberFormat="1" applyBorder="1"/>
    <xf numFmtId="3" fontId="0" fillId="0" borderId="41" xfId="0" applyNumberFormat="1" applyBorder="1" applyAlignment="1">
      <alignment horizontal="center"/>
    </xf>
    <xf numFmtId="0" fontId="17" fillId="0" borderId="12" xfId="0" applyFont="1" applyFill="1" applyBorder="1"/>
    <xf numFmtId="3" fontId="4" fillId="0" borderId="12" xfId="2" applyNumberFormat="1" applyFont="1" applyFill="1" applyBorder="1" applyAlignment="1">
      <alignment horizontal="center"/>
    </xf>
    <xf numFmtId="0" fontId="0" fillId="0" borderId="27" xfId="0" applyBorder="1"/>
    <xf numFmtId="0" fontId="2" fillId="0" borderId="35" xfId="0" applyFont="1" applyFill="1" applyBorder="1"/>
    <xf numFmtId="3" fontId="2" fillId="0" borderId="22" xfId="2" applyNumberFormat="1" applyFont="1" applyFill="1" applyBorder="1" applyAlignment="1">
      <alignment horizontal="center"/>
    </xf>
    <xf numFmtId="0" fontId="19" fillId="0" borderId="27" xfId="0" applyFont="1" applyFill="1" applyBorder="1" applyAlignment="1">
      <alignment horizontal="center"/>
    </xf>
    <xf numFmtId="1" fontId="2" fillId="0" borderId="23" xfId="0" applyNumberFormat="1" applyFont="1" applyFill="1" applyBorder="1"/>
    <xf numFmtId="0" fontId="19" fillId="0" borderId="29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167" fontId="4" fillId="0" borderId="22" xfId="2" applyNumberFormat="1" applyFont="1" applyFill="1" applyBorder="1"/>
    <xf numFmtId="1" fontId="2" fillId="0" borderId="41" xfId="0" applyNumberFormat="1" applyFont="1" applyFill="1" applyBorder="1"/>
    <xf numFmtId="0" fontId="18" fillId="0" borderId="27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/>
    </xf>
    <xf numFmtId="0" fontId="18" fillId="0" borderId="35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right"/>
    </xf>
    <xf numFmtId="1" fontId="2" fillId="0" borderId="22" xfId="0" applyNumberFormat="1" applyFont="1" applyFill="1" applyBorder="1"/>
    <xf numFmtId="167" fontId="2" fillId="0" borderId="41" xfId="2" applyNumberFormat="1" applyFont="1" applyFill="1" applyBorder="1"/>
    <xf numFmtId="0" fontId="14" fillId="0" borderId="27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4" fillId="0" borderId="41" xfId="0" applyFont="1" applyFill="1" applyBorder="1" applyAlignment="1">
      <alignment horizontal="left"/>
    </xf>
    <xf numFmtId="0" fontId="12" fillId="0" borderId="37" xfId="0" applyFont="1" applyFill="1" applyBorder="1" applyAlignment="1">
      <alignment horizontal="left" vertical="center" wrapText="1"/>
    </xf>
    <xf numFmtId="165" fontId="2" fillId="0" borderId="16" xfId="0" applyNumberFormat="1" applyFont="1" applyFill="1" applyBorder="1"/>
    <xf numFmtId="165" fontId="2" fillId="0" borderId="16" xfId="2" applyNumberFormat="1" applyFont="1" applyFill="1" applyBorder="1" applyAlignment="1">
      <alignment horizontal="center"/>
    </xf>
    <xf numFmtId="165" fontId="2" fillId="0" borderId="41" xfId="2" applyNumberFormat="1" applyFont="1" applyFill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2" fillId="0" borderId="16" xfId="2" applyNumberFormat="1" applyFont="1" applyFill="1" applyBorder="1" applyAlignment="1" applyProtection="1">
      <alignment horizontal="center"/>
      <protection locked="0"/>
    </xf>
    <xf numFmtId="165" fontId="0" fillId="0" borderId="22" xfId="0" applyNumberFormat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167" fontId="2" fillId="0" borderId="37" xfId="2" applyNumberFormat="1" applyFont="1" applyFill="1" applyBorder="1"/>
    <xf numFmtId="165" fontId="10" fillId="0" borderId="16" xfId="2" applyNumberFormat="1" applyFont="1" applyFill="1" applyBorder="1" applyAlignment="1">
      <alignment horizontal="center"/>
    </xf>
    <xf numFmtId="165" fontId="10" fillId="0" borderId="23" xfId="2" applyNumberFormat="1" applyFont="1" applyFill="1" applyBorder="1" applyAlignment="1">
      <alignment horizontal="center"/>
    </xf>
    <xf numFmtId="166" fontId="10" fillId="0" borderId="16" xfId="2" applyNumberFormat="1" applyFont="1" applyFill="1" applyBorder="1" applyAlignment="1">
      <alignment horizontal="center" vertical="center"/>
    </xf>
    <xf numFmtId="166" fontId="10" fillId="0" borderId="16" xfId="2" applyNumberFormat="1" applyFont="1" applyFill="1" applyBorder="1" applyAlignment="1">
      <alignment horizontal="center"/>
    </xf>
    <xf numFmtId="166" fontId="10" fillId="0" borderId="16" xfId="0" applyNumberFormat="1" applyFont="1" applyFill="1" applyBorder="1" applyAlignment="1">
      <alignment horizontal="center"/>
    </xf>
    <xf numFmtId="166" fontId="10" fillId="0" borderId="23" xfId="0" applyNumberFormat="1" applyFont="1" applyBorder="1" applyAlignment="1">
      <alignment horizontal="center"/>
    </xf>
    <xf numFmtId="166" fontId="10" fillId="0" borderId="16" xfId="0" applyNumberFormat="1" applyFont="1" applyBorder="1" applyAlignment="1">
      <alignment horizontal="center"/>
    </xf>
    <xf numFmtId="0" fontId="0" fillId="0" borderId="24" xfId="0" applyFill="1" applyBorder="1"/>
    <xf numFmtId="167" fontId="2" fillId="0" borderId="36" xfId="2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9" fontId="12" fillId="0" borderId="9" xfId="0" applyNumberFormat="1" applyFont="1" applyFill="1" applyBorder="1"/>
    <xf numFmtId="167" fontId="12" fillId="0" borderId="10" xfId="2" applyNumberFormat="1" applyFont="1" applyFill="1" applyBorder="1"/>
    <xf numFmtId="166" fontId="4" fillId="0" borderId="9" xfId="0" applyNumberFormat="1" applyFont="1" applyFill="1" applyBorder="1"/>
    <xf numFmtId="168" fontId="4" fillId="0" borderId="9" xfId="0" applyNumberFormat="1" applyFont="1" applyFill="1" applyBorder="1"/>
    <xf numFmtId="166" fontId="0" fillId="0" borderId="0" xfId="0" applyNumberFormat="1"/>
    <xf numFmtId="0" fontId="17" fillId="0" borderId="12" xfId="0" applyFont="1" applyFill="1" applyBorder="1" applyAlignment="1">
      <alignment horizontal="left"/>
    </xf>
    <xf numFmtId="9" fontId="17" fillId="0" borderId="12" xfId="0" applyNumberFormat="1" applyFont="1" applyFill="1" applyBorder="1" applyAlignment="1">
      <alignment horizontal="left"/>
    </xf>
    <xf numFmtId="0" fontId="8" fillId="0" borderId="14" xfId="0" applyFont="1" applyFill="1" applyBorder="1" applyAlignment="1" applyProtection="1">
      <alignment horizontal="center"/>
      <protection locked="0"/>
    </xf>
    <xf numFmtId="167" fontId="4" fillId="0" borderId="41" xfId="2" applyNumberFormat="1" applyFont="1" applyFill="1" applyBorder="1"/>
    <xf numFmtId="167" fontId="4" fillId="0" borderId="54" xfId="2" applyNumberFormat="1" applyFont="1" applyFill="1" applyBorder="1"/>
    <xf numFmtId="167" fontId="4" fillId="0" borderId="16" xfId="2" applyNumberFormat="1" applyFont="1" applyFill="1" applyBorder="1"/>
    <xf numFmtId="3" fontId="4" fillId="0" borderId="41" xfId="0" applyNumberFormat="1" applyFont="1" applyBorder="1" applyAlignment="1">
      <alignment horizontal="center"/>
    </xf>
    <xf numFmtId="167" fontId="4" fillId="0" borderId="54" xfId="0" applyNumberFormat="1" applyFont="1" applyBorder="1"/>
    <xf numFmtId="3" fontId="2" fillId="0" borderId="16" xfId="0" applyNumberFormat="1" applyFont="1" applyBorder="1" applyAlignment="1">
      <alignment horizontal="center"/>
    </xf>
    <xf numFmtId="165" fontId="20" fillId="0" borderId="16" xfId="2" applyNumberFormat="1" applyFont="1" applyFill="1" applyBorder="1" applyAlignment="1">
      <alignment horizontal="center"/>
    </xf>
    <xf numFmtId="1" fontId="8" fillId="3" borderId="9" xfId="0" applyNumberFormat="1" applyFont="1" applyFill="1" applyBorder="1" applyAlignment="1">
      <alignment horizontal="center"/>
    </xf>
    <xf numFmtId="0" fontId="0" fillId="0" borderId="16" xfId="0" applyFont="1" applyFill="1" applyBorder="1"/>
    <xf numFmtId="0" fontId="0" fillId="0" borderId="53" xfId="0" applyFill="1" applyBorder="1"/>
    <xf numFmtId="166" fontId="0" fillId="0" borderId="16" xfId="0" applyNumberFormat="1" applyBorder="1" applyAlignment="1">
      <alignment horizontal="center"/>
    </xf>
    <xf numFmtId="0" fontId="13" fillId="0" borderId="12" xfId="0" applyFont="1" applyFill="1" applyBorder="1" applyAlignment="1">
      <alignment horizontal="left"/>
    </xf>
    <xf numFmtId="0" fontId="20" fillId="0" borderId="8" xfId="0" applyFont="1" applyFill="1" applyBorder="1" applyAlignment="1">
      <alignment horizontal="center"/>
    </xf>
    <xf numFmtId="0" fontId="0" fillId="0" borderId="23" xfId="0" applyFont="1" applyFill="1" applyBorder="1"/>
    <xf numFmtId="0" fontId="0" fillId="0" borderId="33" xfId="0" applyFont="1" applyFill="1" applyBorder="1"/>
    <xf numFmtId="0" fontId="0" fillId="0" borderId="8" xfId="0" applyFont="1" applyFill="1" applyBorder="1" applyAlignment="1">
      <alignment horizontal="center"/>
    </xf>
    <xf numFmtId="3" fontId="2" fillId="0" borderId="12" xfId="2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7" xfId="0" applyFont="1" applyFill="1" applyBorder="1" applyAlignment="1">
      <alignment horizontal="left"/>
    </xf>
    <xf numFmtId="1" fontId="0" fillId="0" borderId="37" xfId="0" applyNumberFormat="1" applyFill="1" applyBorder="1"/>
    <xf numFmtId="169" fontId="0" fillId="0" borderId="37" xfId="2" applyNumberFormat="1" applyFont="1" applyFill="1" applyBorder="1"/>
    <xf numFmtId="167" fontId="4" fillId="0" borderId="37" xfId="2" applyNumberFormat="1" applyFont="1" applyFill="1" applyBorder="1"/>
    <xf numFmtId="0" fontId="4" fillId="0" borderId="29" xfId="0" applyFont="1" applyFill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1" fontId="0" fillId="0" borderId="22" xfId="0" applyNumberFormat="1" applyBorder="1"/>
    <xf numFmtId="4" fontId="0" fillId="0" borderId="22" xfId="0" applyNumberFormat="1" applyBorder="1" applyAlignment="1">
      <alignment horizontal="center"/>
    </xf>
    <xf numFmtId="167" fontId="2" fillId="0" borderId="22" xfId="2" applyNumberFormat="1" applyFont="1" applyFill="1" applyBorder="1"/>
    <xf numFmtId="0" fontId="4" fillId="0" borderId="11" xfId="0" applyFont="1" applyFill="1" applyBorder="1" applyAlignment="1">
      <alignment horizontal="center"/>
    </xf>
    <xf numFmtId="9" fontId="12" fillId="0" borderId="12" xfId="0" applyNumberFormat="1" applyFont="1" applyFill="1" applyBorder="1" applyAlignment="1">
      <alignment horizontal="right"/>
    </xf>
    <xf numFmtId="167" fontId="4" fillId="0" borderId="12" xfId="2" applyNumberFormat="1" applyFont="1" applyFill="1" applyBorder="1"/>
    <xf numFmtId="0" fontId="4" fillId="0" borderId="51" xfId="0" applyFont="1" applyFill="1" applyBorder="1" applyAlignment="1">
      <alignment horizontal="center"/>
    </xf>
    <xf numFmtId="0" fontId="0" fillId="4" borderId="0" xfId="0" applyFill="1" applyBorder="1"/>
    <xf numFmtId="0" fontId="2" fillId="4" borderId="0" xfId="0" applyFont="1" applyFill="1" applyBorder="1" applyAlignment="1">
      <alignment wrapText="1"/>
    </xf>
    <xf numFmtId="0" fontId="0" fillId="4" borderId="0" xfId="0" applyFill="1" applyBorder="1" applyAlignment="1"/>
    <xf numFmtId="2" fontId="0" fillId="4" borderId="0" xfId="0" applyNumberFormat="1" applyFill="1" applyBorder="1" applyAlignment="1"/>
    <xf numFmtId="2" fontId="2" fillId="4" borderId="0" xfId="0" applyNumberFormat="1" applyFont="1" applyFill="1" applyBorder="1" applyAlignment="1">
      <alignment horizontal="center" wrapText="1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67" fontId="0" fillId="0" borderId="40" xfId="2" applyNumberFormat="1" applyFont="1" applyFill="1" applyBorder="1"/>
    <xf numFmtId="167" fontId="4" fillId="0" borderId="47" xfId="2" applyNumberFormat="1" applyFont="1" applyFill="1" applyBorder="1"/>
    <xf numFmtId="167" fontId="0" fillId="0" borderId="54" xfId="2" applyNumberFormat="1" applyFont="1" applyFill="1" applyBorder="1"/>
    <xf numFmtId="167" fontId="4" fillId="0" borderId="40" xfId="2" applyNumberFormat="1" applyFont="1" applyFill="1" applyBorder="1"/>
    <xf numFmtId="167" fontId="4" fillId="0" borderId="49" xfId="2" applyNumberFormat="1" applyFont="1" applyFill="1" applyBorder="1"/>
    <xf numFmtId="167" fontId="2" fillId="0" borderId="47" xfId="2" applyNumberFormat="1" applyFont="1" applyFill="1" applyBorder="1"/>
    <xf numFmtId="167" fontId="4" fillId="0" borderId="52" xfId="2" applyNumberFormat="1" applyFont="1" applyFill="1" applyBorder="1"/>
    <xf numFmtId="0" fontId="0" fillId="0" borderId="54" xfId="0" applyBorder="1"/>
    <xf numFmtId="167" fontId="4" fillId="0" borderId="47" xfId="0" applyNumberFormat="1" applyFont="1" applyBorder="1"/>
    <xf numFmtId="167" fontId="4" fillId="0" borderId="40" xfId="0" applyNumberFormat="1" applyFont="1" applyBorder="1"/>
    <xf numFmtId="167" fontId="0" fillId="0" borderId="47" xfId="0" applyNumberFormat="1" applyBorder="1"/>
    <xf numFmtId="167" fontId="0" fillId="0" borderId="52" xfId="0" applyNumberFormat="1" applyFill="1" applyBorder="1"/>
    <xf numFmtId="0" fontId="4" fillId="4" borderId="0" xfId="0" applyFont="1" applyFill="1" applyBorder="1" applyAlignment="1">
      <alignment horizontal="left"/>
    </xf>
    <xf numFmtId="10" fontId="0" fillId="4" borderId="0" xfId="0" applyNumberFormat="1" applyFill="1" applyBorder="1" applyAlignment="1">
      <alignment horizontal="center"/>
    </xf>
    <xf numFmtId="2" fontId="2" fillId="4" borderId="0" xfId="0" applyNumberFormat="1" applyFont="1" applyFill="1" applyBorder="1"/>
    <xf numFmtId="0" fontId="2" fillId="4" borderId="0" xfId="0" applyFont="1" applyFill="1" applyBorder="1" applyAlignment="1">
      <alignment horizontal="center" wrapText="1"/>
    </xf>
    <xf numFmtId="0" fontId="10" fillId="4" borderId="0" xfId="0" applyFont="1" applyFill="1" applyBorder="1"/>
    <xf numFmtId="0" fontId="0" fillId="4" borderId="0" xfId="0" applyFill="1" applyBorder="1" applyAlignment="1">
      <alignment horizontal="right"/>
    </xf>
    <xf numFmtId="2" fontId="2" fillId="4" borderId="0" xfId="0" applyNumberFormat="1" applyFont="1" applyFill="1" applyBorder="1" applyAlignment="1">
      <alignment horizontal="center"/>
    </xf>
    <xf numFmtId="0" fontId="0" fillId="4" borderId="16" xfId="0" applyFill="1" applyBorder="1"/>
    <xf numFmtId="2" fontId="0" fillId="4" borderId="0" xfId="0" applyNumberFormat="1" applyFill="1" applyBorder="1" applyAlignment="1">
      <alignment horizontal="center"/>
    </xf>
    <xf numFmtId="0" fontId="4" fillId="4" borderId="0" xfId="0" applyFont="1" applyFill="1" applyBorder="1"/>
    <xf numFmtId="0" fontId="10" fillId="4" borderId="0" xfId="0" applyFont="1" applyFill="1" applyBorder="1" applyProtection="1">
      <protection locked="0"/>
    </xf>
    <xf numFmtId="1" fontId="0" fillId="4" borderId="0" xfId="0" applyNumberFormat="1" applyFill="1" applyBorder="1"/>
    <xf numFmtId="2" fontId="0" fillId="4" borderId="0" xfId="0" applyNumberFormat="1" applyFill="1" applyBorder="1"/>
    <xf numFmtId="0" fontId="2" fillId="4" borderId="0" xfId="0" applyFont="1" applyFill="1" applyBorder="1" applyAlignment="1"/>
    <xf numFmtId="0" fontId="0" fillId="4" borderId="16" xfId="0" applyFill="1" applyBorder="1" applyAlignment="1">
      <alignment horizontal="center"/>
    </xf>
    <xf numFmtId="0" fontId="0" fillId="4" borderId="16" xfId="0" applyFill="1" applyBorder="1" applyAlignment="1"/>
    <xf numFmtId="0" fontId="4" fillId="4" borderId="16" xfId="0" applyFont="1" applyFill="1" applyBorder="1" applyAlignment="1">
      <alignment horizontal="left"/>
    </xf>
    <xf numFmtId="4" fontId="0" fillId="4" borderId="0" xfId="0" applyNumberFormat="1" applyFill="1" applyBorder="1" applyAlignment="1">
      <alignment horizontal="center"/>
    </xf>
    <xf numFmtId="0" fontId="0" fillId="6" borderId="44" xfId="0" applyFill="1" applyBorder="1" applyAlignment="1">
      <alignment horizontal="left"/>
    </xf>
    <xf numFmtId="0" fontId="0" fillId="7" borderId="44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6" xfId="0" applyFont="1" applyFill="1" applyBorder="1" applyAlignment="1">
      <alignment horizontal="left"/>
    </xf>
    <xf numFmtId="164" fontId="0" fillId="4" borderId="16" xfId="2" applyFont="1" applyFill="1" applyBorder="1"/>
    <xf numFmtId="0" fontId="4" fillId="4" borderId="1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4" fillId="0" borderId="16" xfId="1" applyFont="1" applyBorder="1" applyAlignment="1">
      <alignment horizontal="right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protection locked="0"/>
    </xf>
    <xf numFmtId="0" fontId="0" fillId="8" borderId="0" xfId="0" applyFill="1" applyBorder="1"/>
    <xf numFmtId="0" fontId="4" fillId="4" borderId="16" xfId="0" applyFont="1" applyFill="1" applyBorder="1" applyAlignment="1"/>
    <xf numFmtId="0" fontId="4" fillId="4" borderId="16" xfId="0" applyFont="1" applyFill="1" applyBorder="1"/>
    <xf numFmtId="0" fontId="4" fillId="0" borderId="16" xfId="0" applyFont="1" applyBorder="1"/>
    <xf numFmtId="0" fontId="4" fillId="4" borderId="0" xfId="0" applyFont="1" applyFill="1" applyBorder="1" applyAlignment="1">
      <alignment horizontal="center"/>
    </xf>
    <xf numFmtId="0" fontId="17" fillId="0" borderId="41" xfId="0" applyFont="1" applyFill="1" applyBorder="1"/>
    <xf numFmtId="0" fontId="17" fillId="0" borderId="41" xfId="0" applyFont="1" applyFill="1" applyBorder="1" applyAlignment="1">
      <alignment horizontal="left"/>
    </xf>
    <xf numFmtId="3" fontId="4" fillId="0" borderId="41" xfId="2" applyNumberFormat="1" applyFont="1" applyFill="1" applyBorder="1" applyAlignment="1">
      <alignment horizontal="center"/>
    </xf>
    <xf numFmtId="167" fontId="0" fillId="0" borderId="54" xfId="0" applyNumberFormat="1" applyFill="1" applyBorder="1"/>
    <xf numFmtId="3" fontId="12" fillId="0" borderId="20" xfId="2" applyNumberFormat="1" applyFont="1" applyFill="1" applyBorder="1" applyAlignment="1">
      <alignment horizontal="center"/>
    </xf>
    <xf numFmtId="167" fontId="0" fillId="0" borderId="20" xfId="0" applyNumberFormat="1" applyFill="1" applyBorder="1"/>
    <xf numFmtId="0" fontId="0" fillId="0" borderId="20" xfId="0" applyFont="1" applyFill="1" applyBorder="1" applyAlignment="1">
      <alignment horizontal="right"/>
    </xf>
    <xf numFmtId="0" fontId="0" fillId="0" borderId="20" xfId="0" applyFill="1" applyBorder="1"/>
    <xf numFmtId="0" fontId="0" fillId="0" borderId="52" xfId="0" applyFill="1" applyBorder="1"/>
    <xf numFmtId="0" fontId="0" fillId="3" borderId="12" xfId="0" applyFill="1" applyBorder="1"/>
    <xf numFmtId="0" fontId="0" fillId="3" borderId="9" xfId="0" applyFill="1" applyBorder="1"/>
    <xf numFmtId="4" fontId="0" fillId="4" borderId="16" xfId="0" applyNumberFormat="1" applyFill="1" applyBorder="1"/>
    <xf numFmtId="4" fontId="0" fillId="4" borderId="16" xfId="0" applyNumberFormat="1" applyFill="1" applyBorder="1" applyAlignment="1"/>
    <xf numFmtId="4" fontId="0" fillId="4" borderId="16" xfId="0" applyNumberFormat="1" applyFill="1" applyBorder="1" applyAlignment="1">
      <alignment horizontal="center"/>
    </xf>
    <xf numFmtId="4" fontId="0" fillId="4" borderId="16" xfId="0" applyNumberFormat="1" applyFill="1" applyBorder="1" applyAlignment="1">
      <alignment horizontal="left"/>
    </xf>
    <xf numFmtId="4" fontId="0" fillId="0" borderId="16" xfId="0" applyNumberFormat="1" applyBorder="1" applyAlignment="1">
      <alignment horizontal="right"/>
    </xf>
    <xf numFmtId="4" fontId="0" fillId="4" borderId="16" xfId="0" applyNumberFormat="1" applyFont="1" applyFill="1" applyBorder="1" applyAlignment="1"/>
    <xf numFmtId="4" fontId="0" fillId="4" borderId="16" xfId="0" applyNumberFormat="1" applyFont="1" applyFill="1" applyBorder="1" applyAlignment="1">
      <alignment horizontal="left"/>
    </xf>
    <xf numFmtId="4" fontId="0" fillId="4" borderId="16" xfId="0" applyNumberFormat="1" applyFont="1" applyFill="1" applyBorder="1"/>
    <xf numFmtId="0" fontId="0" fillId="4" borderId="16" xfId="0" applyFont="1" applyFill="1" applyBorder="1"/>
    <xf numFmtId="4" fontId="0" fillId="4" borderId="33" xfId="0" applyNumberFormat="1" applyFill="1" applyBorder="1"/>
    <xf numFmtId="16" fontId="4" fillId="4" borderId="16" xfId="0" applyNumberFormat="1" applyFont="1" applyFill="1" applyBorder="1" applyAlignment="1">
      <alignment horizontal="right"/>
    </xf>
    <xf numFmtId="0" fontId="4" fillId="8" borderId="16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4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2" fontId="0" fillId="0" borderId="40" xfId="0" applyNumberForma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44" xfId="0" applyFill="1" applyBorder="1" applyAlignment="1">
      <alignment horizontal="left" vertical="top"/>
    </xf>
    <xf numFmtId="0" fontId="0" fillId="7" borderId="51" xfId="0" applyFill="1" applyBorder="1" applyAlignment="1">
      <alignment horizontal="left"/>
    </xf>
    <xf numFmtId="0" fontId="0" fillId="4" borderId="41" xfId="0" applyFill="1" applyBorder="1"/>
    <xf numFmtId="167" fontId="0" fillId="0" borderId="49" xfId="2" applyNumberFormat="1" applyFont="1" applyFill="1" applyBorder="1"/>
    <xf numFmtId="167" fontId="0" fillId="0" borderId="16" xfId="2" applyNumberFormat="1" applyFont="1" applyFill="1" applyBorder="1"/>
    <xf numFmtId="0" fontId="0" fillId="9" borderId="16" xfId="0" applyFill="1" applyBorder="1"/>
    <xf numFmtId="0" fontId="4" fillId="9" borderId="16" xfId="0" applyFont="1" applyFill="1" applyBorder="1" applyAlignment="1">
      <alignment horizontal="center"/>
    </xf>
    <xf numFmtId="2" fontId="4" fillId="5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/>
    <xf numFmtId="0" fontId="0" fillId="5" borderId="0" xfId="0" applyFill="1" applyBorder="1" applyAlignment="1">
      <alignment horizontal="center"/>
    </xf>
    <xf numFmtId="0" fontId="0" fillId="4" borderId="0" xfId="0" applyFont="1" applyFill="1" applyBorder="1"/>
    <xf numFmtId="0" fontId="5" fillId="4" borderId="0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center"/>
    </xf>
    <xf numFmtId="0" fontId="0" fillId="5" borderId="16" xfId="0" applyFill="1" applyBorder="1" applyAlignment="1">
      <alignment horizontal="left"/>
    </xf>
    <xf numFmtId="165" fontId="0" fillId="0" borderId="16" xfId="0" applyNumberFormat="1" applyFont="1" applyBorder="1" applyAlignment="1">
      <alignment horizontal="center"/>
    </xf>
    <xf numFmtId="0" fontId="0" fillId="9" borderId="20" xfId="0" applyFill="1" applyBorder="1"/>
    <xf numFmtId="2" fontId="2" fillId="0" borderId="16" xfId="0" applyNumberFormat="1" applyFont="1" applyFill="1" applyBorder="1"/>
    <xf numFmtId="170" fontId="0" fillId="0" borderId="28" xfId="2" applyNumberFormat="1" applyFont="1" applyFill="1" applyBorder="1"/>
    <xf numFmtId="170" fontId="0" fillId="0" borderId="40" xfId="2" applyNumberFormat="1" applyFont="1" applyFill="1" applyBorder="1"/>
    <xf numFmtId="4" fontId="2" fillId="0" borderId="16" xfId="0" applyNumberFormat="1" applyFont="1" applyFill="1" applyBorder="1"/>
    <xf numFmtId="2" fontId="13" fillId="0" borderId="29" xfId="0" applyNumberFormat="1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170" fontId="2" fillId="0" borderId="40" xfId="0" applyNumberFormat="1" applyFont="1" applyBorder="1"/>
    <xf numFmtId="165" fontId="12" fillId="0" borderId="20" xfId="0" applyNumberFormat="1" applyFont="1" applyFill="1" applyBorder="1" applyAlignment="1">
      <alignment horizontal="center"/>
    </xf>
    <xf numFmtId="0" fontId="4" fillId="0" borderId="44" xfId="0" applyFont="1" applyFill="1" applyBorder="1"/>
    <xf numFmtId="0" fontId="4" fillId="5" borderId="44" xfId="0" applyFont="1" applyFill="1" applyBorder="1"/>
    <xf numFmtId="0" fontId="4" fillId="6" borderId="44" xfId="0" applyFont="1" applyFill="1" applyBorder="1" applyAlignment="1">
      <alignment horizontal="left"/>
    </xf>
    <xf numFmtId="0" fontId="4" fillId="7" borderId="44" xfId="0" applyFont="1" applyFill="1" applyBorder="1" applyAlignment="1">
      <alignment horizontal="left"/>
    </xf>
    <xf numFmtId="0" fontId="4" fillId="6" borderId="44" xfId="0" applyFont="1" applyFill="1" applyBorder="1"/>
    <xf numFmtId="0" fontId="0" fillId="0" borderId="0" xfId="0" applyFont="1" applyFill="1"/>
    <xf numFmtId="0" fontId="0" fillId="0" borderId="0" xfId="0" applyFont="1"/>
    <xf numFmtId="2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14" xfId="0" applyFont="1" applyFill="1" applyBorder="1"/>
    <xf numFmtId="0" fontId="0" fillId="0" borderId="0" xfId="0" applyFont="1" applyBorder="1" applyAlignment="1">
      <alignment horizontal="center" vertical="center"/>
    </xf>
    <xf numFmtId="0" fontId="0" fillId="9" borderId="16" xfId="0" applyFont="1" applyFill="1" applyBorder="1"/>
    <xf numFmtId="0" fontId="0" fillId="0" borderId="9" xfId="0" applyFont="1" applyFill="1" applyBorder="1"/>
    <xf numFmtId="0" fontId="0" fillId="4" borderId="0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/>
    </xf>
    <xf numFmtId="0" fontId="0" fillId="4" borderId="16" xfId="0" applyFont="1" applyFill="1" applyBorder="1" applyAlignment="1"/>
    <xf numFmtId="0" fontId="12" fillId="0" borderId="34" xfId="0" applyFont="1" applyFill="1" applyBorder="1" applyAlignment="1">
      <alignment horizontal="center" vertical="center" wrapText="1"/>
    </xf>
    <xf numFmtId="0" fontId="0" fillId="8" borderId="16" xfId="0" applyFont="1" applyFill="1" applyBorder="1" applyAlignment="1">
      <alignment horizontal="center" vertical="center"/>
    </xf>
    <xf numFmtId="1" fontId="0" fillId="0" borderId="23" xfId="0" applyNumberFormat="1" applyFont="1" applyFill="1" applyBorder="1"/>
    <xf numFmtId="165" fontId="0" fillId="0" borderId="23" xfId="2" applyNumberFormat="1" applyFont="1" applyFill="1" applyBorder="1" applyAlignment="1">
      <alignment horizontal="center"/>
    </xf>
    <xf numFmtId="167" fontId="0" fillId="0" borderId="23" xfId="2" applyNumberFormat="1" applyFont="1" applyFill="1" applyBorder="1"/>
    <xf numFmtId="1" fontId="0" fillId="0" borderId="16" xfId="0" applyNumberFormat="1" applyFont="1" applyFill="1" applyBorder="1"/>
    <xf numFmtId="165" fontId="0" fillId="0" borderId="16" xfId="2" applyNumberFormat="1" applyFont="1" applyFill="1" applyBorder="1" applyAlignment="1">
      <alignment horizontal="center"/>
    </xf>
    <xf numFmtId="0" fontId="0" fillId="5" borderId="44" xfId="0" applyFont="1" applyFill="1" applyBorder="1"/>
    <xf numFmtId="0" fontId="0" fillId="6" borderId="44" xfId="0" applyFont="1" applyFill="1" applyBorder="1" applyAlignment="1">
      <alignment horizontal="left"/>
    </xf>
    <xf numFmtId="0" fontId="0" fillId="6" borderId="44" xfId="0" applyFont="1" applyFill="1" applyBorder="1"/>
    <xf numFmtId="4" fontId="0" fillId="0" borderId="16" xfId="0" applyNumberFormat="1" applyFont="1" applyBorder="1"/>
    <xf numFmtId="1" fontId="0" fillId="0" borderId="22" xfId="0" applyNumberFormat="1" applyFont="1" applyFill="1" applyBorder="1"/>
    <xf numFmtId="0" fontId="0" fillId="0" borderId="22" xfId="0" applyFont="1" applyFill="1" applyBorder="1"/>
    <xf numFmtId="165" fontId="0" fillId="0" borderId="22" xfId="2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3" fontId="0" fillId="0" borderId="37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5" fontId="0" fillId="0" borderId="42" xfId="0" applyNumberFormat="1" applyBorder="1"/>
    <xf numFmtId="0" fontId="20" fillId="0" borderId="0" xfId="0" applyFont="1" applyBorder="1"/>
    <xf numFmtId="0" fontId="0" fillId="4" borderId="0" xfId="0" applyFill="1" applyBorder="1" applyAlignment="1">
      <alignment horizontal="center"/>
    </xf>
    <xf numFmtId="0" fontId="0" fillId="4" borderId="40" xfId="0" applyFont="1" applyFill="1" applyBorder="1"/>
    <xf numFmtId="0" fontId="0" fillId="4" borderId="40" xfId="0" applyFont="1" applyFill="1" applyBorder="1" applyAlignment="1">
      <alignment horizontal="right"/>
    </xf>
    <xf numFmtId="0" fontId="0" fillId="0" borderId="40" xfId="0" applyFont="1" applyBorder="1"/>
    <xf numFmtId="0" fontId="21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/>
    </xf>
    <xf numFmtId="9" fontId="21" fillId="4" borderId="0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/>
    </xf>
    <xf numFmtId="9" fontId="21" fillId="4" borderId="0" xfId="0" applyNumberFormat="1" applyFont="1" applyFill="1" applyBorder="1" applyAlignment="1">
      <alignment horizontal="center"/>
    </xf>
    <xf numFmtId="165" fontId="21" fillId="4" borderId="0" xfId="0" applyNumberFormat="1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9" fontId="22" fillId="4" borderId="0" xfId="0" applyNumberFormat="1" applyFont="1" applyFill="1" applyBorder="1" applyAlignment="1">
      <alignment horizontal="center" vertical="center"/>
    </xf>
    <xf numFmtId="165" fontId="22" fillId="4" borderId="0" xfId="0" applyNumberFormat="1" applyFont="1" applyFill="1" applyBorder="1" applyAlignment="1">
      <alignment horizontal="center" vertical="center"/>
    </xf>
    <xf numFmtId="0" fontId="0" fillId="10" borderId="16" xfId="0" applyFill="1" applyBorder="1"/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left"/>
    </xf>
    <xf numFmtId="0" fontId="0" fillId="0" borderId="16" xfId="0" applyFont="1" applyFill="1" applyBorder="1" applyAlignment="1">
      <alignment horizontal="left"/>
    </xf>
    <xf numFmtId="165" fontId="0" fillId="0" borderId="33" xfId="0" applyNumberFormat="1" applyBorder="1" applyAlignment="1">
      <alignment horizontal="center"/>
    </xf>
    <xf numFmtId="0" fontId="0" fillId="0" borderId="33" xfId="0" applyBorder="1"/>
    <xf numFmtId="0" fontId="0" fillId="0" borderId="23" xfId="0" applyFont="1" applyFill="1" applyBorder="1" applyAlignment="1">
      <alignment horizontal="left"/>
    </xf>
    <xf numFmtId="164" fontId="0" fillId="0" borderId="23" xfId="2" applyFont="1" applyBorder="1" applyAlignment="1">
      <alignment horizontal="center"/>
    </xf>
    <xf numFmtId="165" fontId="0" fillId="0" borderId="24" xfId="0" applyNumberFormat="1" applyFont="1" applyBorder="1" applyAlignment="1">
      <alignment horizontal="center"/>
    </xf>
    <xf numFmtId="0" fontId="0" fillId="0" borderId="44" xfId="0" applyBorder="1"/>
    <xf numFmtId="164" fontId="0" fillId="0" borderId="16" xfId="2" applyFont="1" applyBorder="1" applyAlignment="1">
      <alignment horizontal="center"/>
    </xf>
    <xf numFmtId="165" fontId="0" fillId="0" borderId="55" xfId="0" applyNumberFormat="1" applyFont="1" applyBorder="1" applyAlignment="1">
      <alignment horizontal="center"/>
    </xf>
    <xf numFmtId="165" fontId="0" fillId="8" borderId="16" xfId="0" applyNumberForma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0" fillId="4" borderId="0" xfId="0" applyFill="1" applyBorder="1" applyAlignment="1">
      <alignment horizontal="center"/>
    </xf>
    <xf numFmtId="0" fontId="0" fillId="8" borderId="44" xfId="0" applyFill="1" applyBorder="1" applyAlignment="1">
      <alignment horizontal="center" vertical="center"/>
    </xf>
    <xf numFmtId="0" fontId="0" fillId="8" borderId="44" xfId="0" applyFont="1" applyFill="1" applyBorder="1" applyAlignment="1">
      <alignment horizontal="center" vertical="center"/>
    </xf>
    <xf numFmtId="9" fontId="12" fillId="0" borderId="12" xfId="0" applyNumberFormat="1" applyFont="1" applyFill="1" applyBorder="1"/>
    <xf numFmtId="165" fontId="0" fillId="0" borderId="12" xfId="0" applyNumberFormat="1" applyBorder="1" applyAlignment="1">
      <alignment horizontal="center"/>
    </xf>
    <xf numFmtId="167" fontId="2" fillId="0" borderId="12" xfId="2" applyNumberFormat="1" applyFont="1" applyFill="1" applyBorder="1"/>
    <xf numFmtId="167" fontId="0" fillId="0" borderId="52" xfId="2" applyNumberFormat="1" applyFont="1" applyFill="1" applyBorder="1"/>
    <xf numFmtId="167" fontId="2" fillId="0" borderId="23" xfId="2" applyNumberFormat="1" applyFont="1" applyFill="1" applyBorder="1"/>
    <xf numFmtId="167" fontId="2" fillId="0" borderId="24" xfId="2" applyNumberFormat="1" applyFont="1" applyFill="1" applyBorder="1"/>
    <xf numFmtId="167" fontId="2" fillId="0" borderId="55" xfId="2" applyNumberFormat="1" applyFont="1" applyFill="1" applyBorder="1"/>
    <xf numFmtId="167" fontId="0" fillId="0" borderId="55" xfId="2" applyNumberFormat="1" applyFont="1" applyFill="1" applyBorder="1"/>
    <xf numFmtId="165" fontId="10" fillId="0" borderId="22" xfId="2" applyNumberFormat="1" applyFont="1" applyFill="1" applyBorder="1" applyAlignment="1">
      <alignment horizontal="center"/>
    </xf>
    <xf numFmtId="167" fontId="0" fillId="0" borderId="22" xfId="2" applyNumberFormat="1" applyFont="1" applyFill="1" applyBorder="1"/>
    <xf numFmtId="167" fontId="0" fillId="0" borderId="36" xfId="2" applyNumberFormat="1" applyFont="1" applyFill="1" applyBorder="1"/>
    <xf numFmtId="9" fontId="12" fillId="0" borderId="23" xfId="0" applyNumberFormat="1" applyFont="1" applyFill="1" applyBorder="1"/>
    <xf numFmtId="167" fontId="4" fillId="0" borderId="36" xfId="2" applyNumberFormat="1" applyFont="1" applyFill="1" applyBorder="1"/>
    <xf numFmtId="167" fontId="2" fillId="0" borderId="36" xfId="2" applyNumberFormat="1" applyFont="1" applyFill="1" applyBorder="1"/>
    <xf numFmtId="167" fontId="0" fillId="0" borderId="24" xfId="2" applyNumberFormat="1" applyFont="1" applyFill="1" applyBorder="1"/>
    <xf numFmtId="0" fontId="18" fillId="0" borderId="11" xfId="0" applyFont="1" applyFill="1" applyBorder="1" applyAlignment="1">
      <alignment horizontal="center"/>
    </xf>
    <xf numFmtId="0" fontId="13" fillId="0" borderId="16" xfId="0" applyFont="1" applyFill="1" applyBorder="1" applyAlignment="1">
      <alignment horizontal="center"/>
    </xf>
    <xf numFmtId="0" fontId="4" fillId="4" borderId="40" xfId="0" applyFont="1" applyFill="1" applyBorder="1"/>
    <xf numFmtId="4" fontId="0" fillId="4" borderId="40" xfId="0" applyNumberFormat="1" applyFill="1" applyBorder="1"/>
    <xf numFmtId="0" fontId="0" fillId="4" borderId="16" xfId="0" applyFill="1" applyBorder="1" applyAlignment="1">
      <alignment horizontal="center" vertical="center"/>
    </xf>
    <xf numFmtId="0" fontId="0" fillId="4" borderId="16" xfId="0" applyNumberForma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Fill="1" applyBorder="1"/>
    <xf numFmtId="0" fontId="0" fillId="0" borderId="7" xfId="0" applyBorder="1"/>
    <xf numFmtId="166" fontId="0" fillId="0" borderId="7" xfId="0" applyNumberFormat="1" applyBorder="1"/>
    <xf numFmtId="3" fontId="0" fillId="0" borderId="7" xfId="0" applyNumberFormat="1" applyBorder="1" applyAlignment="1">
      <alignment horizontal="center"/>
    </xf>
    <xf numFmtId="0" fontId="0" fillId="0" borderId="56" xfId="0" applyBorder="1"/>
    <xf numFmtId="166" fontId="0" fillId="0" borderId="12" xfId="0" applyNumberFormat="1" applyBorder="1" applyAlignment="1">
      <alignment horizontal="center"/>
    </xf>
    <xf numFmtId="0" fontId="0" fillId="10" borderId="12" xfId="0" applyFont="1" applyFill="1" applyBorder="1"/>
    <xf numFmtId="0" fontId="0" fillId="10" borderId="53" xfId="0" applyFill="1" applyBorder="1"/>
    <xf numFmtId="0" fontId="0" fillId="4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0" fillId="0" borderId="44" xfId="0" applyFont="1" applyFill="1" applyBorder="1"/>
    <xf numFmtId="0" fontId="18" fillId="0" borderId="16" xfId="0" applyFont="1" applyFill="1" applyBorder="1" applyAlignment="1">
      <alignment horizontal="center"/>
    </xf>
    <xf numFmtId="1" fontId="0" fillId="0" borderId="0" xfId="0" applyNumberFormat="1"/>
    <xf numFmtId="167" fontId="0" fillId="0" borderId="28" xfId="2" applyNumberFormat="1" applyFont="1" applyFill="1" applyBorder="1"/>
    <xf numFmtId="0" fontId="0" fillId="4" borderId="16" xfId="0" applyFill="1" applyBorder="1" applyAlignment="1">
      <alignment vertical="center"/>
    </xf>
    <xf numFmtId="0" fontId="20" fillId="4" borderId="16" xfId="0" applyFont="1" applyFill="1" applyBorder="1"/>
    <xf numFmtId="0" fontId="0" fillId="5" borderId="16" xfId="0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0" fillId="4" borderId="1" xfId="0" applyFill="1" applyBorder="1"/>
    <xf numFmtId="0" fontId="13" fillId="0" borderId="27" xfId="0" applyFont="1" applyFill="1" applyBorder="1" applyAlignment="1">
      <alignment horizontal="center"/>
    </xf>
    <xf numFmtId="166" fontId="10" fillId="0" borderId="23" xfId="2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/>
    </xf>
    <xf numFmtId="3" fontId="0" fillId="0" borderId="12" xfId="0" applyNumberFormat="1" applyFill="1" applyBorder="1"/>
    <xf numFmtId="166" fontId="10" fillId="0" borderId="12" xfId="2" applyNumberFormat="1" applyFont="1" applyFill="1" applyBorder="1" applyAlignment="1">
      <alignment horizontal="center" vertical="center"/>
    </xf>
    <xf numFmtId="4" fontId="0" fillId="4" borderId="0" xfId="0" applyNumberFormat="1" applyFill="1" applyBorder="1"/>
    <xf numFmtId="0" fontId="2" fillId="9" borderId="27" xfId="0" applyFont="1" applyFill="1" applyBorder="1"/>
    <xf numFmtId="3" fontId="4" fillId="9" borderId="23" xfId="2" applyNumberFormat="1" applyFont="1" applyFill="1" applyBorder="1" applyAlignment="1">
      <alignment horizontal="center"/>
    </xf>
    <xf numFmtId="167" fontId="0" fillId="9" borderId="24" xfId="0" applyNumberFormat="1" applyFill="1" applyBorder="1"/>
    <xf numFmtId="0" fontId="2" fillId="9" borderId="11" xfId="0" applyFont="1" applyFill="1" applyBorder="1"/>
    <xf numFmtId="0" fontId="2" fillId="9" borderId="12" xfId="0" applyFont="1" applyFill="1" applyBorder="1" applyAlignment="1">
      <alignment horizontal="left"/>
    </xf>
    <xf numFmtId="9" fontId="2" fillId="9" borderId="12" xfId="0" applyNumberFormat="1" applyFont="1" applyFill="1" applyBorder="1" applyAlignment="1">
      <alignment horizontal="left"/>
    </xf>
    <xf numFmtId="3" fontId="4" fillId="9" borderId="12" xfId="2" applyNumberFormat="1" applyFont="1" applyFill="1" applyBorder="1" applyAlignment="1">
      <alignment horizontal="center"/>
    </xf>
    <xf numFmtId="167" fontId="0" fillId="9" borderId="58" xfId="0" applyNumberFormat="1" applyFill="1" applyBorder="1"/>
    <xf numFmtId="0" fontId="2" fillId="9" borderId="39" xfId="0" applyFont="1" applyFill="1" applyBorder="1"/>
    <xf numFmtId="0" fontId="2" fillId="9" borderId="59" xfId="0" applyFont="1" applyFill="1" applyBorder="1" applyAlignment="1">
      <alignment horizontal="left"/>
    </xf>
    <xf numFmtId="3" fontId="4" fillId="9" borderId="59" xfId="2" applyNumberFormat="1" applyFont="1" applyFill="1" applyBorder="1" applyAlignment="1">
      <alignment horizontal="center"/>
    </xf>
    <xf numFmtId="167" fontId="0" fillId="9" borderId="60" xfId="0" applyNumberFormat="1" applyFill="1" applyBorder="1"/>
    <xf numFmtId="0" fontId="2" fillId="8" borderId="53" xfId="0" applyFont="1" applyFill="1" applyBorder="1" applyAlignment="1">
      <alignment horizontal="center" vertical="center"/>
    </xf>
    <xf numFmtId="0" fontId="0" fillId="0" borderId="54" xfId="0" applyFill="1" applyBorder="1"/>
    <xf numFmtId="0" fontId="0" fillId="11" borderId="61" xfId="0" applyFill="1" applyBorder="1"/>
    <xf numFmtId="0" fontId="0" fillId="11" borderId="1" xfId="0" applyFont="1" applyFill="1" applyBorder="1" applyAlignment="1">
      <alignment horizontal="right"/>
    </xf>
    <xf numFmtId="165" fontId="12" fillId="11" borderId="62" xfId="0" applyNumberFormat="1" applyFont="1" applyFill="1" applyBorder="1" applyAlignment="1">
      <alignment horizontal="center"/>
    </xf>
    <xf numFmtId="3" fontId="12" fillId="12" borderId="61" xfId="2" applyNumberFormat="1" applyFont="1" applyFill="1" applyBorder="1" applyAlignment="1">
      <alignment horizontal="center"/>
    </xf>
    <xf numFmtId="167" fontId="0" fillId="12" borderId="62" xfId="0" applyNumberFormat="1" applyFill="1" applyBorder="1"/>
    <xf numFmtId="166" fontId="24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/>
    </xf>
    <xf numFmtId="9" fontId="25" fillId="4" borderId="0" xfId="0" applyNumberFormat="1" applyFont="1" applyFill="1" applyBorder="1" applyAlignment="1">
      <alignment horizontal="center"/>
    </xf>
    <xf numFmtId="0" fontId="0" fillId="0" borderId="14" xfId="0" applyFill="1" applyBorder="1"/>
    <xf numFmtId="0" fontId="0" fillId="0" borderId="0" xfId="0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 wrapText="1"/>
    </xf>
    <xf numFmtId="0" fontId="26" fillId="4" borderId="0" xfId="0" applyFont="1" applyFill="1" applyBorder="1" applyAlignment="1">
      <alignment horizontal="center" vertical="center"/>
    </xf>
    <xf numFmtId="9" fontId="26" fillId="4" borderId="0" xfId="0" applyNumberFormat="1" applyFont="1" applyFill="1" applyBorder="1" applyAlignment="1">
      <alignment horizontal="center" vertical="center"/>
    </xf>
    <xf numFmtId="165" fontId="26" fillId="4" borderId="0" xfId="0" applyNumberFormat="1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 wrapText="1"/>
    </xf>
    <xf numFmtId="0" fontId="4" fillId="0" borderId="16" xfId="0" applyFont="1" applyFill="1" applyBorder="1"/>
    <xf numFmtId="0" fontId="0" fillId="4" borderId="16" xfId="0" applyFont="1" applyFill="1" applyBorder="1" applyAlignment="1">
      <alignment horizontal="right"/>
    </xf>
    <xf numFmtId="0" fontId="0" fillId="5" borderId="16" xfId="0" applyFont="1" applyFill="1" applyBorder="1"/>
    <xf numFmtId="0" fontId="4" fillId="5" borderId="16" xfId="0" applyFont="1" applyFill="1" applyBorder="1"/>
    <xf numFmtId="0" fontId="0" fillId="6" borderId="16" xfId="0" applyFont="1" applyFill="1" applyBorder="1" applyAlignment="1">
      <alignment horizontal="left"/>
    </xf>
    <xf numFmtId="0" fontId="0" fillId="6" borderId="16" xfId="0" applyFont="1" applyFill="1" applyBorder="1"/>
    <xf numFmtId="0" fontId="0" fillId="0" borderId="16" xfId="0" applyFont="1" applyBorder="1"/>
    <xf numFmtId="0" fontId="4" fillId="6" borderId="16" xfId="0" applyFont="1" applyFill="1" applyBorder="1"/>
    <xf numFmtId="1" fontId="0" fillId="0" borderId="40" xfId="0" applyNumberFormat="1" applyBorder="1"/>
    <xf numFmtId="0" fontId="0" fillId="4" borderId="0" xfId="0" applyFill="1" applyBorder="1" applyAlignment="1">
      <alignment horizontal="center"/>
    </xf>
    <xf numFmtId="0" fontId="0" fillId="13" borderId="53" xfId="0" applyFill="1" applyBorder="1"/>
    <xf numFmtId="0" fontId="0" fillId="13" borderId="16" xfId="0" applyFill="1" applyBorder="1"/>
    <xf numFmtId="0" fontId="0" fillId="13" borderId="16" xfId="0" applyFill="1" applyBorder="1" applyAlignment="1">
      <alignment horizontal="center"/>
    </xf>
    <xf numFmtId="0" fontId="0" fillId="9" borderId="0" xfId="0" applyFont="1" applyFill="1"/>
    <xf numFmtId="0" fontId="21" fillId="9" borderId="0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/>
    </xf>
    <xf numFmtId="0" fontId="0" fillId="14" borderId="16" xfId="0" applyFont="1" applyFill="1" applyBorder="1"/>
    <xf numFmtId="0" fontId="28" fillId="14" borderId="0" xfId="0" applyFont="1" applyFill="1"/>
    <xf numFmtId="0" fontId="29" fillId="14" borderId="0" xfId="0" applyFont="1" applyFill="1" applyBorder="1" applyAlignment="1">
      <alignment horizontal="center"/>
    </xf>
    <xf numFmtId="0" fontId="28" fillId="5" borderId="0" xfId="0" applyFont="1" applyFill="1"/>
    <xf numFmtId="0" fontId="29" fillId="5" borderId="0" xfId="0" applyFont="1" applyFill="1" applyBorder="1" applyAlignment="1">
      <alignment horizontal="center"/>
    </xf>
    <xf numFmtId="0" fontId="29" fillId="5" borderId="0" xfId="2" applyNumberFormat="1" applyFont="1" applyFill="1" applyBorder="1" applyAlignment="1">
      <alignment horizontal="center" vertical="center"/>
    </xf>
    <xf numFmtId="0" fontId="28" fillId="9" borderId="0" xfId="0" applyFont="1" applyFill="1"/>
    <xf numFmtId="165" fontId="29" fillId="9" borderId="0" xfId="0" applyNumberFormat="1" applyFont="1" applyFill="1" applyBorder="1" applyAlignment="1">
      <alignment horizontal="center" vertical="center"/>
    </xf>
    <xf numFmtId="0" fontId="4" fillId="4" borderId="33" xfId="0" applyFont="1" applyFill="1" applyBorder="1"/>
    <xf numFmtId="0" fontId="4" fillId="0" borderId="59" xfId="0" applyFont="1" applyFill="1" applyBorder="1" applyAlignment="1">
      <alignment horizontal="right"/>
    </xf>
    <xf numFmtId="1" fontId="2" fillId="0" borderId="59" xfId="0" applyNumberFormat="1" applyFont="1" applyFill="1" applyBorder="1"/>
    <xf numFmtId="0" fontId="0" fillId="0" borderId="59" xfId="0" applyFill="1" applyBorder="1"/>
    <xf numFmtId="165" fontId="0" fillId="0" borderId="59" xfId="0" applyNumberFormat="1" applyBorder="1" applyAlignment="1">
      <alignment horizontal="center"/>
    </xf>
    <xf numFmtId="167" fontId="4" fillId="0" borderId="59" xfId="2" applyNumberFormat="1" applyFont="1" applyFill="1" applyBorder="1"/>
    <xf numFmtId="167" fontId="4" fillId="0" borderId="63" xfId="2" applyNumberFormat="1" applyFont="1" applyFill="1" applyBorder="1"/>
    <xf numFmtId="1" fontId="0" fillId="0" borderId="0" xfId="0" applyNumberFormat="1" applyBorder="1"/>
    <xf numFmtId="0" fontId="4" fillId="0" borderId="64" xfId="0" applyFont="1" applyFill="1" applyBorder="1" applyAlignment="1">
      <alignment horizontal="center"/>
    </xf>
    <xf numFmtId="0" fontId="0" fillId="0" borderId="33" xfId="0" applyFill="1" applyBorder="1"/>
    <xf numFmtId="165" fontId="20" fillId="0" borderId="33" xfId="2" applyNumberFormat="1" applyFont="1" applyFill="1" applyBorder="1" applyAlignment="1">
      <alignment horizontal="center"/>
    </xf>
    <xf numFmtId="167" fontId="2" fillId="0" borderId="33" xfId="2" applyNumberFormat="1" applyFont="1" applyFill="1" applyBorder="1"/>
    <xf numFmtId="0" fontId="18" fillId="0" borderId="33" xfId="0" applyFont="1" applyFill="1" applyBorder="1" applyAlignment="1">
      <alignment horizontal="center"/>
    </xf>
    <xf numFmtId="1" fontId="2" fillId="0" borderId="33" xfId="0" applyNumberFormat="1" applyFont="1" applyFill="1" applyBorder="1"/>
    <xf numFmtId="0" fontId="18" fillId="0" borderId="39" xfId="0" applyFont="1" applyFill="1" applyBorder="1" applyAlignment="1">
      <alignment horizontal="center"/>
    </xf>
    <xf numFmtId="167" fontId="4" fillId="0" borderId="60" xfId="2" applyNumberFormat="1" applyFont="1" applyFill="1" applyBorder="1"/>
    <xf numFmtId="167" fontId="2" fillId="0" borderId="57" xfId="2" applyNumberFormat="1" applyFont="1" applyFill="1" applyBorder="1"/>
    <xf numFmtId="0" fontId="18" fillId="0" borderId="12" xfId="0" applyFont="1" applyFill="1" applyBorder="1" applyAlignment="1">
      <alignment horizontal="center"/>
    </xf>
    <xf numFmtId="0" fontId="0" fillId="0" borderId="12" xfId="0" applyFont="1" applyFill="1" applyBorder="1"/>
    <xf numFmtId="1" fontId="2" fillId="0" borderId="12" xfId="0" applyNumberFormat="1" applyFont="1" applyFill="1" applyBorder="1"/>
    <xf numFmtId="167" fontId="2" fillId="0" borderId="52" xfId="2" applyNumberFormat="1" applyFont="1" applyFill="1" applyBorder="1"/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1" fontId="2" fillId="0" borderId="7" xfId="0" applyNumberFormat="1" applyFont="1" applyFill="1" applyBorder="1"/>
    <xf numFmtId="0" fontId="0" fillId="0" borderId="7" xfId="0" applyFill="1" applyBorder="1"/>
    <xf numFmtId="165" fontId="0" fillId="0" borderId="7" xfId="0" applyNumberFormat="1" applyBorder="1" applyAlignment="1">
      <alignment horizontal="center"/>
    </xf>
    <xf numFmtId="167" fontId="4" fillId="0" borderId="7" xfId="2" applyNumberFormat="1" applyFont="1" applyFill="1" applyBorder="1"/>
    <xf numFmtId="167" fontId="4" fillId="0" borderId="56" xfId="2" applyNumberFormat="1" applyFont="1" applyFill="1" applyBorder="1"/>
    <xf numFmtId="0" fontId="14" fillId="0" borderId="11" xfId="0" applyFont="1" applyFill="1" applyBorder="1" applyAlignment="1">
      <alignment horizontal="center"/>
    </xf>
    <xf numFmtId="0" fontId="0" fillId="0" borderId="66" xfId="0" applyFont="1" applyFill="1" applyBorder="1"/>
    <xf numFmtId="1" fontId="0" fillId="0" borderId="12" xfId="0" applyNumberFormat="1" applyFont="1" applyFill="1" applyBorder="1"/>
    <xf numFmtId="165" fontId="0" fillId="0" borderId="12" xfId="2" applyNumberFormat="1" applyFont="1" applyFill="1" applyBorder="1" applyAlignment="1">
      <alignment horizontal="center"/>
    </xf>
    <xf numFmtId="167" fontId="0" fillId="0" borderId="12" xfId="2" applyNumberFormat="1" applyFont="1" applyFill="1" applyBorder="1"/>
    <xf numFmtId="0" fontId="12" fillId="0" borderId="7" xfId="0" applyFont="1" applyFill="1" applyBorder="1" applyAlignment="1">
      <alignment horizontal="left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/>
    </xf>
    <xf numFmtId="1" fontId="0" fillId="0" borderId="12" xfId="0" applyNumberFormat="1" applyBorder="1"/>
    <xf numFmtId="4" fontId="0" fillId="0" borderId="12" xfId="0" applyNumberFormat="1" applyBorder="1" applyAlignment="1">
      <alignment horizontal="center"/>
    </xf>
    <xf numFmtId="1" fontId="0" fillId="0" borderId="7" xfId="0" applyNumberFormat="1" applyFill="1" applyBorder="1"/>
    <xf numFmtId="169" fontId="0" fillId="0" borderId="7" xfId="2" applyNumberFormat="1" applyFont="1" applyFill="1" applyBorder="1"/>
    <xf numFmtId="0" fontId="4" fillId="0" borderId="27" xfId="0" applyFont="1" applyFill="1" applyBorder="1" applyAlignment="1">
      <alignment horizontal="center"/>
    </xf>
    <xf numFmtId="9" fontId="12" fillId="0" borderId="23" xfId="0" applyNumberFormat="1" applyFont="1" applyFill="1" applyBorder="1" applyAlignment="1">
      <alignment horizontal="right"/>
    </xf>
    <xf numFmtId="169" fontId="2" fillId="0" borderId="23" xfId="2" applyNumberFormat="1" applyFill="1" applyBorder="1"/>
    <xf numFmtId="167" fontId="4" fillId="0" borderId="23" xfId="2" applyNumberFormat="1" applyFont="1" applyFill="1" applyBorder="1"/>
    <xf numFmtId="167" fontId="4" fillId="0" borderId="24" xfId="2" applyNumberFormat="1" applyFont="1" applyFill="1" applyBorder="1"/>
    <xf numFmtId="1" fontId="0" fillId="0" borderId="22" xfId="0" applyNumberFormat="1" applyFill="1" applyBorder="1"/>
    <xf numFmtId="169" fontId="2" fillId="0" borderId="22" xfId="2" applyNumberFormat="1" applyFill="1" applyBorder="1"/>
    <xf numFmtId="0" fontId="13" fillId="0" borderId="64" xfId="0" applyFont="1" applyFill="1" applyBorder="1" applyAlignment="1">
      <alignment horizontal="center"/>
    </xf>
    <xf numFmtId="165" fontId="2" fillId="0" borderId="33" xfId="2" applyNumberFormat="1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167" fontId="0" fillId="0" borderId="23" xfId="0" applyNumberFormat="1" applyBorder="1"/>
    <xf numFmtId="0" fontId="0" fillId="0" borderId="24" xfId="0" applyBorder="1"/>
    <xf numFmtId="167" fontId="4" fillId="0" borderId="22" xfId="0" applyNumberFormat="1" applyFont="1" applyBorder="1"/>
    <xf numFmtId="167" fontId="0" fillId="0" borderId="36" xfId="0" applyNumberFormat="1" applyBorder="1"/>
    <xf numFmtId="4" fontId="2" fillId="0" borderId="33" xfId="0" applyNumberFormat="1" applyFont="1" applyFill="1" applyBorder="1"/>
    <xf numFmtId="0" fontId="0" fillId="0" borderId="33" xfId="0" applyFill="1" applyBorder="1" applyAlignment="1">
      <alignment horizontal="left"/>
    </xf>
    <xf numFmtId="166" fontId="10" fillId="0" borderId="33" xfId="2" applyNumberFormat="1" applyFont="1" applyFill="1" applyBorder="1" applyAlignment="1">
      <alignment horizontal="center"/>
    </xf>
    <xf numFmtId="3" fontId="2" fillId="0" borderId="33" xfId="2" applyNumberFormat="1" applyFont="1" applyFill="1" applyBorder="1" applyAlignment="1">
      <alignment horizontal="center"/>
    </xf>
    <xf numFmtId="170" fontId="0" fillId="0" borderId="57" xfId="2" applyNumberFormat="1" applyFont="1" applyFill="1" applyBorder="1"/>
    <xf numFmtId="0" fontId="2" fillId="0" borderId="23" xfId="0" applyFont="1" applyFill="1" applyBorder="1"/>
    <xf numFmtId="9" fontId="4" fillId="0" borderId="23" xfId="0" applyNumberFormat="1" applyFont="1" applyFill="1" applyBorder="1"/>
    <xf numFmtId="166" fontId="0" fillId="0" borderId="23" xfId="0" applyNumberFormat="1" applyBorder="1"/>
    <xf numFmtId="3" fontId="0" fillId="0" borderId="23" xfId="0" applyNumberFormat="1" applyBorder="1" applyAlignment="1">
      <alignment horizontal="center"/>
    </xf>
    <xf numFmtId="167" fontId="4" fillId="0" borderId="36" xfId="0" applyNumberFormat="1" applyFont="1" applyBorder="1"/>
    <xf numFmtId="0" fontId="13" fillId="0" borderId="33" xfId="0" applyFont="1" applyFill="1" applyBorder="1" applyAlignment="1">
      <alignment horizontal="left"/>
    </xf>
    <xf numFmtId="166" fontId="10" fillId="0" borderId="33" xfId="0" applyNumberFormat="1" applyFont="1" applyFill="1" applyBorder="1" applyAlignment="1">
      <alignment horizontal="center"/>
    </xf>
    <xf numFmtId="167" fontId="0" fillId="0" borderId="33" xfId="2" applyNumberFormat="1" applyFont="1" applyFill="1" applyBorder="1"/>
    <xf numFmtId="3" fontId="2" fillId="0" borderId="23" xfId="2" applyNumberFormat="1" applyFont="1" applyFill="1" applyBorder="1" applyAlignment="1">
      <alignment horizontal="center"/>
    </xf>
    <xf numFmtId="1" fontId="2" fillId="0" borderId="33" xfId="0" applyNumberFormat="1" applyFont="1" applyFill="1" applyBorder="1" applyAlignment="1"/>
    <xf numFmtId="0" fontId="0" fillId="0" borderId="66" xfId="0" applyFill="1" applyBorder="1"/>
    <xf numFmtId="3" fontId="2" fillId="0" borderId="12" xfId="0" applyNumberFormat="1" applyFont="1" applyBorder="1" applyAlignment="1">
      <alignment horizontal="center"/>
    </xf>
    <xf numFmtId="170" fontId="2" fillId="0" borderId="52" xfId="0" applyNumberFormat="1" applyFont="1" applyBorder="1"/>
    <xf numFmtId="3" fontId="4" fillId="0" borderId="7" xfId="0" applyNumberFormat="1" applyFont="1" applyBorder="1" applyAlignment="1">
      <alignment horizontal="center"/>
    </xf>
    <xf numFmtId="167" fontId="4" fillId="0" borderId="56" xfId="0" applyNumberFormat="1" applyFont="1" applyBorder="1"/>
    <xf numFmtId="166" fontId="0" fillId="0" borderId="33" xfId="0" applyNumberFormat="1" applyBorder="1" applyAlignment="1">
      <alignment horizontal="center"/>
    </xf>
    <xf numFmtId="3" fontId="2" fillId="0" borderId="33" xfId="0" applyNumberFormat="1" applyFont="1" applyBorder="1" applyAlignment="1">
      <alignment horizontal="center"/>
    </xf>
    <xf numFmtId="170" fontId="2" fillId="0" borderId="57" xfId="0" applyNumberFormat="1" applyFont="1" applyBorder="1"/>
    <xf numFmtId="3" fontId="2" fillId="0" borderId="23" xfId="0" applyNumberFormat="1" applyFont="1" applyBorder="1" applyAlignment="1">
      <alignment horizontal="center"/>
    </xf>
    <xf numFmtId="167" fontId="2" fillId="0" borderId="24" xfId="0" applyNumberFormat="1" applyFont="1" applyBorder="1"/>
    <xf numFmtId="0" fontId="2" fillId="0" borderId="39" xfId="0" applyFont="1" applyFill="1" applyBorder="1"/>
    <xf numFmtId="167" fontId="0" fillId="0" borderId="63" xfId="0" applyNumberFormat="1" applyBorder="1"/>
    <xf numFmtId="1" fontId="0" fillId="0" borderId="24" xfId="0" applyNumberFormat="1" applyBorder="1" applyAlignment="1">
      <alignment horizontal="center"/>
    </xf>
    <xf numFmtId="3" fontId="4" fillId="0" borderId="59" xfId="2" applyNumberFormat="1" applyFont="1" applyFill="1" applyBorder="1" applyAlignment="1">
      <alignment horizontal="center"/>
    </xf>
    <xf numFmtId="0" fontId="0" fillId="15" borderId="16" xfId="0" applyFill="1" applyBorder="1"/>
    <xf numFmtId="0" fontId="0" fillId="16" borderId="16" xfId="0" applyFill="1" applyBorder="1"/>
    <xf numFmtId="0" fontId="0" fillId="15" borderId="53" xfId="0" applyFill="1" applyBorder="1"/>
    <xf numFmtId="0" fontId="4" fillId="0" borderId="54" xfId="0" applyFont="1" applyBorder="1" applyAlignment="1">
      <alignment horizontal="center"/>
    </xf>
    <xf numFmtId="0" fontId="0" fillId="15" borderId="41" xfId="0" applyFill="1" applyBorder="1"/>
    <xf numFmtId="166" fontId="2" fillId="0" borderId="41" xfId="0" applyNumberFormat="1" applyFont="1" applyFill="1" applyBorder="1"/>
    <xf numFmtId="166" fontId="10" fillId="0" borderId="41" xfId="0" applyNumberFormat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4" fillId="0" borderId="6" xfId="0" applyFont="1" applyFill="1" applyBorder="1"/>
    <xf numFmtId="0" fontId="0" fillId="15" borderId="12" xfId="0" applyFill="1" applyBorder="1"/>
    <xf numFmtId="166" fontId="2" fillId="0" borderId="12" xfId="0" applyNumberFormat="1" applyFont="1" applyFill="1" applyBorder="1"/>
    <xf numFmtId="0" fontId="0" fillId="0" borderId="12" xfId="0" applyFill="1" applyBorder="1" applyAlignment="1">
      <alignment horizontal="left"/>
    </xf>
    <xf numFmtId="166" fontId="10" fillId="0" borderId="12" xfId="2" applyNumberFormat="1" applyFont="1" applyFill="1" applyBorder="1" applyAlignment="1">
      <alignment horizontal="center"/>
    </xf>
    <xf numFmtId="0" fontId="2" fillId="4" borderId="16" xfId="0" applyFont="1" applyFill="1" applyBorder="1" applyAlignment="1">
      <alignment wrapText="1"/>
    </xf>
    <xf numFmtId="0" fontId="0" fillId="4" borderId="16" xfId="0" applyFont="1" applyFill="1" applyBorder="1" applyAlignment="1">
      <alignment wrapText="1"/>
    </xf>
    <xf numFmtId="0" fontId="1" fillId="4" borderId="16" xfId="0" applyFont="1" applyFill="1" applyBorder="1" applyAlignment="1">
      <alignment horizontal="left" vertical="center"/>
    </xf>
    <xf numFmtId="0" fontId="2" fillId="16" borderId="16" xfId="0" applyFont="1" applyFill="1" applyBorder="1" applyAlignment="1">
      <alignment wrapText="1"/>
    </xf>
    <xf numFmtId="0" fontId="0" fillId="16" borderId="16" xfId="0" applyFont="1" applyFill="1" applyBorder="1"/>
    <xf numFmtId="0" fontId="21" fillId="4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/>
    </xf>
    <xf numFmtId="49" fontId="21" fillId="4" borderId="16" xfId="0" applyNumberFormat="1" applyFont="1" applyFill="1" applyBorder="1" applyAlignment="1">
      <alignment horizontal="center"/>
    </xf>
    <xf numFmtId="165" fontId="21" fillId="4" borderId="16" xfId="0" applyNumberFormat="1" applyFont="1" applyFill="1" applyBorder="1" applyAlignment="1">
      <alignment horizontal="center" vertical="center"/>
    </xf>
    <xf numFmtId="49" fontId="21" fillId="4" borderId="16" xfId="2" applyNumberFormat="1" applyFont="1" applyFill="1" applyBorder="1" applyAlignment="1">
      <alignment horizontal="center" vertical="center"/>
    </xf>
    <xf numFmtId="49" fontId="21" fillId="4" borderId="16" xfId="0" applyNumberFormat="1" applyFont="1" applyFill="1" applyBorder="1" applyAlignment="1">
      <alignment horizontal="center" vertical="center"/>
    </xf>
    <xf numFmtId="165" fontId="21" fillId="10" borderId="16" xfId="0" applyNumberFormat="1" applyFont="1" applyFill="1" applyBorder="1" applyAlignment="1">
      <alignment horizontal="center" vertical="center"/>
    </xf>
    <xf numFmtId="0" fontId="21" fillId="10" borderId="16" xfId="0" applyFont="1" applyFill="1" applyBorder="1" applyAlignment="1">
      <alignment horizontal="center" vertical="center"/>
    </xf>
    <xf numFmtId="49" fontId="21" fillId="10" borderId="16" xfId="0" applyNumberFormat="1" applyFont="1" applyFill="1" applyBorder="1" applyAlignment="1">
      <alignment horizontal="center" vertical="center"/>
    </xf>
    <xf numFmtId="0" fontId="21" fillId="10" borderId="16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42" xfId="0" applyFont="1" applyFill="1" applyBorder="1"/>
    <xf numFmtId="0" fontId="0" fillId="0" borderId="0" xfId="0" applyFont="1" applyBorder="1" applyAlignment="1">
      <alignment horizontal="center" wrapText="1"/>
    </xf>
    <xf numFmtId="0" fontId="0" fillId="2" borderId="0" xfId="0" applyFont="1" applyFill="1" applyBorder="1" applyAlignment="1">
      <alignment horizontal="left" vertical="top"/>
    </xf>
    <xf numFmtId="0" fontId="0" fillId="2" borderId="0" xfId="0" applyFont="1" applyFill="1" applyBorder="1"/>
    <xf numFmtId="0" fontId="0" fillId="4" borderId="0" xfId="0" applyFont="1" applyFill="1" applyBorder="1" applyAlignment="1">
      <alignment wrapText="1"/>
    </xf>
    <xf numFmtId="0" fontId="0" fillId="4" borderId="0" xfId="0" applyFont="1" applyFill="1" applyBorder="1" applyAlignment="1"/>
    <xf numFmtId="0" fontId="0" fillId="2" borderId="44" xfId="0" applyFont="1" applyFill="1" applyBorder="1" applyAlignment="1">
      <alignment horizontal="left" vertical="top"/>
    </xf>
    <xf numFmtId="2" fontId="0" fillId="4" borderId="0" xfId="0" applyNumberFormat="1" applyFont="1" applyFill="1" applyBorder="1" applyAlignment="1"/>
    <xf numFmtId="2" fontId="0" fillId="4" borderId="0" xfId="0" applyNumberFormat="1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/>
    </xf>
    <xf numFmtId="0" fontId="4" fillId="4" borderId="0" xfId="0" applyFont="1" applyFill="1" applyBorder="1" applyAlignment="1" applyProtection="1">
      <alignment horizontal="center"/>
      <protection locked="0"/>
    </xf>
    <xf numFmtId="0" fontId="0" fillId="0" borderId="0" xfId="0" applyFont="1" applyBorder="1"/>
    <xf numFmtId="0" fontId="0" fillId="0" borderId="0" xfId="0" applyFont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8" borderId="0" xfId="0" applyFont="1" applyFill="1" applyBorder="1"/>
    <xf numFmtId="0" fontId="0" fillId="5" borderId="0" xfId="0" applyFont="1" applyFill="1" applyBorder="1" applyAlignment="1">
      <alignment horizontal="center"/>
    </xf>
    <xf numFmtId="1" fontId="0" fillId="0" borderId="41" xfId="0" applyNumberFormat="1" applyFont="1" applyFill="1" applyBorder="1"/>
    <xf numFmtId="0" fontId="0" fillId="0" borderId="41" xfId="0" applyFont="1" applyFill="1" applyBorder="1"/>
    <xf numFmtId="165" fontId="0" fillId="0" borderId="41" xfId="2" applyNumberFormat="1" applyFont="1" applyFill="1" applyBorder="1" applyAlignment="1">
      <alignment horizontal="center"/>
    </xf>
    <xf numFmtId="167" fontId="0" fillId="0" borderId="41" xfId="2" applyNumberFormat="1" applyFont="1" applyFill="1" applyBorder="1"/>
    <xf numFmtId="0" fontId="0" fillId="0" borderId="42" xfId="0" applyFont="1" applyBorder="1"/>
    <xf numFmtId="0" fontId="0" fillId="0" borderId="37" xfId="0" applyFont="1" applyFill="1" applyBorder="1"/>
    <xf numFmtId="165" fontId="0" fillId="0" borderId="23" xfId="0" applyNumberFormat="1" applyFont="1" applyBorder="1" applyAlignment="1">
      <alignment horizontal="center"/>
    </xf>
    <xf numFmtId="167" fontId="0" fillId="0" borderId="37" xfId="2" applyNumberFormat="1" applyFont="1" applyFill="1" applyBorder="1"/>
    <xf numFmtId="1" fontId="0" fillId="0" borderId="16" xfId="0" applyNumberFormat="1" applyFont="1" applyBorder="1"/>
    <xf numFmtId="0" fontId="4" fillId="7" borderId="16" xfId="0" applyFont="1" applyFill="1" applyBorder="1" applyAlignment="1">
      <alignment horizontal="left"/>
    </xf>
    <xf numFmtId="165" fontId="0" fillId="0" borderId="16" xfId="2" applyNumberFormat="1" applyFont="1" applyFill="1" applyBorder="1" applyAlignment="1" applyProtection="1">
      <alignment horizontal="center"/>
      <protection locked="0"/>
    </xf>
    <xf numFmtId="0" fontId="0" fillId="7" borderId="44" xfId="0" applyFont="1" applyFill="1" applyBorder="1" applyAlignment="1">
      <alignment horizontal="left"/>
    </xf>
    <xf numFmtId="0" fontId="0" fillId="7" borderId="51" xfId="0" applyFont="1" applyFill="1" applyBorder="1" applyAlignment="1">
      <alignment horizontal="left"/>
    </xf>
    <xf numFmtId="0" fontId="0" fillId="4" borderId="41" xfId="0" applyFont="1" applyFill="1" applyBorder="1"/>
    <xf numFmtId="1" fontId="0" fillId="0" borderId="0" xfId="0" applyNumberFormat="1" applyFont="1"/>
    <xf numFmtId="0" fontId="0" fillId="5" borderId="16" xfId="0" applyFont="1" applyFill="1" applyBorder="1" applyAlignment="1">
      <alignment horizontal="left"/>
    </xf>
    <xf numFmtId="165" fontId="0" fillId="0" borderId="22" xfId="0" applyNumberFormat="1" applyFont="1" applyBorder="1" applyAlignment="1">
      <alignment horizontal="center"/>
    </xf>
    <xf numFmtId="0" fontId="0" fillId="4" borderId="33" xfId="0" applyFont="1" applyFill="1" applyBorder="1" applyAlignment="1">
      <alignment horizontal="center"/>
    </xf>
    <xf numFmtId="165" fontId="0" fillId="0" borderId="41" xfId="0" applyNumberFormat="1" applyFont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0" borderId="12" xfId="0" applyFont="1" applyBorder="1"/>
    <xf numFmtId="4" fontId="0" fillId="0" borderId="16" xfId="0" applyNumberFormat="1" applyFont="1" applyBorder="1" applyAlignment="1">
      <alignment horizontal="right"/>
    </xf>
    <xf numFmtId="1" fontId="0" fillId="0" borderId="37" xfId="0" applyNumberFormat="1" applyFont="1" applyFill="1" applyBorder="1"/>
    <xf numFmtId="4" fontId="0" fillId="0" borderId="16" xfId="0" applyNumberFormat="1" applyFont="1" applyBorder="1" applyAlignment="1">
      <alignment horizontal="center"/>
    </xf>
    <xf numFmtId="0" fontId="0" fillId="9" borderId="20" xfId="0" applyFont="1" applyFill="1" applyBorder="1"/>
    <xf numFmtId="2" fontId="0" fillId="4" borderId="0" xfId="0" applyNumberFormat="1" applyFont="1" applyFill="1" applyBorder="1" applyAlignment="1">
      <alignment horizontal="center"/>
    </xf>
    <xf numFmtId="0" fontId="0" fillId="0" borderId="31" xfId="0" applyFont="1" applyFill="1" applyBorder="1"/>
    <xf numFmtId="1" fontId="0" fillId="0" borderId="22" xfId="0" applyNumberFormat="1" applyFont="1" applyBorder="1"/>
    <xf numFmtId="167" fontId="0" fillId="0" borderId="47" xfId="2" applyNumberFormat="1" applyFont="1" applyFill="1" applyBorder="1"/>
    <xf numFmtId="169" fontId="0" fillId="0" borderId="12" xfId="2" applyNumberFormat="1" applyFont="1" applyFill="1" applyBorder="1"/>
    <xf numFmtId="169" fontId="0" fillId="0" borderId="16" xfId="2" applyNumberFormat="1" applyFont="1" applyFill="1" applyBorder="1"/>
    <xf numFmtId="0" fontId="0" fillId="0" borderId="41" xfId="0" applyFont="1" applyBorder="1"/>
    <xf numFmtId="0" fontId="0" fillId="0" borderId="54" xfId="0" applyFont="1" applyBorder="1"/>
    <xf numFmtId="0" fontId="0" fillId="4" borderId="0" xfId="0" applyFont="1" applyFill="1" applyBorder="1" applyAlignment="1">
      <alignment horizontal="right"/>
    </xf>
    <xf numFmtId="165" fontId="0" fillId="0" borderId="16" xfId="0" applyNumberFormat="1" applyFont="1" applyFill="1" applyBorder="1"/>
    <xf numFmtId="0" fontId="0" fillId="0" borderId="29" xfId="0" applyFont="1" applyBorder="1"/>
    <xf numFmtId="167" fontId="0" fillId="0" borderId="16" xfId="0" applyNumberFormat="1" applyFont="1" applyBorder="1"/>
    <xf numFmtId="167" fontId="0" fillId="0" borderId="40" xfId="0" applyNumberFormat="1" applyFont="1" applyBorder="1"/>
    <xf numFmtId="0" fontId="0" fillId="0" borderId="26" xfId="0" applyFont="1" applyBorder="1"/>
    <xf numFmtId="3" fontId="0" fillId="0" borderId="23" xfId="0" applyNumberFormat="1" applyFont="1" applyFill="1" applyBorder="1"/>
    <xf numFmtId="166" fontId="0" fillId="0" borderId="23" xfId="2" applyNumberFormat="1" applyFont="1" applyFill="1" applyBorder="1" applyAlignment="1">
      <alignment horizontal="center" vertical="center"/>
    </xf>
    <xf numFmtId="3" fontId="0" fillId="0" borderId="37" xfId="2" applyNumberFormat="1" applyFont="1" applyFill="1" applyBorder="1" applyAlignment="1">
      <alignment horizontal="center"/>
    </xf>
    <xf numFmtId="3" fontId="0" fillId="0" borderId="16" xfId="0" applyNumberFormat="1" applyFont="1" applyFill="1" applyBorder="1"/>
    <xf numFmtId="3" fontId="0" fillId="0" borderId="16" xfId="2" applyNumberFormat="1" applyFont="1" applyFill="1" applyBorder="1" applyAlignment="1">
      <alignment horizontal="center"/>
    </xf>
    <xf numFmtId="0" fontId="0" fillId="5" borderId="16" xfId="0" applyFont="1" applyFill="1" applyBorder="1" applyAlignment="1">
      <alignment horizontal="center"/>
    </xf>
    <xf numFmtId="4" fontId="0" fillId="0" borderId="16" xfId="0" applyNumberFormat="1" applyFont="1" applyFill="1" applyBorder="1"/>
    <xf numFmtId="166" fontId="0" fillId="0" borderId="16" xfId="0" applyNumberFormat="1" applyFont="1" applyBorder="1"/>
    <xf numFmtId="3" fontId="0" fillId="0" borderId="16" xfId="0" applyNumberFormat="1" applyFont="1" applyBorder="1" applyAlignment="1">
      <alignment horizontal="center"/>
    </xf>
    <xf numFmtId="0" fontId="0" fillId="0" borderId="35" xfId="0" applyFont="1" applyBorder="1"/>
    <xf numFmtId="0" fontId="0" fillId="0" borderId="22" xfId="0" applyFont="1" applyBorder="1"/>
    <xf numFmtId="166" fontId="0" fillId="0" borderId="22" xfId="0" applyNumberFormat="1" applyFont="1" applyBorder="1"/>
    <xf numFmtId="166" fontId="0" fillId="0" borderId="41" xfId="0" applyNumberFormat="1" applyFont="1" applyBorder="1"/>
    <xf numFmtId="3" fontId="0" fillId="0" borderId="41" xfId="0" applyNumberFormat="1" applyFont="1" applyBorder="1" applyAlignment="1">
      <alignment horizontal="center"/>
    </xf>
    <xf numFmtId="3" fontId="0" fillId="0" borderId="12" xfId="0" applyNumberFormat="1" applyFont="1" applyFill="1" applyBorder="1"/>
    <xf numFmtId="166" fontId="0" fillId="0" borderId="16" xfId="0" applyNumberFormat="1" applyFont="1" applyFill="1" applyBorder="1"/>
    <xf numFmtId="10" fontId="0" fillId="4" borderId="0" xfId="0" applyNumberFormat="1" applyFont="1" applyFill="1" applyBorder="1" applyAlignment="1">
      <alignment horizontal="center"/>
    </xf>
    <xf numFmtId="0" fontId="0" fillId="0" borderId="53" xfId="0" applyFont="1" applyFill="1" applyBorder="1"/>
    <xf numFmtId="0" fontId="0" fillId="0" borderId="40" xfId="0" applyFont="1" applyFill="1" applyBorder="1"/>
    <xf numFmtId="3" fontId="0" fillId="0" borderId="16" xfId="0" applyNumberFormat="1" applyFont="1" applyFill="1" applyBorder="1" applyAlignment="1"/>
    <xf numFmtId="1" fontId="0" fillId="0" borderId="16" xfId="0" applyNumberFormat="1" applyFont="1" applyFill="1" applyBorder="1" applyAlignment="1"/>
    <xf numFmtId="166" fontId="0" fillId="0" borderId="16" xfId="0" applyNumberFormat="1" applyFont="1" applyBorder="1" applyAlignment="1">
      <alignment horizontal="center"/>
    </xf>
    <xf numFmtId="170" fontId="0" fillId="0" borderId="40" xfId="0" applyNumberFormat="1" applyFont="1" applyBorder="1"/>
    <xf numFmtId="0" fontId="0" fillId="0" borderId="27" xfId="0" applyFont="1" applyBorder="1"/>
    <xf numFmtId="0" fontId="0" fillId="0" borderId="23" xfId="0" applyFont="1" applyBorder="1"/>
    <xf numFmtId="0" fontId="0" fillId="0" borderId="11" xfId="0" applyFont="1" applyBorder="1"/>
    <xf numFmtId="166" fontId="10" fillId="0" borderId="12" xfId="0" applyNumberFormat="1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1" fontId="0" fillId="0" borderId="40" xfId="0" applyNumberFormat="1" applyFont="1" applyBorder="1"/>
    <xf numFmtId="0" fontId="0" fillId="0" borderId="35" xfId="0" applyFont="1" applyFill="1" applyBorder="1"/>
    <xf numFmtId="3" fontId="0" fillId="0" borderId="22" xfId="2" applyNumberFormat="1" applyFont="1" applyFill="1" applyBorder="1" applyAlignment="1">
      <alignment horizontal="center"/>
    </xf>
    <xf numFmtId="167" fontId="0" fillId="0" borderId="47" xfId="0" applyNumberFormat="1" applyFont="1" applyBorder="1"/>
    <xf numFmtId="0" fontId="0" fillId="9" borderId="27" xfId="0" applyFont="1" applyFill="1" applyBorder="1"/>
    <xf numFmtId="167" fontId="0" fillId="9" borderId="24" xfId="0" applyNumberFormat="1" applyFont="1" applyFill="1" applyBorder="1"/>
    <xf numFmtId="2" fontId="0" fillId="4" borderId="0" xfId="0" applyNumberFormat="1" applyFont="1" applyFill="1" applyBorder="1"/>
    <xf numFmtId="0" fontId="0" fillId="9" borderId="11" xfId="0" applyFont="1" applyFill="1" applyBorder="1"/>
    <xf numFmtId="0" fontId="0" fillId="9" borderId="12" xfId="0" applyFont="1" applyFill="1" applyBorder="1" applyAlignment="1">
      <alignment horizontal="left"/>
    </xf>
    <xf numFmtId="9" fontId="0" fillId="9" borderId="12" xfId="0" applyNumberFormat="1" applyFont="1" applyFill="1" applyBorder="1" applyAlignment="1">
      <alignment horizontal="left"/>
    </xf>
    <xf numFmtId="167" fontId="0" fillId="9" borderId="58" xfId="0" applyNumberFormat="1" applyFont="1" applyFill="1" applyBorder="1"/>
    <xf numFmtId="0" fontId="0" fillId="9" borderId="39" xfId="0" applyFont="1" applyFill="1" applyBorder="1"/>
    <xf numFmtId="0" fontId="0" fillId="9" borderId="59" xfId="0" applyFont="1" applyFill="1" applyBorder="1" applyAlignment="1">
      <alignment horizontal="left"/>
    </xf>
    <xf numFmtId="167" fontId="0" fillId="9" borderId="60" xfId="0" applyNumberFormat="1" applyFont="1" applyFill="1" applyBorder="1"/>
    <xf numFmtId="0" fontId="0" fillId="8" borderId="53" xfId="0" applyFont="1" applyFill="1" applyBorder="1" applyAlignment="1">
      <alignment horizontal="center" vertical="center"/>
    </xf>
    <xf numFmtId="0" fontId="0" fillId="0" borderId="54" xfId="0" applyFont="1" applyFill="1" applyBorder="1"/>
    <xf numFmtId="0" fontId="0" fillId="11" borderId="61" xfId="0" applyFont="1" applyFill="1" applyBorder="1"/>
    <xf numFmtId="167" fontId="0" fillId="12" borderId="62" xfId="0" applyNumberFormat="1" applyFont="1" applyFill="1" applyBorder="1"/>
    <xf numFmtId="0" fontId="0" fillId="0" borderId="0" xfId="0" applyFont="1" applyFill="1" applyBorder="1" applyAlignment="1">
      <alignment horizontal="right"/>
    </xf>
    <xf numFmtId="167" fontId="0" fillId="0" borderId="0" xfId="0" applyNumberFormat="1" applyFont="1" applyFill="1" applyBorder="1"/>
    <xf numFmtId="0" fontId="0" fillId="0" borderId="0" xfId="0" applyFont="1" applyFill="1" applyAlignment="1">
      <alignment horizontal="center" vertical="center"/>
    </xf>
    <xf numFmtId="2" fontId="0" fillId="0" borderId="0" xfId="0" applyNumberFormat="1" applyFont="1" applyFill="1"/>
    <xf numFmtId="0" fontId="0" fillId="0" borderId="24" xfId="0" applyFont="1" applyFill="1" applyBorder="1"/>
    <xf numFmtId="2" fontId="0" fillId="0" borderId="0" xfId="0" applyNumberFormat="1" applyFont="1" applyFill="1" applyAlignment="1">
      <alignment horizontal="center" vertical="center"/>
    </xf>
    <xf numFmtId="9" fontId="0" fillId="0" borderId="0" xfId="0" applyNumberFormat="1" applyFont="1"/>
    <xf numFmtId="0" fontId="0" fillId="0" borderId="43" xfId="0" applyFont="1" applyFill="1" applyBorder="1"/>
    <xf numFmtId="167" fontId="0" fillId="0" borderId="36" xfId="2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0" xfId="0" applyFont="1" applyFill="1" applyBorder="1"/>
    <xf numFmtId="166" fontId="0" fillId="0" borderId="0" xfId="0" applyNumberFormat="1" applyFont="1"/>
    <xf numFmtId="0" fontId="0" fillId="3" borderId="16" xfId="0" applyFont="1" applyFill="1" applyBorder="1"/>
    <xf numFmtId="0" fontId="0" fillId="3" borderId="20" xfId="0" applyFont="1" applyFill="1" applyBorder="1"/>
    <xf numFmtId="0" fontId="0" fillId="0" borderId="52" xfId="0" applyFont="1" applyFill="1" applyBorder="1"/>
    <xf numFmtId="0" fontId="0" fillId="3" borderId="12" xfId="0" applyFont="1" applyFill="1" applyBorder="1"/>
    <xf numFmtId="0" fontId="0" fillId="3" borderId="9" xfId="0" applyFont="1" applyFill="1" applyBorder="1"/>
    <xf numFmtId="167" fontId="0" fillId="0" borderId="21" xfId="2" applyNumberFormat="1" applyFont="1" applyFill="1" applyBorder="1"/>
    <xf numFmtId="0" fontId="24" fillId="0" borderId="0" xfId="0" applyFont="1"/>
    <xf numFmtId="1" fontId="0" fillId="4" borderId="0" xfId="0" applyNumberFormat="1" applyFont="1" applyFill="1" applyBorder="1"/>
    <xf numFmtId="0" fontId="0" fillId="0" borderId="48" xfId="0" applyFont="1" applyFill="1" applyBorder="1"/>
    <xf numFmtId="0" fontId="0" fillId="0" borderId="28" xfId="0" applyFont="1" applyFill="1" applyBorder="1"/>
    <xf numFmtId="0" fontId="0" fillId="0" borderId="5" xfId="0" applyFont="1" applyFill="1" applyBorder="1"/>
    <xf numFmtId="2" fontId="0" fillId="0" borderId="0" xfId="0" applyNumberFormat="1" applyFont="1" applyFill="1" applyBorder="1"/>
    <xf numFmtId="0" fontId="0" fillId="0" borderId="47" xfId="0" applyFont="1" applyFill="1" applyBorder="1"/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 applyFont="1"/>
    <xf numFmtId="2" fontId="0" fillId="0" borderId="40" xfId="0" applyNumberFormat="1" applyFont="1" applyFill="1" applyBorder="1" applyAlignment="1">
      <alignment horizontal="center" vertical="center"/>
    </xf>
    <xf numFmtId="166" fontId="0" fillId="0" borderId="23" xfId="0" applyNumberFormat="1" applyBorder="1" applyAlignment="1">
      <alignment horizontal="center"/>
    </xf>
    <xf numFmtId="170" fontId="2" fillId="0" borderId="24" xfId="0" applyNumberFormat="1" applyFont="1" applyBorder="1"/>
    <xf numFmtId="170" fontId="2" fillId="0" borderId="55" xfId="0" applyNumberFormat="1" applyFont="1" applyBorder="1"/>
    <xf numFmtId="166" fontId="0" fillId="0" borderId="22" xfId="0" applyNumberForma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70" fontId="2" fillId="0" borderId="36" xfId="0" applyNumberFormat="1" applyFont="1" applyBorder="1"/>
    <xf numFmtId="0" fontId="14" fillId="0" borderId="64" xfId="0" applyFont="1" applyFill="1" applyBorder="1" applyAlignment="1">
      <alignment horizontal="center"/>
    </xf>
    <xf numFmtId="1" fontId="0" fillId="0" borderId="33" xfId="0" applyNumberFormat="1" applyFont="1" applyFill="1" applyBorder="1"/>
    <xf numFmtId="165" fontId="10" fillId="0" borderId="33" xfId="2" applyNumberFormat="1" applyFont="1" applyFill="1" applyBorder="1" applyAlignment="1">
      <alignment horizontal="center"/>
    </xf>
    <xf numFmtId="49" fontId="21" fillId="5" borderId="16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8" xfId="0" applyBorder="1"/>
    <xf numFmtId="166" fontId="24" fillId="0" borderId="0" xfId="0" applyNumberFormat="1" applyFont="1" applyAlignment="1">
      <alignment horizontal="center" vertical="center"/>
    </xf>
    <xf numFmtId="0" fontId="0" fillId="15" borderId="16" xfId="0" applyFont="1" applyFill="1" applyBorder="1"/>
    <xf numFmtId="1" fontId="0" fillId="15" borderId="16" xfId="0" applyNumberFormat="1" applyFont="1" applyFill="1" applyBorder="1"/>
    <xf numFmtId="165" fontId="0" fillId="15" borderId="16" xfId="2" applyNumberFormat="1" applyFont="1" applyFill="1" applyBorder="1" applyAlignment="1">
      <alignment horizontal="center"/>
    </xf>
    <xf numFmtId="167" fontId="0" fillId="15" borderId="16" xfId="2" applyNumberFormat="1" applyFont="1" applyFill="1" applyBorder="1"/>
    <xf numFmtId="167" fontId="4" fillId="0" borderId="55" xfId="2" applyNumberFormat="1" applyFont="1" applyFill="1" applyBorder="1"/>
    <xf numFmtId="0" fontId="0" fillId="0" borderId="64" xfId="0" applyBorder="1"/>
    <xf numFmtId="0" fontId="0" fillId="0" borderId="33" xfId="0" applyFont="1" applyFill="1" applyBorder="1" applyAlignment="1">
      <alignment horizontal="left"/>
    </xf>
    <xf numFmtId="164" fontId="0" fillId="0" borderId="33" xfId="2" applyFont="1" applyBorder="1" applyAlignment="1">
      <alignment horizontal="center"/>
    </xf>
    <xf numFmtId="165" fontId="0" fillId="0" borderId="65" xfId="0" applyNumberFormat="1" applyFont="1" applyBorder="1" applyAlignment="1">
      <alignment horizontal="center"/>
    </xf>
    <xf numFmtId="0" fontId="0" fillId="0" borderId="39" xfId="0" applyBorder="1"/>
    <xf numFmtId="164" fontId="4" fillId="0" borderId="22" xfId="2" applyFont="1" applyBorder="1" applyAlignment="1">
      <alignment horizontal="center"/>
    </xf>
    <xf numFmtId="165" fontId="4" fillId="0" borderId="36" xfId="0" applyNumberFormat="1" applyFont="1" applyBorder="1" applyAlignment="1">
      <alignment horizontal="center"/>
    </xf>
    <xf numFmtId="0" fontId="12" fillId="17" borderId="34" xfId="0" applyFont="1" applyFill="1" applyBorder="1" applyAlignment="1">
      <alignment horizontal="center" vertical="center" wrapText="1"/>
    </xf>
    <xf numFmtId="0" fontId="12" fillId="17" borderId="37" xfId="0" applyFont="1" applyFill="1" applyBorder="1" applyAlignment="1">
      <alignment horizontal="left" vertical="center" wrapText="1"/>
    </xf>
    <xf numFmtId="0" fontId="12" fillId="17" borderId="37" xfId="0" applyFont="1" applyFill="1" applyBorder="1" applyAlignment="1">
      <alignment horizontal="center" vertical="center" wrapText="1"/>
    </xf>
    <xf numFmtId="0" fontId="12" fillId="17" borderId="49" xfId="0" applyFont="1" applyFill="1" applyBorder="1" applyAlignment="1">
      <alignment horizontal="center" vertical="center" wrapText="1"/>
    </xf>
    <xf numFmtId="0" fontId="4" fillId="17" borderId="41" xfId="0" applyFont="1" applyFill="1" applyBorder="1" applyAlignment="1">
      <alignment horizontal="center"/>
    </xf>
    <xf numFmtId="0" fontId="4" fillId="17" borderId="41" xfId="0" applyFont="1" applyFill="1" applyBorder="1" applyAlignment="1">
      <alignment horizontal="left"/>
    </xf>
    <xf numFmtId="1" fontId="2" fillId="17" borderId="41" xfId="0" applyNumberFormat="1" applyFont="1" applyFill="1" applyBorder="1"/>
    <xf numFmtId="0" fontId="0" fillId="17" borderId="41" xfId="0" applyFill="1" applyBorder="1"/>
    <xf numFmtId="0" fontId="23" fillId="17" borderId="51" xfId="0" applyFont="1" applyFill="1" applyBorder="1" applyAlignment="1">
      <alignment horizontal="center"/>
    </xf>
    <xf numFmtId="165" fontId="0" fillId="17" borderId="41" xfId="0" applyNumberFormat="1" applyFill="1" applyBorder="1" applyAlignment="1">
      <alignment horizontal="center"/>
    </xf>
    <xf numFmtId="167" fontId="4" fillId="17" borderId="41" xfId="2" applyNumberFormat="1" applyFont="1" applyFill="1" applyBorder="1"/>
    <xf numFmtId="167" fontId="4" fillId="17" borderId="54" xfId="2" applyNumberFormat="1" applyFont="1" applyFill="1" applyBorder="1"/>
    <xf numFmtId="0" fontId="4" fillId="17" borderId="5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  <xf numFmtId="0" fontId="4" fillId="17" borderId="7" xfId="0" applyFont="1" applyFill="1" applyBorder="1" applyAlignment="1">
      <alignment horizontal="left"/>
    </xf>
    <xf numFmtId="1" fontId="0" fillId="17" borderId="7" xfId="0" applyNumberFormat="1" applyFill="1" applyBorder="1"/>
    <xf numFmtId="0" fontId="0" fillId="17" borderId="7" xfId="0" applyFill="1" applyBorder="1"/>
    <xf numFmtId="169" fontId="0" fillId="17" borderId="7" xfId="2" applyNumberFormat="1" applyFont="1" applyFill="1" applyBorder="1"/>
    <xf numFmtId="167" fontId="4" fillId="17" borderId="7" xfId="2" applyNumberFormat="1" applyFont="1" applyFill="1" applyBorder="1"/>
    <xf numFmtId="167" fontId="4" fillId="17" borderId="56" xfId="2" applyNumberFormat="1" applyFont="1" applyFill="1" applyBorder="1"/>
    <xf numFmtId="0" fontId="0" fillId="17" borderId="54" xfId="0" applyFill="1" applyBorder="1"/>
    <xf numFmtId="0" fontId="12" fillId="17" borderId="0" xfId="0" applyFont="1" applyFill="1" applyBorder="1" applyAlignment="1">
      <alignment horizontal="left"/>
    </xf>
    <xf numFmtId="0" fontId="4" fillId="17" borderId="38" xfId="0" applyFont="1" applyFill="1" applyBorder="1" applyAlignment="1">
      <alignment horizontal="center"/>
    </xf>
    <xf numFmtId="0" fontId="4" fillId="17" borderId="7" xfId="0" applyFont="1" applyFill="1" applyBorder="1"/>
    <xf numFmtId="166" fontId="0" fillId="17" borderId="7" xfId="0" applyNumberFormat="1" applyFill="1" applyBorder="1"/>
    <xf numFmtId="3" fontId="0" fillId="17" borderId="7" xfId="0" applyNumberFormat="1" applyFill="1" applyBorder="1" applyAlignment="1">
      <alignment horizontal="center"/>
    </xf>
    <xf numFmtId="0" fontId="0" fillId="17" borderId="56" xfId="0" applyFill="1" applyBorder="1"/>
    <xf numFmtId="3" fontId="4" fillId="17" borderId="7" xfId="0" applyNumberFormat="1" applyFont="1" applyFill="1" applyBorder="1" applyAlignment="1">
      <alignment horizontal="center"/>
    </xf>
    <xf numFmtId="167" fontId="4" fillId="17" borderId="56" xfId="0" applyNumberFormat="1" applyFont="1" applyFill="1" applyBorder="1"/>
    <xf numFmtId="165" fontId="4" fillId="17" borderId="41" xfId="0" applyNumberFormat="1" applyFont="1" applyFill="1" applyBorder="1" applyAlignment="1">
      <alignment horizontal="center"/>
    </xf>
    <xf numFmtId="0" fontId="0" fillId="8" borderId="20" xfId="0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/>
    </xf>
    <xf numFmtId="0" fontId="0" fillId="4" borderId="69" xfId="0" applyFill="1" applyBorder="1"/>
    <xf numFmtId="0" fontId="0" fillId="4" borderId="61" xfId="0" applyFill="1" applyBorder="1" applyAlignment="1">
      <alignment horizontal="center"/>
    </xf>
    <xf numFmtId="0" fontId="0" fillId="4" borderId="62" xfId="0" applyFill="1" applyBorder="1"/>
    <xf numFmtId="0" fontId="0" fillId="0" borderId="20" xfId="0" applyBorder="1"/>
    <xf numFmtId="0" fontId="0" fillId="4" borderId="2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17" borderId="16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/>
    </xf>
    <xf numFmtId="0" fontId="0" fillId="17" borderId="16" xfId="0" applyFill="1" applyBorder="1"/>
    <xf numFmtId="0" fontId="0" fillId="17" borderId="16" xfId="0" applyNumberFormat="1" applyFill="1" applyBorder="1" applyAlignment="1">
      <alignment horizontal="center"/>
    </xf>
    <xf numFmtId="0" fontId="0" fillId="4" borderId="40" xfId="0" applyFill="1" applyBorder="1"/>
    <xf numFmtId="0" fontId="0" fillId="4" borderId="33" xfId="0" applyFill="1" applyBorder="1"/>
    <xf numFmtId="164" fontId="0" fillId="4" borderId="33" xfId="2" applyFont="1" applyFill="1" applyBorder="1"/>
    <xf numFmtId="0" fontId="4" fillId="4" borderId="26" xfId="0" applyFont="1" applyFill="1" applyBorder="1"/>
    <xf numFmtId="0" fontId="0" fillId="4" borderId="61" xfId="0" applyFill="1" applyBorder="1"/>
    <xf numFmtId="0" fontId="0" fillId="13" borderId="70" xfId="0" applyFill="1" applyBorder="1"/>
    <xf numFmtId="0" fontId="2" fillId="4" borderId="0" xfId="0" applyFont="1" applyFill="1" applyBorder="1" applyAlignment="1">
      <alignment horizontal="center" wrapText="1"/>
    </xf>
    <xf numFmtId="0" fontId="0" fillId="4" borderId="0" xfId="0" applyFill="1" applyBorder="1" applyAlignment="1">
      <alignment horizontal="center"/>
    </xf>
    <xf numFmtId="167" fontId="2" fillId="0" borderId="40" xfId="2" applyNumberFormat="1" applyFont="1" applyFill="1" applyBorder="1"/>
    <xf numFmtId="169" fontId="2" fillId="0" borderId="12" xfId="2" applyNumberFormat="1" applyFill="1" applyBorder="1"/>
    <xf numFmtId="1" fontId="0" fillId="0" borderId="16" xfId="0" applyNumberFormat="1" applyFill="1" applyBorder="1"/>
    <xf numFmtId="169" fontId="2" fillId="0" borderId="16" xfId="2" applyNumberFormat="1" applyFill="1" applyBorder="1"/>
    <xf numFmtId="167" fontId="0" fillId="0" borderId="16" xfId="0" applyNumberFormat="1" applyBorder="1"/>
    <xf numFmtId="167" fontId="0" fillId="0" borderId="40" xfId="0" applyNumberFormat="1" applyBorder="1"/>
    <xf numFmtId="0" fontId="0" fillId="5" borderId="0" xfId="0" applyFill="1" applyBorder="1"/>
    <xf numFmtId="167" fontId="2" fillId="0" borderId="40" xfId="0" applyNumberFormat="1" applyFont="1" applyBorder="1"/>
    <xf numFmtId="1" fontId="0" fillId="0" borderId="52" xfId="0" applyNumberFormat="1" applyBorder="1" applyAlignment="1">
      <alignment horizontal="center"/>
    </xf>
    <xf numFmtId="0" fontId="2" fillId="0" borderId="12" xfId="0" applyFont="1" applyFill="1" applyBorder="1"/>
    <xf numFmtId="0" fontId="2" fillId="0" borderId="12" xfId="0" applyFont="1" applyFill="1" applyBorder="1" applyAlignment="1">
      <alignment horizontal="left"/>
    </xf>
    <xf numFmtId="9" fontId="2" fillId="0" borderId="12" xfId="0" applyNumberFormat="1" applyFont="1" applyFill="1" applyBorder="1" applyAlignment="1">
      <alignment horizontal="left"/>
    </xf>
    <xf numFmtId="0" fontId="2" fillId="0" borderId="41" xfId="0" applyFont="1" applyFill="1" applyBorder="1"/>
    <xf numFmtId="0" fontId="2" fillId="0" borderId="41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13" borderId="41" xfId="0" applyFill="1" applyBorder="1"/>
    <xf numFmtId="0" fontId="0" fillId="13" borderId="53" xfId="0" applyFont="1" applyFill="1" applyBorder="1"/>
    <xf numFmtId="0" fontId="0" fillId="13" borderId="12" xfId="0" applyFont="1" applyFill="1" applyBorder="1"/>
    <xf numFmtId="0" fontId="0" fillId="13" borderId="16" xfId="0" applyFont="1" applyFill="1" applyBorder="1"/>
    <xf numFmtId="49" fontId="21" fillId="4" borderId="0" xfId="0" applyNumberFormat="1" applyFont="1" applyFill="1" applyBorder="1" applyAlignment="1">
      <alignment horizontal="center" vertical="center"/>
    </xf>
    <xf numFmtId="49" fontId="21" fillId="13" borderId="16" xfId="0" applyNumberFormat="1" applyFont="1" applyFill="1" applyBorder="1" applyAlignment="1">
      <alignment horizontal="center" vertical="center"/>
    </xf>
    <xf numFmtId="49" fontId="21" fillId="13" borderId="16" xfId="0" applyNumberFormat="1" applyFont="1" applyFill="1" applyBorder="1" applyAlignment="1">
      <alignment horizontal="center"/>
    </xf>
    <xf numFmtId="0" fontId="21" fillId="13" borderId="16" xfId="0" applyFont="1" applyFill="1" applyBorder="1" applyAlignment="1">
      <alignment horizontal="center" vertical="center"/>
    </xf>
    <xf numFmtId="0" fontId="0" fillId="13" borderId="33" xfId="0" applyFill="1" applyBorder="1"/>
    <xf numFmtId="0" fontId="21" fillId="4" borderId="0" xfId="2" applyNumberFormat="1" applyFont="1" applyFill="1" applyBorder="1" applyAlignment="1">
      <alignment horizontal="center" vertical="center"/>
    </xf>
    <xf numFmtId="2" fontId="0" fillId="4" borderId="16" xfId="0" applyNumberFormat="1" applyFont="1" applyFill="1" applyBorder="1"/>
    <xf numFmtId="2" fontId="0" fillId="0" borderId="0" xfId="0" applyNumberFormat="1" applyFont="1"/>
    <xf numFmtId="2" fontId="0" fillId="4" borderId="16" xfId="0" applyNumberFormat="1" applyFill="1" applyBorder="1" applyAlignment="1">
      <alignment horizontal="right"/>
    </xf>
    <xf numFmtId="2" fontId="0" fillId="0" borderId="0" xfId="0" applyNumberFormat="1"/>
    <xf numFmtId="2" fontId="0" fillId="4" borderId="16" xfId="0" applyNumberFormat="1" applyFill="1" applyBorder="1" applyAlignment="1">
      <alignment horizontal="center"/>
    </xf>
    <xf numFmtId="2" fontId="0" fillId="0" borderId="16" xfId="0" applyNumberFormat="1" applyBorder="1"/>
    <xf numFmtId="4" fontId="0" fillId="0" borderId="16" xfId="0" applyNumberFormat="1" applyBorder="1"/>
    <xf numFmtId="2" fontId="0" fillId="13" borderId="16" xfId="0" applyNumberFormat="1" applyFill="1" applyBorder="1" applyAlignment="1">
      <alignment horizontal="center"/>
    </xf>
    <xf numFmtId="2" fontId="0" fillId="13" borderId="16" xfId="0" applyNumberFormat="1" applyFill="1" applyBorder="1"/>
    <xf numFmtId="164" fontId="0" fillId="13" borderId="15" xfId="2" applyFont="1" applyFill="1" applyBorder="1"/>
    <xf numFmtId="164" fontId="0" fillId="13" borderId="21" xfId="2" applyFont="1" applyFill="1" applyBorder="1"/>
    <xf numFmtId="4" fontId="0" fillId="4" borderId="16" xfId="0" applyNumberFormat="1" applyFont="1" applyFill="1" applyBorder="1" applyAlignment="1">
      <alignment horizontal="right"/>
    </xf>
    <xf numFmtId="4" fontId="0" fillId="4" borderId="16" xfId="0" applyNumberFormat="1" applyFill="1" applyBorder="1" applyAlignment="1">
      <alignment horizontal="right"/>
    </xf>
    <xf numFmtId="0" fontId="24" fillId="0" borderId="0" xfId="0" applyFont="1" applyBorder="1" applyAlignment="1">
      <alignment horizontal="center"/>
    </xf>
    <xf numFmtId="2" fontId="21" fillId="4" borderId="0" xfId="0" applyNumberFormat="1" applyFont="1" applyFill="1" applyBorder="1" applyAlignment="1">
      <alignment horizontal="center" vertical="center"/>
    </xf>
    <xf numFmtId="171" fontId="21" fillId="4" borderId="0" xfId="0" applyNumberFormat="1" applyFont="1" applyFill="1" applyBorder="1" applyAlignment="1">
      <alignment horizontal="center" vertical="center"/>
    </xf>
    <xf numFmtId="2" fontId="0" fillId="0" borderId="16" xfId="0" applyNumberFormat="1" applyFont="1" applyBorder="1"/>
    <xf numFmtId="2" fontId="0" fillId="17" borderId="16" xfId="0" applyNumberFormat="1" applyFill="1" applyBorder="1" applyAlignment="1">
      <alignment horizontal="center"/>
    </xf>
    <xf numFmtId="4" fontId="10" fillId="0" borderId="23" xfId="2" applyNumberFormat="1" applyFont="1" applyFill="1" applyBorder="1" applyAlignment="1">
      <alignment horizontal="center" vertical="center"/>
    </xf>
    <xf numFmtId="4" fontId="10" fillId="0" borderId="23" xfId="0" applyNumberFormat="1" applyFont="1" applyBorder="1" applyAlignment="1">
      <alignment horizontal="center"/>
    </xf>
    <xf numFmtId="171" fontId="0" fillId="4" borderId="40" xfId="0" applyNumberFormat="1" applyFont="1" applyFill="1" applyBorder="1"/>
    <xf numFmtId="2" fontId="10" fillId="0" borderId="16" xfId="2" applyNumberFormat="1" applyFont="1" applyFill="1" applyBorder="1" applyAlignment="1">
      <alignment horizontal="center"/>
    </xf>
    <xf numFmtId="3" fontId="10" fillId="0" borderId="16" xfId="2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0" borderId="0" xfId="0" applyFont="1" applyAlignment="1">
      <alignment horizontal="right"/>
    </xf>
    <xf numFmtId="166" fontId="20" fillId="0" borderId="0" xfId="0" applyNumberFormat="1" applyFont="1" applyAlignment="1">
      <alignment horizontal="center" vertical="center"/>
    </xf>
    <xf numFmtId="0" fontId="0" fillId="9" borderId="40" xfId="0" applyFont="1" applyFill="1" applyBorder="1"/>
    <xf numFmtId="0" fontId="0" fillId="10" borderId="2" xfId="0" applyFill="1" applyBorder="1"/>
    <xf numFmtId="0" fontId="0" fillId="10" borderId="18" xfId="0" applyFont="1" applyFill="1" applyBorder="1"/>
    <xf numFmtId="0" fontId="0" fillId="10" borderId="30" xfId="0" applyFont="1" applyFill="1" applyBorder="1" applyAlignment="1">
      <alignment horizontal="center"/>
    </xf>
    <xf numFmtId="0" fontId="0" fillId="4" borderId="2" xfId="0" applyFill="1" applyBorder="1"/>
    <xf numFmtId="0" fontId="0" fillId="4" borderId="18" xfId="0" applyFont="1" applyFill="1" applyBorder="1"/>
    <xf numFmtId="0" fontId="0" fillId="4" borderId="30" xfId="0" applyFont="1" applyFill="1" applyBorder="1"/>
    <xf numFmtId="0" fontId="0" fillId="8" borderId="4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4" fillId="4" borderId="12" xfId="0" applyFont="1" applyFill="1" applyBorder="1"/>
    <xf numFmtId="0" fontId="0" fillId="5" borderId="3" xfId="0" applyFill="1" applyBorder="1" applyAlignment="1">
      <alignment horizontal="center"/>
    </xf>
    <xf numFmtId="0" fontId="0" fillId="5" borderId="68" xfId="0" applyFill="1" applyBorder="1"/>
    <xf numFmtId="0" fontId="0" fillId="4" borderId="0" xfId="0" applyFill="1" applyBorder="1" applyAlignment="1">
      <alignment horizontal="center"/>
    </xf>
    <xf numFmtId="0" fontId="0" fillId="10" borderId="12" xfId="0" applyFill="1" applyBorder="1"/>
    <xf numFmtId="0" fontId="0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62" xfId="0" applyFill="1" applyBorder="1"/>
    <xf numFmtId="0" fontId="0" fillId="8" borderId="16" xfId="0" applyFill="1" applyBorder="1"/>
    <xf numFmtId="0" fontId="0" fillId="8" borderId="16" xfId="0" applyFont="1" applyFill="1" applyBorder="1" applyAlignment="1">
      <alignment horizontal="right"/>
    </xf>
    <xf numFmtId="0" fontId="13" fillId="0" borderId="66" xfId="0" applyFon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4" borderId="42" xfId="0" applyFill="1" applyBorder="1"/>
    <xf numFmtId="0" fontId="0" fillId="13" borderId="24" xfId="0" applyFill="1" applyBorder="1"/>
    <xf numFmtId="0" fontId="0" fillId="13" borderId="29" xfId="0" applyFill="1" applyBorder="1" applyAlignment="1">
      <alignment horizontal="center"/>
    </xf>
    <xf numFmtId="0" fontId="0" fillId="13" borderId="55" xfId="0" applyFill="1" applyBorder="1"/>
    <xf numFmtId="0" fontId="0" fillId="13" borderId="35" xfId="0" applyFill="1" applyBorder="1" applyAlignment="1">
      <alignment horizontal="center"/>
    </xf>
    <xf numFmtId="0" fontId="0" fillId="13" borderId="36" xfId="0" applyFill="1" applyBorder="1"/>
    <xf numFmtId="1" fontId="2" fillId="5" borderId="16" xfId="0" applyNumberFormat="1" applyFont="1" applyFill="1" applyBorder="1"/>
    <xf numFmtId="1" fontId="31" fillId="0" borderId="16" xfId="0" applyNumberFormat="1" applyFont="1" applyFill="1" applyBorder="1"/>
    <xf numFmtId="1" fontId="31" fillId="0" borderId="1" xfId="0" applyNumberFormat="1" applyFont="1" applyBorder="1"/>
    <xf numFmtId="2" fontId="31" fillId="0" borderId="16" xfId="0" applyNumberFormat="1" applyFont="1" applyFill="1" applyBorder="1"/>
    <xf numFmtId="0" fontId="0" fillId="4" borderId="0" xfId="0" applyFont="1" applyFill="1" applyBorder="1" applyAlignment="1">
      <alignment horizontal="center"/>
    </xf>
    <xf numFmtId="0" fontId="32" fillId="4" borderId="16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165" fontId="32" fillId="4" borderId="0" xfId="0" applyNumberFormat="1" applyFont="1" applyFill="1" applyBorder="1" applyAlignment="1">
      <alignment horizontal="center" vertical="center"/>
    </xf>
    <xf numFmtId="9" fontId="32" fillId="4" borderId="0" xfId="0" applyNumberFormat="1" applyFont="1" applyFill="1" applyBorder="1" applyAlignment="1">
      <alignment horizontal="center" vertical="center"/>
    </xf>
    <xf numFmtId="0" fontId="13" fillId="0" borderId="16" xfId="0" applyFont="1" applyFill="1" applyBorder="1"/>
    <xf numFmtId="1" fontId="13" fillId="0" borderId="16" xfId="0" applyNumberFormat="1" applyFont="1" applyBorder="1"/>
    <xf numFmtId="165" fontId="13" fillId="0" borderId="16" xfId="0" applyNumberFormat="1" applyFont="1" applyBorder="1" applyAlignment="1">
      <alignment horizontal="center"/>
    </xf>
    <xf numFmtId="167" fontId="13" fillId="0" borderId="16" xfId="2" applyNumberFormat="1" applyFont="1" applyFill="1" applyBorder="1"/>
    <xf numFmtId="0" fontId="13" fillId="8" borderId="16" xfId="0" applyFont="1" applyFill="1" applyBorder="1" applyAlignment="1">
      <alignment horizontal="center" vertical="center"/>
    </xf>
    <xf numFmtId="0" fontId="13" fillId="6" borderId="44" xfId="0" applyFont="1" applyFill="1" applyBorder="1" applyAlignment="1">
      <alignment horizontal="left"/>
    </xf>
    <xf numFmtId="4" fontId="13" fillId="4" borderId="16" xfId="0" applyNumberFormat="1" applyFont="1" applyFill="1" applyBorder="1" applyAlignment="1">
      <alignment horizontal="left"/>
    </xf>
    <xf numFmtId="0" fontId="13" fillId="4" borderId="16" xfId="0" applyFont="1" applyFill="1" applyBorder="1"/>
    <xf numFmtId="0" fontId="13" fillId="0" borderId="0" xfId="0" applyFont="1"/>
    <xf numFmtId="0" fontId="13" fillId="4" borderId="0" xfId="0" applyFont="1" applyFill="1" applyBorder="1"/>
    <xf numFmtId="2" fontId="13" fillId="0" borderId="16" xfId="0" applyNumberFormat="1" applyFont="1" applyFill="1" applyBorder="1"/>
    <xf numFmtId="166" fontId="13" fillId="0" borderId="16" xfId="2" applyNumberFormat="1" applyFont="1" applyFill="1" applyBorder="1" applyAlignment="1">
      <alignment horizontal="center" vertical="center"/>
    </xf>
    <xf numFmtId="3" fontId="13" fillId="0" borderId="16" xfId="2" applyNumberFormat="1" applyFont="1" applyFill="1" applyBorder="1" applyAlignment="1">
      <alignment horizontal="center"/>
    </xf>
    <xf numFmtId="170" fontId="13" fillId="0" borderId="40" xfId="2" applyNumberFormat="1" applyFont="1" applyFill="1" applyBorder="1"/>
    <xf numFmtId="0" fontId="13" fillId="4" borderId="16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4" fontId="13" fillId="0" borderId="16" xfId="0" applyNumberFormat="1" applyFont="1" applyFill="1" applyBorder="1"/>
    <xf numFmtId="166" fontId="13" fillId="0" borderId="16" xfId="2" applyNumberFormat="1" applyFont="1" applyFill="1" applyBorder="1" applyAlignment="1">
      <alignment horizontal="center"/>
    </xf>
    <xf numFmtId="164" fontId="13" fillId="13" borderId="15" xfId="2" applyFont="1" applyFill="1" applyBorder="1"/>
    <xf numFmtId="0" fontId="33" fillId="0" borderId="0" xfId="0" applyFont="1" applyBorder="1"/>
    <xf numFmtId="0" fontId="20" fillId="0" borderId="0" xfId="0" applyFont="1"/>
    <xf numFmtId="170" fontId="0" fillId="0" borderId="16" xfId="2" applyNumberFormat="1" applyFont="1" applyFill="1" applyBorder="1"/>
    <xf numFmtId="166" fontId="0" fillId="0" borderId="16" xfId="2" applyNumberFormat="1" applyFont="1" applyFill="1" applyBorder="1" applyAlignment="1">
      <alignment horizontal="center"/>
    </xf>
    <xf numFmtId="166" fontId="0" fillId="0" borderId="16" xfId="0" applyNumberFormat="1" applyFont="1" applyFill="1" applyBorder="1" applyAlignment="1">
      <alignment horizontal="center"/>
    </xf>
    <xf numFmtId="1" fontId="0" fillId="0" borderId="33" xfId="0" applyNumberFormat="1" applyFont="1" applyFill="1" applyBorder="1" applyAlignment="1"/>
    <xf numFmtId="166" fontId="0" fillId="0" borderId="33" xfId="0" applyNumberFormat="1" applyFont="1" applyFill="1" applyBorder="1" applyAlignment="1">
      <alignment horizontal="center"/>
    </xf>
    <xf numFmtId="4" fontId="0" fillId="4" borderId="0" xfId="0" applyNumberFormat="1" applyFont="1" applyFill="1" applyBorder="1"/>
    <xf numFmtId="0" fontId="0" fillId="0" borderId="11" xfId="0" applyFont="1" applyFill="1" applyBorder="1" applyAlignment="1">
      <alignment horizontal="center"/>
    </xf>
    <xf numFmtId="0" fontId="0" fillId="0" borderId="64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 vertical="center"/>
    </xf>
    <xf numFmtId="166" fontId="0" fillId="0" borderId="23" xfId="0" applyNumberFormat="1" applyFont="1" applyBorder="1"/>
    <xf numFmtId="3" fontId="0" fillId="0" borderId="23" xfId="0" applyNumberFormat="1" applyFont="1" applyBorder="1" applyAlignment="1">
      <alignment horizontal="center"/>
    </xf>
    <xf numFmtId="0" fontId="0" fillId="0" borderId="24" xfId="0" applyFont="1" applyBorder="1"/>
    <xf numFmtId="3" fontId="0" fillId="0" borderId="33" xfId="0" applyNumberFormat="1" applyFont="1" applyBorder="1" applyAlignment="1">
      <alignment horizontal="center"/>
    </xf>
    <xf numFmtId="1" fontId="0" fillId="0" borderId="33" xfId="0" applyNumberFormat="1" applyFont="1" applyBorder="1" applyAlignment="1">
      <alignment horizontal="center"/>
    </xf>
    <xf numFmtId="0" fontId="34" fillId="0" borderId="29" xfId="0" applyFont="1" applyFill="1" applyBorder="1" applyAlignment="1">
      <alignment horizontal="center"/>
    </xf>
    <xf numFmtId="2" fontId="0" fillId="0" borderId="16" xfId="0" applyNumberFormat="1" applyFont="1" applyFill="1" applyBorder="1"/>
    <xf numFmtId="165" fontId="20" fillId="0" borderId="47" xfId="2" applyNumberFormat="1" applyFont="1" applyFill="1" applyBorder="1" applyAlignment="1">
      <alignment horizontal="center"/>
    </xf>
    <xf numFmtId="3" fontId="0" fillId="17" borderId="6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67" fontId="2" fillId="17" borderId="7" xfId="2" applyNumberFormat="1" applyFont="1" applyFill="1" applyBorder="1"/>
    <xf numFmtId="2" fontId="2" fillId="4" borderId="16" xfId="0" applyNumberFormat="1" applyFont="1" applyFill="1" applyBorder="1"/>
    <xf numFmtId="49" fontId="0" fillId="4" borderId="23" xfId="0" applyNumberFormat="1" applyFont="1" applyFill="1" applyBorder="1"/>
    <xf numFmtId="0" fontId="4" fillId="0" borderId="33" xfId="0" applyFont="1" applyFill="1" applyBorder="1" applyAlignment="1">
      <alignment horizontal="right"/>
    </xf>
    <xf numFmtId="167" fontId="4" fillId="0" borderId="33" xfId="2" applyNumberFormat="1" applyFont="1" applyFill="1" applyBorder="1"/>
    <xf numFmtId="167" fontId="4" fillId="0" borderId="65" xfId="2" applyNumberFormat="1" applyFont="1" applyFill="1" applyBorder="1"/>
    <xf numFmtId="0" fontId="0" fillId="4" borderId="12" xfId="0" applyFont="1" applyFill="1" applyBorder="1"/>
    <xf numFmtId="165" fontId="31" fillId="0" borderId="0" xfId="0" applyNumberFormat="1" applyFont="1" applyBorder="1"/>
    <xf numFmtId="1" fontId="2" fillId="17" borderId="7" xfId="0" applyNumberFormat="1" applyFont="1" applyFill="1" applyBorder="1"/>
    <xf numFmtId="165" fontId="2" fillId="17" borderId="7" xfId="2" applyNumberFormat="1" applyFont="1" applyFill="1" applyBorder="1" applyAlignment="1">
      <alignment horizontal="center"/>
    </xf>
    <xf numFmtId="167" fontId="0" fillId="17" borderId="56" xfId="2" applyNumberFormat="1" applyFont="1" applyFill="1" applyBorder="1"/>
    <xf numFmtId="166" fontId="0" fillId="17" borderId="45" xfId="0" applyNumberFormat="1" applyFill="1" applyBorder="1"/>
    <xf numFmtId="0" fontId="0" fillId="0" borderId="70" xfId="0" applyBorder="1" applyAlignment="1">
      <alignment horizontal="center"/>
    </xf>
    <xf numFmtId="167" fontId="4" fillId="0" borderId="70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7" fontId="4" fillId="0" borderId="15" xfId="2" applyNumberFormat="1" applyFont="1" applyFill="1" applyBorder="1" applyAlignment="1">
      <alignment horizontal="center"/>
    </xf>
    <xf numFmtId="167" fontId="4" fillId="0" borderId="71" xfId="2" applyNumberFormat="1" applyFont="1" applyFill="1" applyBorder="1" applyAlignment="1">
      <alignment horizontal="center"/>
    </xf>
    <xf numFmtId="167" fontId="4" fillId="0" borderId="2" xfId="2" applyNumberFormat="1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5" fillId="0" borderId="0" xfId="0" applyFont="1"/>
    <xf numFmtId="167" fontId="0" fillId="4" borderId="16" xfId="2" applyNumberFormat="1" applyFont="1" applyFill="1" applyBorder="1"/>
    <xf numFmtId="0" fontId="4" fillId="4" borderId="0" xfId="0" applyFont="1" applyFill="1" applyAlignment="1" applyProtection="1">
      <alignment horizontal="left"/>
      <protection locked="0"/>
    </xf>
    <xf numFmtId="167" fontId="0" fillId="4" borderId="12" xfId="2" applyNumberFormat="1" applyFont="1" applyFill="1" applyBorder="1"/>
    <xf numFmtId="0" fontId="12" fillId="17" borderId="67" xfId="0" applyFont="1" applyFill="1" applyBorder="1" applyAlignment="1">
      <alignment horizontal="center" vertical="center" wrapText="1"/>
    </xf>
    <xf numFmtId="0" fontId="12" fillId="17" borderId="7" xfId="0" applyFont="1" applyFill="1" applyBorder="1" applyAlignment="1">
      <alignment horizontal="center" vertical="center" wrapText="1"/>
    </xf>
    <xf numFmtId="1" fontId="31" fillId="0" borderId="12" xfId="0" applyNumberFormat="1" applyFont="1" applyFill="1" applyBorder="1"/>
    <xf numFmtId="167" fontId="0" fillId="0" borderId="58" xfId="2" applyNumberFormat="1" applyFont="1" applyFill="1" applyBorder="1"/>
    <xf numFmtId="165" fontId="2" fillId="0" borderId="22" xfId="2" applyNumberFormat="1" applyFont="1" applyFill="1" applyBorder="1" applyAlignment="1">
      <alignment horizontal="center"/>
    </xf>
    <xf numFmtId="0" fontId="0" fillId="0" borderId="11" xfId="0" applyBorder="1"/>
    <xf numFmtId="9" fontId="4" fillId="0" borderId="12" xfId="0" applyNumberFormat="1" applyFont="1" applyFill="1" applyBorder="1"/>
    <xf numFmtId="166" fontId="0" fillId="0" borderId="12" xfId="0" applyNumberFormat="1" applyBorder="1"/>
    <xf numFmtId="0" fontId="0" fillId="0" borderId="52" xfId="0" applyBorder="1"/>
    <xf numFmtId="4" fontId="2" fillId="0" borderId="22" xfId="0" applyNumberFormat="1" applyFont="1" applyFill="1" applyBorder="1"/>
    <xf numFmtId="0" fontId="0" fillId="0" borderId="22" xfId="0" applyFill="1" applyBorder="1" applyAlignment="1">
      <alignment horizontal="left"/>
    </xf>
    <xf numFmtId="170" fontId="0" fillId="0" borderId="22" xfId="2" applyNumberFormat="1" applyFont="1" applyFill="1" applyBorder="1"/>
    <xf numFmtId="0" fontId="14" fillId="4" borderId="29" xfId="0" applyFont="1" applyFill="1" applyBorder="1" applyAlignment="1">
      <alignment horizontal="center"/>
    </xf>
    <xf numFmtId="1" fontId="31" fillId="4" borderId="16" xfId="0" applyNumberFormat="1" applyFont="1" applyFill="1" applyBorder="1"/>
    <xf numFmtId="166" fontId="0" fillId="0" borderId="12" xfId="0" applyNumberFormat="1" applyFill="1" applyBorder="1" applyAlignment="1">
      <alignment horizontal="center"/>
    </xf>
    <xf numFmtId="166" fontId="0" fillId="0" borderId="16" xfId="0" applyNumberFormat="1" applyFill="1" applyBorder="1" applyAlignment="1">
      <alignment horizontal="center"/>
    </xf>
    <xf numFmtId="1" fontId="0" fillId="4" borderId="16" xfId="0" applyNumberFormat="1" applyFont="1" applyFill="1" applyBorder="1"/>
    <xf numFmtId="165" fontId="20" fillId="4" borderId="16" xfId="2" applyNumberFormat="1" applyFont="1" applyFill="1" applyBorder="1" applyAlignment="1">
      <alignment horizontal="center"/>
    </xf>
    <xf numFmtId="0" fontId="4" fillId="14" borderId="44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165" fontId="2" fillId="4" borderId="16" xfId="2" applyNumberFormat="1" applyFont="1" applyFill="1" applyBorder="1" applyAlignment="1">
      <alignment horizontal="center"/>
    </xf>
    <xf numFmtId="165" fontId="2" fillId="0" borderId="23" xfId="2" applyNumberFormat="1" applyFont="1" applyFill="1" applyBorder="1" applyAlignment="1">
      <alignment horizontal="center"/>
    </xf>
    <xf numFmtId="165" fontId="0" fillId="4" borderId="12" xfId="0" applyNumberFormat="1" applyFont="1" applyFill="1" applyBorder="1" applyAlignment="1">
      <alignment horizontal="center"/>
    </xf>
    <xf numFmtId="165" fontId="0" fillId="4" borderId="16" xfId="0" applyNumberFormat="1" applyFont="1" applyFill="1" applyBorder="1" applyAlignment="1">
      <alignment horizontal="center"/>
    </xf>
    <xf numFmtId="165" fontId="20" fillId="4" borderId="12" xfId="2" applyNumberFormat="1" applyFont="1" applyFill="1" applyBorder="1" applyAlignment="1">
      <alignment horizontal="center"/>
    </xf>
    <xf numFmtId="49" fontId="0" fillId="0" borderId="12" xfId="0" applyNumberFormat="1" applyFont="1" applyFill="1" applyBorder="1"/>
    <xf numFmtId="0" fontId="8" fillId="0" borderId="16" xfId="0" applyFont="1" applyFill="1" applyBorder="1" applyAlignment="1" applyProtection="1">
      <alignment horizontal="center"/>
      <protection locked="0"/>
    </xf>
    <xf numFmtId="165" fontId="0" fillId="4" borderId="16" xfId="2" applyNumberFormat="1" applyFont="1" applyFill="1" applyBorder="1" applyAlignment="1">
      <alignment horizontal="center"/>
    </xf>
    <xf numFmtId="166" fontId="10" fillId="0" borderId="22" xfId="2" applyNumberFormat="1" applyFont="1" applyFill="1" applyBorder="1" applyAlignment="1">
      <alignment horizontal="center"/>
    </xf>
    <xf numFmtId="0" fontId="0" fillId="18" borderId="16" xfId="0" applyFont="1" applyFill="1" applyBorder="1" applyAlignment="1">
      <alignment horizontal="center" vertical="center"/>
    </xf>
    <xf numFmtId="165" fontId="2" fillId="0" borderId="12" xfId="2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5" xfId="0" applyBorder="1" applyAlignment="1">
      <alignment horizontal="center"/>
    </xf>
    <xf numFmtId="167" fontId="4" fillId="0" borderId="18" xfId="2" applyNumberFormat="1" applyFont="1" applyFill="1" applyBorder="1" applyAlignment="1">
      <alignment horizontal="center"/>
    </xf>
    <xf numFmtId="2" fontId="0" fillId="0" borderId="16" xfId="0" applyNumberFormat="1" applyFont="1" applyFill="1" applyBorder="1" applyAlignment="1">
      <alignment horizontal="center" vertical="center"/>
    </xf>
    <xf numFmtId="0" fontId="0" fillId="14" borderId="68" xfId="0" applyFill="1" applyBorder="1"/>
    <xf numFmtId="165" fontId="0" fillId="4" borderId="12" xfId="0" applyNumberFormat="1" applyFill="1" applyBorder="1"/>
    <xf numFmtId="2" fontId="0" fillId="10" borderId="16" xfId="0" applyNumberFormat="1" applyFont="1" applyFill="1" applyBorder="1"/>
    <xf numFmtId="0" fontId="0" fillId="0" borderId="16" xfId="0" applyBorder="1" applyAlignment="1">
      <alignment horizontal="center"/>
    </xf>
    <xf numFmtId="0" fontId="4" fillId="0" borderId="0" xfId="0" applyFont="1" applyBorder="1" applyAlignment="1">
      <alignment horizontal="right" wrapText="1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0" fillId="4" borderId="0" xfId="0" applyFill="1" applyBorder="1" applyAlignment="1">
      <alignment horizontal="center"/>
    </xf>
    <xf numFmtId="0" fontId="2" fillId="0" borderId="34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48" xfId="0" applyFill="1" applyBorder="1" applyAlignment="1">
      <alignment horizontal="left" wrapText="1"/>
    </xf>
    <xf numFmtId="9" fontId="0" fillId="0" borderId="47" xfId="0" applyNumberFormat="1" applyFont="1" applyFill="1" applyBorder="1" applyAlignment="1">
      <alignment horizontal="left"/>
    </xf>
    <xf numFmtId="9" fontId="2" fillId="0" borderId="17" xfId="0" applyNumberFormat="1" applyFont="1" applyFill="1" applyBorder="1" applyAlignment="1">
      <alignment horizontal="left"/>
    </xf>
    <xf numFmtId="9" fontId="2" fillId="0" borderId="31" xfId="0" applyNumberFormat="1" applyFont="1" applyFill="1" applyBorder="1" applyAlignment="1">
      <alignment horizontal="left"/>
    </xf>
    <xf numFmtId="0" fontId="24" fillId="0" borderId="42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0" fontId="2" fillId="0" borderId="46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3" borderId="30" xfId="0" applyFill="1" applyBorder="1" applyAlignment="1" applyProtection="1">
      <alignment horizontal="center"/>
      <protection locked="0"/>
    </xf>
    <xf numFmtId="0" fontId="14" fillId="0" borderId="2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wrapText="1"/>
    </xf>
    <xf numFmtId="0" fontId="0" fillId="4" borderId="0" xfId="0" applyFill="1" applyBorder="1" applyAlignment="1" applyProtection="1">
      <alignment horizontal="center" vertical="center" wrapText="1"/>
      <protection locked="0"/>
    </xf>
    <xf numFmtId="0" fontId="12" fillId="0" borderId="3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left"/>
    </xf>
    <xf numFmtId="0" fontId="12" fillId="0" borderId="67" xfId="0" applyFont="1" applyFill="1" applyBorder="1" applyAlignment="1">
      <alignment horizontal="left"/>
    </xf>
    <xf numFmtId="9" fontId="4" fillId="0" borderId="22" xfId="0" applyNumberFormat="1" applyFont="1" applyFill="1" applyBorder="1" applyAlignment="1">
      <alignment horizontal="center"/>
    </xf>
    <xf numFmtId="0" fontId="17" fillId="0" borderId="12" xfId="0" applyFont="1" applyFill="1" applyBorder="1" applyAlignment="1">
      <alignment horizontal="left"/>
    </xf>
    <xf numFmtId="2" fontId="0" fillId="0" borderId="25" xfId="0" applyNumberFormat="1" applyFill="1" applyBorder="1" applyAlignment="1">
      <alignment horizontal="left" vertical="justify" wrapText="1"/>
    </xf>
    <xf numFmtId="2" fontId="0" fillId="0" borderId="17" xfId="0" applyNumberFormat="1" applyFill="1" applyBorder="1" applyAlignment="1">
      <alignment horizontal="left" vertical="justify" wrapText="1"/>
    </xf>
    <xf numFmtId="2" fontId="0" fillId="0" borderId="32" xfId="0" applyNumberFormat="1" applyFill="1" applyBorder="1" applyAlignment="1">
      <alignment horizontal="left" vertical="justify" wrapText="1"/>
    </xf>
    <xf numFmtId="0" fontId="14" fillId="4" borderId="0" xfId="0" applyFont="1" applyFill="1" applyBorder="1" applyAlignment="1">
      <alignment horizontal="center" vertical="center" wrapText="1"/>
    </xf>
    <xf numFmtId="1" fontId="4" fillId="0" borderId="45" xfId="0" applyNumberFormat="1" applyFont="1" applyFill="1" applyBorder="1" applyAlignment="1">
      <alignment horizontal="center"/>
    </xf>
    <xf numFmtId="1" fontId="4" fillId="0" borderId="4" xfId="0" applyNumberFormat="1" applyFont="1" applyFill="1" applyBorder="1" applyAlignment="1">
      <alignment horizontal="center"/>
    </xf>
    <xf numFmtId="1" fontId="4" fillId="0" borderId="67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1" fontId="4" fillId="0" borderId="59" xfId="0" applyNumberFormat="1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9" fontId="4" fillId="0" borderId="59" xfId="0" applyNumberFormat="1" applyFont="1" applyFill="1" applyBorder="1" applyAlignment="1">
      <alignment horizontal="center"/>
    </xf>
    <xf numFmtId="0" fontId="2" fillId="9" borderId="23" xfId="0" applyFont="1" applyFill="1" applyBorder="1" applyAlignment="1">
      <alignment horizontal="left"/>
    </xf>
    <xf numFmtId="0" fontId="21" fillId="4" borderId="33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wrapText="1"/>
    </xf>
    <xf numFmtId="0" fontId="30" fillId="0" borderId="16" xfId="0" applyFont="1" applyBorder="1" applyAlignment="1">
      <alignment horizontal="center" wrapText="1"/>
    </xf>
    <xf numFmtId="0" fontId="0" fillId="4" borderId="0" xfId="0" applyFont="1" applyFill="1" applyBorder="1" applyAlignment="1">
      <alignment horizontal="center"/>
    </xf>
    <xf numFmtId="1" fontId="4" fillId="0" borderId="22" xfId="0" applyNumberFormat="1" applyFont="1" applyFill="1" applyBorder="1" applyAlignment="1">
      <alignment horizontal="center"/>
    </xf>
    <xf numFmtId="0" fontId="0" fillId="9" borderId="23" xfId="0" applyFont="1" applyFill="1" applyBorder="1" applyAlignment="1">
      <alignment horizontal="left"/>
    </xf>
    <xf numFmtId="0" fontId="0" fillId="0" borderId="34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left" wrapText="1"/>
    </xf>
    <xf numFmtId="0" fontId="0" fillId="0" borderId="13" xfId="0" applyFont="1" applyFill="1" applyBorder="1" applyAlignment="1">
      <alignment horizontal="left" wrapText="1"/>
    </xf>
    <xf numFmtId="0" fontId="0" fillId="0" borderId="48" xfId="0" applyFont="1" applyFill="1" applyBorder="1" applyAlignment="1">
      <alignment horizontal="left" wrapText="1"/>
    </xf>
    <xf numFmtId="9" fontId="0" fillId="0" borderId="17" xfId="0" applyNumberFormat="1" applyFont="1" applyFill="1" applyBorder="1" applyAlignment="1">
      <alignment horizontal="left"/>
    </xf>
    <xf numFmtId="9" fontId="0" fillId="0" borderId="31" xfId="0" applyNumberFormat="1" applyFont="1" applyFill="1" applyBorder="1" applyAlignment="1">
      <alignment horizontal="left"/>
    </xf>
    <xf numFmtId="2" fontId="0" fillId="0" borderId="25" xfId="0" applyNumberFormat="1" applyFont="1" applyFill="1" applyBorder="1" applyAlignment="1">
      <alignment horizontal="left" vertical="justify" wrapText="1"/>
    </xf>
    <xf numFmtId="2" fontId="0" fillId="0" borderId="17" xfId="0" applyNumberFormat="1" applyFont="1" applyFill="1" applyBorder="1" applyAlignment="1">
      <alignment horizontal="left" vertical="justify" wrapText="1"/>
    </xf>
    <xf numFmtId="2" fontId="0" fillId="0" borderId="32" xfId="0" applyNumberFormat="1" applyFont="1" applyFill="1" applyBorder="1" applyAlignment="1">
      <alignment horizontal="left" vertical="justify" wrapText="1"/>
    </xf>
    <xf numFmtId="0" fontId="0" fillId="4" borderId="0" xfId="0" applyFont="1" applyFill="1" applyBorder="1" applyAlignment="1" applyProtection="1">
      <alignment horizontal="center" vertical="center" wrapText="1"/>
      <protection locked="0"/>
    </xf>
    <xf numFmtId="0" fontId="0" fillId="3" borderId="2" xfId="0" applyFont="1" applyFill="1" applyBorder="1" applyAlignment="1" applyProtection="1">
      <alignment horizontal="center"/>
      <protection locked="0"/>
    </xf>
    <xf numFmtId="0" fontId="0" fillId="3" borderId="18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0" borderId="19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46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/>
    </xf>
  </cellXfs>
  <cellStyles count="3">
    <cellStyle name="Обычный" xfId="0" builtinId="0"/>
    <cellStyle name="Обычный_9м утепл зона III" xfId="1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1787991</xdr:colOff>
      <xdr:row>4</xdr:row>
      <xdr:rowOff>21167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1824" cy="656167"/>
        </a:xfrm>
        <a:prstGeom prst="rect">
          <a:avLst/>
        </a:prstGeom>
      </xdr:spPr>
    </xdr:pic>
    <xdr:clientData/>
  </xdr:twoCellAnchor>
  <xdr:twoCellAnchor>
    <xdr:from>
      <xdr:col>11</xdr:col>
      <xdr:colOff>76199</xdr:colOff>
      <xdr:row>28</xdr:row>
      <xdr:rowOff>19050</xdr:rowOff>
    </xdr:from>
    <xdr:to>
      <xdr:col>11</xdr:col>
      <xdr:colOff>695324</xdr:colOff>
      <xdr:row>35</xdr:row>
      <xdr:rowOff>123825</xdr:rowOff>
    </xdr:to>
    <xdr:sp macro="" textlink="">
      <xdr:nvSpPr>
        <xdr:cNvPr id="3" name="Правая фигурная скобка 2"/>
        <xdr:cNvSpPr/>
      </xdr:nvSpPr>
      <xdr:spPr>
        <a:xfrm>
          <a:off x="10153649" y="4848225"/>
          <a:ext cx="619125" cy="1266825"/>
        </a:xfrm>
        <a:prstGeom prst="rightBrace">
          <a:avLst>
            <a:gd name="adj1" fmla="val 8333"/>
            <a:gd name="adj2" fmla="val 469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592666</xdr:colOff>
      <xdr:row>91</xdr:row>
      <xdr:rowOff>158751</xdr:rowOff>
    </xdr:from>
    <xdr:to>
      <xdr:col>15</xdr:col>
      <xdr:colOff>666749</xdr:colOff>
      <xdr:row>94</xdr:row>
      <xdr:rowOff>105833</xdr:rowOff>
    </xdr:to>
    <xdr:sp macro="" textlink="">
      <xdr:nvSpPr>
        <xdr:cNvPr id="2" name="Равнобедренный треугольник 1"/>
        <xdr:cNvSpPr/>
      </xdr:nvSpPr>
      <xdr:spPr>
        <a:xfrm>
          <a:off x="13175191" y="11153775"/>
          <a:ext cx="807508" cy="429683"/>
        </a:xfrm>
        <a:prstGeom prst="triangle">
          <a:avLst>
            <a:gd name="adj" fmla="val 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539750</xdr:colOff>
      <xdr:row>87</xdr:row>
      <xdr:rowOff>158750</xdr:rowOff>
    </xdr:from>
    <xdr:to>
      <xdr:col>15</xdr:col>
      <xdr:colOff>529166</xdr:colOff>
      <xdr:row>89</xdr:row>
      <xdr:rowOff>148166</xdr:rowOff>
    </xdr:to>
    <xdr:sp macro="" textlink="">
      <xdr:nvSpPr>
        <xdr:cNvPr id="3" name="Прямоугольный треугольник 2"/>
        <xdr:cNvSpPr/>
      </xdr:nvSpPr>
      <xdr:spPr>
        <a:xfrm>
          <a:off x="13122275" y="10988675"/>
          <a:ext cx="722841" cy="165100"/>
        </a:xfrm>
        <a:prstGeom prst="rt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63501</xdr:colOff>
      <xdr:row>98</xdr:row>
      <xdr:rowOff>169332</xdr:rowOff>
    </xdr:from>
    <xdr:to>
      <xdr:col>15</xdr:col>
      <xdr:colOff>857251</xdr:colOff>
      <xdr:row>100</xdr:row>
      <xdr:rowOff>116417</xdr:rowOff>
    </xdr:to>
    <xdr:sp macro="" textlink="">
      <xdr:nvSpPr>
        <xdr:cNvPr id="4" name="Прямоугольный треугольник 3"/>
        <xdr:cNvSpPr/>
      </xdr:nvSpPr>
      <xdr:spPr>
        <a:xfrm>
          <a:off x="13379451" y="12294657"/>
          <a:ext cx="793750" cy="289985"/>
        </a:xfrm>
        <a:prstGeom prst="rt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1771650</xdr:colOff>
      <xdr:row>4</xdr:row>
      <xdr:rowOff>28575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1250" cy="676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137583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8400" cy="6233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1866901</xdr:colOff>
      <xdr:row>4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476500" cy="647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1800225</xdr:colOff>
      <xdr:row>3</xdr:row>
      <xdr:rowOff>137583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9825" cy="6233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5;&#1088;&#1077;&#1076;&#1074;&#1072;&#1088;&#1080;&#1090;&#1077;&#1083;&#1100;&#1085;&#1099;&#1077;%20&#1088;&#1072;&#1089;&#1095;&#1105;&#1090;&#1099;\&#1062;&#1045;&#1053;&#1067;%20&#1053;&#1045;%20&#1058;&#1056;&#1054;&#1043;&#1040;&#1058;&#1068;%20&#1047;&#1040;&#1055;&#1056;&#1045;&#1058;%20&#1053;&#1040;%20&#1042;&#1061;&#1054;&#1044;!!!\&#1053;&#1054;&#1042;%20&#1057;&#1055;&#1048;&#1057;&#1054;&#1050;%20&#1087;&#1086;&#1079;.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5;&#1088;&#1077;&#1076;&#1074;&#1072;&#1088;&#1080;&#1090;&#1077;&#1083;&#1100;&#1085;&#1099;&#1077;%20&#1088;&#1072;&#1089;&#1095;&#1077;&#1090;&#1099;\&#1050;&#1072;&#1083;&#1100;&#1082;&#1091;&#1083;&#1103;&#1090;&#1086;&#1088;&#1099;\&#1055;&#1088;&#1072;&#1081;&#1089;%20&#1076;&#1083;&#1103;%20&#1087;&#1088;&#1077;&#1076;&#1088;&#1072;&#1089;&#1095;&#1077;&#1090;&#1086;&#1074;%20(&#1085;&#1077;%20&#1080;&#1079;&#1084;&#1077;&#1085;&#1103;&#1090;&#1100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rk/Desktop/&#1055;&#1088;&#1072;&#1081;&#1089;%20&#1076;&#1083;&#1103;%20&#1087;&#1088;&#1077;&#1076;&#1088;&#1072;&#1089;&#1095;&#1077;&#1090;&#1086;&#1074;%20(&#1085;&#1077;%20&#1080;&#1079;&#1084;&#1077;&#1085;&#1103;&#1090;&#1100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8;&#1077;&#1076;&#1074;&#1072;&#1088;&#1080;&#1090;&#1077;&#1083;&#1100;&#1085;&#1099;&#1077;%20&#1088;&#1072;&#1089;&#1095;&#1077;&#1090;&#1099;\&#1050;&#1072;&#1083;&#1100;&#1082;&#1091;&#1083;&#1103;&#1090;&#1086;&#1088;&#1099;\&#1055;&#1088;&#1072;&#1081;&#1089;%20&#1076;&#1083;&#1103;%20&#1087;&#1088;&#1077;&#1076;&#1088;&#1072;&#1089;&#1095;&#1077;&#1090;&#1086;&#1074;%20(&#1085;&#1077;%20&#1080;&#1079;&#1084;&#1077;&#1085;&#1103;&#1090;&#1100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omentseva-es/Desktop/&#1055;&#1056;&#1040;&#1049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omentseva-es/Desktop/&#1053;&#1054;&#1042;&#1067;&#1049;%20&#1055;&#1056;&#1040;&#1049;&#105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1;&#1080;&#1095;&#1085;&#1099;&#1077;%20&#1087;&#1072;&#1087;&#1082;&#1080;\&#1057;&#1080;&#1085;&#1080;&#1094;&#1099;&#1085;\&#1057;&#1055;&#1048;&#1057;&#1054;&#1050;%20&#1087;&#1086;&#1079;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rk/Desktop/&#1055;&#1088;&#1072;&#1081;&#1089;%20&#1076;&#1083;&#1103;%20&#1087;&#1088;&#1077;&#1076;&#1088;&#1072;&#1089;&#1095;&#1077;&#1090;&#1086;&#107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rk/Desktop/&#1053;&#1054;&#1042;&#1067;&#1049;%20&#1055;&#1056;&#1040;&#1049;&#105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ales\&#1052;&#1086;&#1080;%20&#1076;&#1086;&#1082;&#1091;&#1084;&#1077;&#1085;&#1090;&#1099;\&#1056;&#1072;&#1073;&#1086;&#1095;&#1080;&#1077;\&#1064;&#1072;&#1073;&#1083;&#1086;&#1085;&#1099;\05.02.2007\&#1088;&#1072;&#1084;&#1085;&#1080;&#1082;&#1080;_&#1085;&#1086;&#107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овные"/>
      <sheetName val="Перекупные"/>
      <sheetName val="СП"/>
    </sheetNames>
    <sheetDataSet>
      <sheetData sheetId="0" refreshError="1">
        <row r="4">
          <cell r="F4">
            <v>506</v>
          </cell>
        </row>
        <row r="11">
          <cell r="F11">
            <v>1868</v>
          </cell>
        </row>
        <row r="16">
          <cell r="F16">
            <v>1255</v>
          </cell>
        </row>
        <row r="23">
          <cell r="F23">
            <v>555</v>
          </cell>
        </row>
        <row r="26">
          <cell r="F26">
            <v>1</v>
          </cell>
        </row>
        <row r="29">
          <cell r="D29" t="e">
            <v>#N/A</v>
          </cell>
        </row>
        <row r="31">
          <cell r="D31" t="e">
            <v>#N/A</v>
          </cell>
        </row>
        <row r="34">
          <cell r="F34">
            <v>810</v>
          </cell>
          <cell r="G34">
            <v>5.3</v>
          </cell>
        </row>
        <row r="38">
          <cell r="F38">
            <v>1786.4</v>
          </cell>
        </row>
        <row r="39">
          <cell r="F39">
            <v>810.15199999999982</v>
          </cell>
        </row>
        <row r="40">
          <cell r="F40">
            <v>1061.3119999999999</v>
          </cell>
        </row>
        <row r="74">
          <cell r="F74">
            <v>787.74999999999989</v>
          </cell>
        </row>
        <row r="75">
          <cell r="F75">
            <v>590.44449999999995</v>
          </cell>
        </row>
        <row r="80">
          <cell r="F80">
            <v>868.24999999999989</v>
          </cell>
        </row>
        <row r="81">
          <cell r="F81">
            <v>648.53100000000006</v>
          </cell>
        </row>
        <row r="83">
          <cell r="F83">
            <v>1265</v>
          </cell>
        </row>
        <row r="84">
          <cell r="F84">
            <v>924.61149999999986</v>
          </cell>
        </row>
        <row r="86">
          <cell r="F86">
            <v>1035</v>
          </cell>
        </row>
        <row r="100">
          <cell r="F100">
            <v>736</v>
          </cell>
        </row>
        <row r="102">
          <cell r="F102" t="e">
            <v>#N/A</v>
          </cell>
        </row>
        <row r="103">
          <cell r="F103">
            <v>919.99999999999989</v>
          </cell>
        </row>
        <row r="104">
          <cell r="F104">
            <v>747.49999999999989</v>
          </cell>
        </row>
        <row r="106">
          <cell r="D106">
            <v>339.5</v>
          </cell>
        </row>
        <row r="107">
          <cell r="F107">
            <v>747.49999999999989</v>
          </cell>
        </row>
        <row r="110">
          <cell r="F110">
            <v>1903.2499999999998</v>
          </cell>
        </row>
        <row r="111">
          <cell r="F111">
            <v>1575.4999999999998</v>
          </cell>
        </row>
        <row r="113">
          <cell r="F113">
            <v>919.99999999999989</v>
          </cell>
        </row>
        <row r="114">
          <cell r="F114">
            <v>747.49999999999989</v>
          </cell>
        </row>
        <row r="129">
          <cell r="F129">
            <v>466</v>
          </cell>
        </row>
        <row r="130">
          <cell r="F130">
            <v>585</v>
          </cell>
        </row>
        <row r="131">
          <cell r="F131">
            <v>463</v>
          </cell>
        </row>
        <row r="132">
          <cell r="F132">
            <v>351</v>
          </cell>
        </row>
        <row r="133">
          <cell r="F133">
            <v>64</v>
          </cell>
        </row>
        <row r="134">
          <cell r="F134">
            <v>129</v>
          </cell>
        </row>
        <row r="135">
          <cell r="F135">
            <v>352</v>
          </cell>
        </row>
        <row r="141">
          <cell r="F141">
            <v>635</v>
          </cell>
        </row>
        <row r="142">
          <cell r="F142">
            <v>840</v>
          </cell>
        </row>
        <row r="143">
          <cell r="F143">
            <v>495</v>
          </cell>
        </row>
        <row r="144">
          <cell r="F144">
            <v>413</v>
          </cell>
        </row>
        <row r="145">
          <cell r="F145">
            <v>146</v>
          </cell>
        </row>
        <row r="146">
          <cell r="F146">
            <v>408</v>
          </cell>
        </row>
        <row r="148">
          <cell r="F148">
            <v>309</v>
          </cell>
        </row>
        <row r="152">
          <cell r="F152">
            <v>2071</v>
          </cell>
        </row>
        <row r="158">
          <cell r="F158">
            <v>3450</v>
          </cell>
        </row>
        <row r="160">
          <cell r="F160">
            <v>4650</v>
          </cell>
        </row>
        <row r="161">
          <cell r="F161">
            <v>4140</v>
          </cell>
        </row>
        <row r="162">
          <cell r="F162">
            <v>4150</v>
          </cell>
        </row>
        <row r="168">
          <cell r="F168">
            <v>89.14</v>
          </cell>
        </row>
        <row r="169">
          <cell r="F169">
            <v>42</v>
          </cell>
        </row>
        <row r="173">
          <cell r="F173">
            <v>612</v>
          </cell>
        </row>
        <row r="215">
          <cell r="F215">
            <v>218.4</v>
          </cell>
        </row>
        <row r="216">
          <cell r="F216">
            <v>302.40000000000003</v>
          </cell>
        </row>
        <row r="227">
          <cell r="F227">
            <v>262.5</v>
          </cell>
        </row>
        <row r="228">
          <cell r="F228">
            <v>362.25</v>
          </cell>
        </row>
        <row r="229">
          <cell r="F229">
            <v>476.70000000000005</v>
          </cell>
        </row>
        <row r="239">
          <cell r="F239">
            <v>318.15000000000003</v>
          </cell>
        </row>
        <row r="253">
          <cell r="F253">
            <v>521.85</v>
          </cell>
        </row>
        <row r="259">
          <cell r="D259">
            <v>507</v>
          </cell>
        </row>
        <row r="265">
          <cell r="D265">
            <v>570</v>
          </cell>
        </row>
        <row r="273">
          <cell r="F273">
            <v>618.45000000000005</v>
          </cell>
        </row>
        <row r="277">
          <cell r="D277">
            <v>604</v>
          </cell>
        </row>
        <row r="278">
          <cell r="D278">
            <v>779</v>
          </cell>
        </row>
        <row r="284">
          <cell r="D284">
            <v>666</v>
          </cell>
        </row>
        <row r="285">
          <cell r="D285">
            <v>882</v>
          </cell>
        </row>
        <row r="288">
          <cell r="D288">
            <v>753</v>
          </cell>
        </row>
        <row r="289">
          <cell r="D289">
            <v>997</v>
          </cell>
        </row>
        <row r="294">
          <cell r="F294">
            <v>532.35</v>
          </cell>
        </row>
        <row r="295">
          <cell r="F295">
            <v>704.55000000000007</v>
          </cell>
        </row>
        <row r="299">
          <cell r="F299">
            <v>630</v>
          </cell>
        </row>
        <row r="301">
          <cell r="F301">
            <v>833.7</v>
          </cell>
        </row>
        <row r="342">
          <cell r="F342">
            <v>1043.7</v>
          </cell>
        </row>
        <row r="343">
          <cell r="F343">
            <v>1370.25</v>
          </cell>
        </row>
        <row r="344">
          <cell r="F344">
            <v>1693.65</v>
          </cell>
        </row>
        <row r="345">
          <cell r="F345">
            <v>2020.2</v>
          </cell>
        </row>
        <row r="350">
          <cell r="F350" t="e">
            <v>#N/A</v>
          </cell>
        </row>
        <row r="352">
          <cell r="F352">
            <v>223</v>
          </cell>
        </row>
        <row r="355">
          <cell r="F355">
            <v>190</v>
          </cell>
        </row>
        <row r="425">
          <cell r="F425">
            <v>2.3459999999999996</v>
          </cell>
        </row>
        <row r="426">
          <cell r="F426">
            <v>1.8974999999999997</v>
          </cell>
        </row>
        <row r="427">
          <cell r="F427">
            <v>4.1284999999999998</v>
          </cell>
        </row>
        <row r="428">
          <cell r="F428">
            <v>0.60949999999999993</v>
          </cell>
        </row>
        <row r="430">
          <cell r="F430">
            <v>1.6214999999999997</v>
          </cell>
        </row>
        <row r="544">
          <cell r="D544">
            <v>291</v>
          </cell>
          <cell r="F544">
            <v>291</v>
          </cell>
        </row>
        <row r="545">
          <cell r="D545">
            <v>114</v>
          </cell>
          <cell r="F545">
            <v>114</v>
          </cell>
        </row>
      </sheetData>
      <sheetData sheetId="1" refreshError="1">
        <row r="4">
          <cell r="F4">
            <v>164890</v>
          </cell>
        </row>
        <row r="6">
          <cell r="F6">
            <v>167900</v>
          </cell>
        </row>
        <row r="7">
          <cell r="F7">
            <v>172500</v>
          </cell>
        </row>
        <row r="10">
          <cell r="F10">
            <v>173650</v>
          </cell>
        </row>
        <row r="12">
          <cell r="F12">
            <v>179400</v>
          </cell>
        </row>
        <row r="13">
          <cell r="F13">
            <v>183430</v>
          </cell>
        </row>
        <row r="18">
          <cell r="F18">
            <v>69</v>
          </cell>
        </row>
        <row r="23">
          <cell r="F23">
            <v>337.71666666666664</v>
          </cell>
        </row>
        <row r="24">
          <cell r="F24">
            <v>322.38333333333327</v>
          </cell>
        </row>
        <row r="25">
          <cell r="F25">
            <v>280.59999999999997</v>
          </cell>
        </row>
        <row r="27">
          <cell r="F27">
            <v>169.43333333333331</v>
          </cell>
        </row>
        <row r="29">
          <cell r="F29">
            <v>0.91999999999999993</v>
          </cell>
        </row>
        <row r="34">
          <cell r="F34">
            <v>402.75555555555553</v>
          </cell>
        </row>
        <row r="54">
          <cell r="F54">
            <v>12.879999999999999</v>
          </cell>
        </row>
        <row r="55">
          <cell r="F55">
            <v>4.2549999999999999</v>
          </cell>
        </row>
        <row r="56">
          <cell r="F56">
            <v>1.0349999999999999</v>
          </cell>
        </row>
        <row r="62">
          <cell r="F62">
            <v>30.015000000000001</v>
          </cell>
        </row>
        <row r="63">
          <cell r="F63">
            <v>10.637499999999999</v>
          </cell>
        </row>
        <row r="64">
          <cell r="F64">
            <v>2.9899999999999998</v>
          </cell>
        </row>
        <row r="69">
          <cell r="F69">
            <v>12879.999999999998</v>
          </cell>
        </row>
        <row r="71">
          <cell r="F71">
            <v>26164.02116402116</v>
          </cell>
        </row>
        <row r="72">
          <cell r="F72">
            <v>5914.2857142857138</v>
          </cell>
        </row>
        <row r="79">
          <cell r="F79">
            <v>241.5</v>
          </cell>
        </row>
        <row r="85">
          <cell r="F85">
            <v>63.249999999999993</v>
          </cell>
        </row>
      </sheetData>
      <sheetData sheetId="2" refreshError="1">
        <row r="4">
          <cell r="B4">
            <v>4048.0000000000005</v>
          </cell>
          <cell r="C4">
            <v>2920</v>
          </cell>
          <cell r="D4">
            <v>18.2</v>
          </cell>
        </row>
        <row r="5">
          <cell r="B5">
            <v>4185.5</v>
          </cell>
          <cell r="C5">
            <v>4471.5</v>
          </cell>
          <cell r="D5">
            <v>20.100000000000001</v>
          </cell>
        </row>
        <row r="6">
          <cell r="B6">
            <v>4449.5</v>
          </cell>
          <cell r="C6">
            <v>4730</v>
          </cell>
          <cell r="D6">
            <v>22</v>
          </cell>
        </row>
        <row r="7">
          <cell r="B7">
            <v>4746.5</v>
          </cell>
          <cell r="C7">
            <v>4983</v>
          </cell>
          <cell r="D7">
            <v>24.85</v>
          </cell>
        </row>
        <row r="9">
          <cell r="B9">
            <v>5137</v>
          </cell>
          <cell r="C9">
            <v>5417.5</v>
          </cell>
          <cell r="D9">
            <v>29.6</v>
          </cell>
        </row>
        <row r="11">
          <cell r="I11">
            <v>6682.5000000000009</v>
          </cell>
          <cell r="K11">
            <v>6979.5000000000009</v>
          </cell>
          <cell r="L11">
            <v>36.85</v>
          </cell>
        </row>
        <row r="19">
          <cell r="B19">
            <v>43.1</v>
          </cell>
        </row>
        <row r="20">
          <cell r="B20">
            <v>51.9</v>
          </cell>
        </row>
        <row r="21">
          <cell r="B21">
            <v>71.099999999999994</v>
          </cell>
        </row>
        <row r="22">
          <cell r="B22">
            <v>94.8</v>
          </cell>
        </row>
        <row r="23">
          <cell r="B23">
            <v>145.69999999999999</v>
          </cell>
        </row>
        <row r="24">
          <cell r="B24">
            <v>188.9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тавить из 1с сюда"/>
      <sheetName val="ячейку брать сдесь"/>
      <sheetName val="ПГС и ТПГС"/>
      <sheetName val="ПZ и TПZ"/>
      <sheetName val="ПП"/>
      <sheetName val="ПС"/>
      <sheetName val="ТПС"/>
      <sheetName val="ТПП"/>
      <sheetName val="Профлист,доборы"/>
      <sheetName val="Перекупные"/>
      <sheetName val="СП"/>
      <sheetName val="Водосток"/>
      <sheetName val="НПП"/>
      <sheetName val="Уголки"/>
      <sheetName val="ПШ"/>
      <sheetName val="Комплектушки"/>
      <sheetName val="Кронштейны"/>
      <sheetName val="Саморезы и заклепки"/>
      <sheetName val="КНАУФ"/>
    </sheetNames>
    <sheetDataSet>
      <sheetData sheetId="0"/>
      <sheetData sheetId="1"/>
      <sheetData sheetId="2">
        <row r="204">
          <cell r="H204">
            <v>1289.4000000000001</v>
          </cell>
        </row>
        <row r="224">
          <cell r="H224">
            <v>1712.5500000000002</v>
          </cell>
        </row>
      </sheetData>
      <sheetData sheetId="3"/>
      <sheetData sheetId="4"/>
      <sheetData sheetId="5">
        <row r="15">
          <cell r="D15">
            <v>429</v>
          </cell>
          <cell r="H15">
            <v>450.45000000000005</v>
          </cell>
        </row>
      </sheetData>
      <sheetData sheetId="6"/>
      <sheetData sheetId="7"/>
      <sheetData sheetId="8">
        <row r="23">
          <cell r="E23">
            <v>603.84</v>
          </cell>
        </row>
        <row r="24">
          <cell r="E24">
            <v>782.8</v>
          </cell>
        </row>
        <row r="53">
          <cell r="E53">
            <v>1692</v>
          </cell>
        </row>
        <row r="54">
          <cell r="E54">
            <v>732</v>
          </cell>
        </row>
        <row r="57">
          <cell r="E57">
            <v>612</v>
          </cell>
        </row>
        <row r="59">
          <cell r="E59">
            <v>1807</v>
          </cell>
        </row>
        <row r="64">
          <cell r="E64">
            <v>200</v>
          </cell>
        </row>
      </sheetData>
      <sheetData sheetId="9">
        <row r="5">
          <cell r="F5">
            <v>137770</v>
          </cell>
        </row>
        <row r="7">
          <cell r="F7">
            <v>137430</v>
          </cell>
        </row>
        <row r="14">
          <cell r="F14">
            <v>166750</v>
          </cell>
        </row>
      </sheetData>
      <sheetData sheetId="10">
        <row r="11">
          <cell r="I11">
            <v>2740</v>
          </cell>
        </row>
        <row r="13">
          <cell r="K13">
            <v>3320</v>
          </cell>
        </row>
        <row r="38">
          <cell r="C38" t="str">
            <v>Сз под СП 5,5х140</v>
          </cell>
          <cell r="D38">
            <v>51.9</v>
          </cell>
        </row>
        <row r="40">
          <cell r="D40">
            <v>94.8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тавить из 1с сюда"/>
      <sheetName val="ячейку брать сдесь"/>
      <sheetName val="ПГС и ТПГС"/>
      <sheetName val="ПZ и TПZ"/>
      <sheetName val="ПП"/>
      <sheetName val="ПС"/>
      <sheetName val="ТПП"/>
      <sheetName val="ТПС"/>
      <sheetName val="Профлист,доборы"/>
      <sheetName val="Перекупные"/>
      <sheetName val="СП"/>
      <sheetName val="Водосток"/>
      <sheetName val="НПП"/>
      <sheetName val="Уголки"/>
      <sheetName val="ПШ"/>
      <sheetName val="Комплектушки"/>
      <sheetName val="Кронштейны"/>
      <sheetName val="Саморезы и заклепки"/>
      <sheetName val="КНАУФ"/>
    </sheetNames>
    <sheetDataSet>
      <sheetData sheetId="0"/>
      <sheetData sheetId="1"/>
      <sheetData sheetId="2"/>
      <sheetData sheetId="3"/>
      <sheetData sheetId="4">
        <row r="42">
          <cell r="H42">
            <v>405.3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тавить из 1с сюда"/>
      <sheetName val="ячейку брать сдесь"/>
      <sheetName val="ПГС и ТПГС"/>
      <sheetName val="ПZ и TПZ"/>
      <sheetName val="ПП"/>
      <sheetName val="ПС"/>
      <sheetName val="ТПП"/>
      <sheetName val="ТПС"/>
      <sheetName val="Профлист,доборы"/>
      <sheetName val="Перекупные"/>
      <sheetName val="СП"/>
      <sheetName val="Водосток"/>
      <sheetName val="НПП"/>
      <sheetName val="Уголки"/>
      <sheetName val="ПШ"/>
      <sheetName val="Комплектушки"/>
      <sheetName val="Кронштейны"/>
      <sheetName val="Саморезы и заклепки"/>
      <sheetName val="КНАУФ"/>
    </sheetNames>
    <sheetDataSet>
      <sheetData sheetId="0"/>
      <sheetData sheetId="1"/>
      <sheetData sheetId="2">
        <row r="204">
          <cell r="H204">
            <v>1268.4000000000001</v>
          </cell>
        </row>
      </sheetData>
      <sheetData sheetId="3"/>
      <sheetData sheetId="4">
        <row r="18">
          <cell r="H18">
            <v>308.7</v>
          </cell>
        </row>
      </sheetData>
      <sheetData sheetId="5">
        <row r="15">
          <cell r="H15">
            <v>443.1</v>
          </cell>
        </row>
      </sheetData>
      <sheetData sheetId="6"/>
      <sheetData sheetId="7"/>
      <sheetData sheetId="8">
        <row r="4">
          <cell r="E4">
            <v>1100</v>
          </cell>
        </row>
        <row r="42">
          <cell r="E42">
            <v>800</v>
          </cell>
        </row>
      </sheetData>
      <sheetData sheetId="9">
        <row r="5">
          <cell r="F5">
            <v>126500</v>
          </cell>
        </row>
        <row r="33">
          <cell r="F33">
            <v>1.6214999999999997</v>
          </cell>
        </row>
        <row r="34">
          <cell r="F34">
            <v>11.661</v>
          </cell>
        </row>
        <row r="35">
          <cell r="F35">
            <v>5.1289999999999996</v>
          </cell>
        </row>
        <row r="36">
          <cell r="F36">
            <v>0.97749999999999992</v>
          </cell>
        </row>
        <row r="40">
          <cell r="F40">
            <v>27.312499999999996</v>
          </cell>
        </row>
        <row r="41">
          <cell r="F41">
            <v>13.351499999999998</v>
          </cell>
        </row>
        <row r="42">
          <cell r="F42">
            <v>2.3804999999999996</v>
          </cell>
        </row>
        <row r="48">
          <cell r="F48">
            <v>2.2885</v>
          </cell>
        </row>
        <row r="60">
          <cell r="F60">
            <v>63.3</v>
          </cell>
        </row>
      </sheetData>
      <sheetData sheetId="10">
        <row r="11">
          <cell r="C11">
            <v>3905</v>
          </cell>
        </row>
        <row r="14">
          <cell r="I14">
            <v>4205</v>
          </cell>
        </row>
        <row r="41">
          <cell r="D41">
            <v>145.69999999999999</v>
          </cell>
        </row>
      </sheetData>
      <sheetData sheetId="11">
        <row r="2">
          <cell r="E2">
            <v>625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Z"/>
      <sheetName val="ПГС  ПГС-сигма"/>
      <sheetName val="ПП"/>
      <sheetName val="ПС"/>
      <sheetName val=" ТПП ТПС"/>
      <sheetName val="Профлист,Сайдинг,доборы (МП, (2"/>
      <sheetName val="СП"/>
      <sheetName val="Перекупные "/>
      <sheetName val="Водосток(МП)"/>
      <sheetName val="КНАУФ Перегородки"/>
    </sheetNames>
    <sheetDataSet>
      <sheetData sheetId="0">
        <row r="98">
          <cell r="E98">
            <v>1484.7</v>
          </cell>
        </row>
      </sheetData>
      <sheetData sheetId="1">
        <row r="181">
          <cell r="E181">
            <v>1484.7</v>
          </cell>
        </row>
      </sheetData>
      <sheetData sheetId="2">
        <row r="49">
          <cell r="G49">
            <v>2.1800000000000002</v>
          </cell>
        </row>
      </sheetData>
      <sheetData sheetId="3">
        <row r="23">
          <cell r="E23">
            <v>406.35</v>
          </cell>
        </row>
      </sheetData>
      <sheetData sheetId="4">
        <row r="148">
          <cell r="F148">
            <v>583.80000000000007</v>
          </cell>
        </row>
      </sheetData>
      <sheetData sheetId="5">
        <row r="4">
          <cell r="E4">
            <v>1100</v>
          </cell>
        </row>
        <row r="15">
          <cell r="E15">
            <v>804.01</v>
          </cell>
        </row>
        <row r="18">
          <cell r="E18">
            <v>550.84999999999991</v>
          </cell>
        </row>
      </sheetData>
      <sheetData sheetId="6">
        <row r="13">
          <cell r="I13">
            <v>3885</v>
          </cell>
        </row>
      </sheetData>
      <sheetData sheetId="7">
        <row r="5">
          <cell r="F5">
            <v>164890</v>
          </cell>
        </row>
      </sheetData>
      <sheetData sheetId="8">
        <row r="15">
          <cell r="E15">
            <v>625</v>
          </cell>
        </row>
      </sheetData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Z"/>
      <sheetName val="ПП"/>
      <sheetName val="ПГС  ПГС-сигма"/>
      <sheetName val="ПС"/>
      <sheetName val=" ТПП ТПС"/>
      <sheetName val="Профлист,Сайдинг,доборы (МП, (2"/>
      <sheetName val="СП"/>
      <sheetName val="Перекупные "/>
      <sheetName val="Водосток(МП)"/>
      <sheetName val="КНАУФ Перегородки"/>
    </sheetNames>
    <sheetDataSet>
      <sheetData sheetId="0">
        <row r="80">
          <cell r="E80">
            <v>1101.45</v>
          </cell>
        </row>
      </sheetData>
      <sheetData sheetId="1">
        <row r="22">
          <cell r="E22">
            <v>303.45</v>
          </cell>
        </row>
      </sheetData>
      <sheetData sheetId="2">
        <row r="56">
          <cell r="E56">
            <v>614.25</v>
          </cell>
        </row>
      </sheetData>
      <sheetData sheetId="3">
        <row r="9">
          <cell r="E9">
            <v>399</v>
          </cell>
        </row>
      </sheetData>
      <sheetData sheetId="4">
        <row r="3">
          <cell r="F3">
            <v>228.9</v>
          </cell>
        </row>
      </sheetData>
      <sheetData sheetId="5">
        <row r="4">
          <cell r="E4">
            <v>1100</v>
          </cell>
        </row>
      </sheetData>
      <sheetData sheetId="6">
        <row r="10">
          <cell r="I10">
            <v>3315</v>
          </cell>
        </row>
      </sheetData>
      <sheetData sheetId="7">
        <row r="5">
          <cell r="F5">
            <v>126500</v>
          </cell>
        </row>
      </sheetData>
      <sheetData sheetId="8">
        <row r="15">
          <cell r="E15">
            <v>625</v>
          </cell>
        </row>
        <row r="16">
          <cell r="E16">
            <v>425</v>
          </cell>
        </row>
        <row r="17">
          <cell r="E17">
            <v>265</v>
          </cell>
        </row>
        <row r="18">
          <cell r="E18">
            <v>325</v>
          </cell>
        </row>
        <row r="19">
          <cell r="E19">
            <v>90</v>
          </cell>
        </row>
        <row r="20">
          <cell r="E20">
            <v>410</v>
          </cell>
        </row>
        <row r="21">
          <cell r="E21">
            <v>410</v>
          </cell>
        </row>
        <row r="22">
          <cell r="E22">
            <v>345</v>
          </cell>
        </row>
        <row r="23">
          <cell r="E23">
            <v>531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точник"/>
      <sheetName val="Лист2"/>
      <sheetName val="Лист3"/>
    </sheetNames>
    <sheetDataSet>
      <sheetData sheetId="0">
        <row r="24">
          <cell r="G24">
            <v>0</v>
          </cell>
        </row>
        <row r="52">
          <cell r="G52">
            <v>0</v>
          </cell>
        </row>
        <row r="56">
          <cell r="G56">
            <v>0</v>
          </cell>
        </row>
        <row r="69">
          <cell r="G69">
            <v>0</v>
          </cell>
        </row>
        <row r="70">
          <cell r="G70">
            <v>0</v>
          </cell>
        </row>
        <row r="128">
          <cell r="F128">
            <v>486</v>
          </cell>
        </row>
        <row r="216">
          <cell r="F216">
            <v>533</v>
          </cell>
        </row>
        <row r="491">
          <cell r="F491">
            <v>445</v>
          </cell>
        </row>
        <row r="500">
          <cell r="F500" t="str">
            <v>339,5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ставить из 1с сюда"/>
      <sheetName val="ячейку брать сдесь"/>
      <sheetName val="ПГС и ТПГС"/>
      <sheetName val="ПZ и TПZ"/>
      <sheetName val="ПП"/>
      <sheetName val="ПС"/>
      <sheetName val="ТПП"/>
      <sheetName val="ТПС"/>
      <sheetName val="Профлист,доборы"/>
      <sheetName val="Перекупные"/>
      <sheetName val="СП"/>
      <sheetName val="Водосток"/>
      <sheetName val="НПП"/>
      <sheetName val="Уголки"/>
      <sheetName val="ПШ"/>
      <sheetName val="Комплектушки"/>
      <sheetName val="Кронштейны"/>
      <sheetName val="Саморезы и заклепки"/>
      <sheetName val="КНАУФ"/>
    </sheetNames>
    <sheetDataSet>
      <sheetData sheetId="0"/>
      <sheetData sheetId="1"/>
      <sheetData sheetId="2">
        <row r="204">
          <cell r="H204">
            <v>1268.4000000000001</v>
          </cell>
        </row>
      </sheetData>
      <sheetData sheetId="3">
        <row r="68">
          <cell r="H68">
            <v>1268.4000000000001</v>
          </cell>
        </row>
      </sheetData>
      <sheetData sheetId="4"/>
      <sheetData sheetId="5">
        <row r="45">
          <cell r="D45">
            <v>484</v>
          </cell>
        </row>
      </sheetData>
      <sheetData sheetId="6"/>
      <sheetData sheetId="7"/>
      <sheetData sheetId="8">
        <row r="21">
          <cell r="E21">
            <v>933.26</v>
          </cell>
        </row>
      </sheetData>
      <sheetData sheetId="9">
        <row r="5">
          <cell r="F5">
            <v>126500</v>
          </cell>
        </row>
        <row r="21">
          <cell r="F21">
            <v>385.24999999999994</v>
          </cell>
        </row>
        <row r="53">
          <cell r="F53">
            <v>0.91999999999999993</v>
          </cell>
        </row>
      </sheetData>
      <sheetData sheetId="10">
        <row r="11">
          <cell r="I11">
            <v>3425</v>
          </cell>
        </row>
      </sheetData>
      <sheetData sheetId="11">
        <row r="2">
          <cell r="E2">
            <v>625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Z"/>
      <sheetName val="ПП"/>
      <sheetName val="ПГС  ПГС-сигма"/>
      <sheetName val="ПС"/>
      <sheetName val=" ТПП ТПС"/>
      <sheetName val="Профлист,Сайдинг,доборы (МП, (2"/>
      <sheetName val="СП"/>
      <sheetName val="Перекупные "/>
      <sheetName val="Водосток(МП)"/>
      <sheetName val="КНАУФ Перегород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F5">
            <v>126500</v>
          </cell>
        </row>
        <row r="65">
          <cell r="F65">
            <v>6094.9999999999991</v>
          </cell>
        </row>
        <row r="66">
          <cell r="F66">
            <v>40480</v>
          </cell>
        </row>
        <row r="67">
          <cell r="F67">
            <v>29462.999999999996</v>
          </cell>
        </row>
      </sheetData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"/>
      <sheetName val="типовые рамники до 15м"/>
      <sheetName val="рамники_нов"/>
    </sheetNames>
    <sheetDataSet>
      <sheetData sheetId="0">
        <row r="8">
          <cell r="B8">
            <v>210</v>
          </cell>
        </row>
        <row r="17">
          <cell r="D17">
            <v>2.63</v>
          </cell>
        </row>
        <row r="24">
          <cell r="K24">
            <v>93</v>
          </cell>
        </row>
        <row r="28">
          <cell r="G28">
            <v>0.33</v>
          </cell>
        </row>
        <row r="34">
          <cell r="E34">
            <v>1741</v>
          </cell>
        </row>
        <row r="37">
          <cell r="K37">
            <v>61</v>
          </cell>
        </row>
        <row r="43">
          <cell r="J43">
            <v>192</v>
          </cell>
        </row>
      </sheetData>
      <sheetData sheetId="1">
        <row r="4">
          <cell r="I4">
            <v>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88"/>
  <sheetViews>
    <sheetView tabSelected="1" zoomScale="110" zoomScaleNormal="110" zoomScaleSheetLayoutView="112" workbookViewId="0">
      <selection activeCell="A141" sqref="A141:XFD145"/>
    </sheetView>
  </sheetViews>
  <sheetFormatPr defaultRowHeight="12.75" x14ac:dyDescent="0.2"/>
  <cols>
    <col min="1" max="1" width="9.140625" customWidth="1"/>
    <col min="2" max="2" width="33.28515625" customWidth="1"/>
    <col min="3" max="3" width="9" customWidth="1"/>
    <col min="4" max="4" width="8.28515625" customWidth="1"/>
    <col min="5" max="5" width="13.140625" customWidth="1"/>
    <col min="6" max="6" width="15.42578125" customWidth="1"/>
    <col min="7" max="7" width="11.85546875" customWidth="1"/>
    <col min="8" max="8" width="14.85546875" style="236" customWidth="1"/>
    <col min="9" max="9" width="17.5703125" customWidth="1"/>
    <col min="10" max="10" width="12.5703125" customWidth="1"/>
    <col min="11" max="11" width="11.140625" bestFit="1" customWidth="1"/>
    <col min="12" max="12" width="11.85546875" bestFit="1" customWidth="1"/>
    <col min="13" max="13" width="13.28515625" bestFit="1" customWidth="1"/>
    <col min="14" max="14" width="12.42578125" bestFit="1" customWidth="1"/>
    <col min="15" max="15" width="11" bestFit="1" customWidth="1"/>
    <col min="16" max="16" width="13.140625" bestFit="1" customWidth="1"/>
    <col min="17" max="17" width="5.5703125" bestFit="1" customWidth="1"/>
    <col min="18" max="18" width="11.42578125" bestFit="1" customWidth="1"/>
    <col min="19" max="19" width="7.140625" customWidth="1"/>
    <col min="20" max="20" width="11.42578125" bestFit="1" customWidth="1"/>
    <col min="21" max="21" width="5.5703125" bestFit="1" customWidth="1"/>
    <col min="23" max="23" width="8.140625" bestFit="1" customWidth="1"/>
    <col min="24" max="24" width="10.140625" bestFit="1" customWidth="1"/>
    <col min="30" max="30" width="14" customWidth="1"/>
  </cols>
  <sheetData>
    <row r="1" spans="1:35" x14ac:dyDescent="0.2">
      <c r="A1" s="1047"/>
      <c r="B1" s="1047"/>
      <c r="C1" s="1048" t="s">
        <v>13</v>
      </c>
      <c r="D1" s="1048"/>
      <c r="E1" s="1048"/>
      <c r="F1" s="1048"/>
      <c r="G1" s="1048"/>
      <c r="H1" s="285" t="s">
        <v>14</v>
      </c>
      <c r="I1" s="14"/>
      <c r="J1" s="14"/>
      <c r="K1" s="192"/>
      <c r="L1" s="1033"/>
      <c r="M1" s="1033"/>
      <c r="N1" s="1033"/>
      <c r="O1" s="1033"/>
      <c r="P1" s="1033"/>
      <c r="Q1" s="1033"/>
      <c r="R1" s="1033"/>
      <c r="S1" s="1033"/>
      <c r="T1" s="76"/>
    </row>
    <row r="2" spans="1:35" x14ac:dyDescent="0.2">
      <c r="A2" s="1047"/>
      <c r="B2" s="1047"/>
      <c r="C2" s="1048"/>
      <c r="D2" s="1048"/>
      <c r="E2" s="1048"/>
      <c r="F2" s="1048"/>
      <c r="G2" s="1048"/>
      <c r="H2" s="286"/>
      <c r="I2" s="16"/>
      <c r="J2" s="16"/>
      <c r="K2" s="192"/>
      <c r="L2" s="193"/>
      <c r="M2" s="193"/>
      <c r="N2" s="192"/>
      <c r="O2" s="192"/>
      <c r="P2" s="194"/>
      <c r="Q2" s="193"/>
      <c r="R2" s="192"/>
      <c r="S2" s="192"/>
      <c r="T2" s="76"/>
    </row>
    <row r="3" spans="1:35" x14ac:dyDescent="0.2">
      <c r="A3" s="1049" t="s">
        <v>64</v>
      </c>
      <c r="B3" s="1049"/>
      <c r="C3" s="1048"/>
      <c r="D3" s="1048"/>
      <c r="E3" s="1048"/>
      <c r="F3" s="1048"/>
      <c r="G3" s="1048"/>
      <c r="H3" s="287" t="s">
        <v>15</v>
      </c>
      <c r="I3" s="65">
        <v>2</v>
      </c>
      <c r="J3" s="16"/>
      <c r="K3" s="192"/>
      <c r="L3" s="193"/>
      <c r="M3" s="193"/>
      <c r="N3" s="192"/>
      <c r="O3" s="192"/>
      <c r="P3" s="195"/>
      <c r="Q3" s="193"/>
      <c r="R3" s="196"/>
      <c r="S3" s="192"/>
      <c r="T3" s="215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spans="1:35" x14ac:dyDescent="0.2">
      <c r="A4" s="1049"/>
      <c r="B4" s="1049"/>
      <c r="C4" s="1048"/>
      <c r="D4" s="1048"/>
      <c r="E4" s="1048"/>
      <c r="F4" s="1048"/>
      <c r="G4" s="1048"/>
      <c r="H4" s="287" t="s">
        <v>16</v>
      </c>
      <c r="I4" s="65">
        <v>0</v>
      </c>
      <c r="J4" s="16"/>
      <c r="K4" s="192"/>
      <c r="L4" s="197"/>
      <c r="M4" s="197"/>
      <c r="N4" s="192"/>
      <c r="O4" s="192"/>
      <c r="P4" s="197"/>
      <c r="Q4" s="197"/>
      <c r="R4" s="198"/>
      <c r="S4" s="192"/>
      <c r="T4" s="197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</row>
    <row r="5" spans="1:35" ht="15.75" x14ac:dyDescent="0.25">
      <c r="A5" s="17"/>
      <c r="B5" s="18" t="s">
        <v>180</v>
      </c>
      <c r="C5" s="298">
        <v>3</v>
      </c>
      <c r="D5" s="299">
        <v>2</v>
      </c>
      <c r="E5" s="19"/>
      <c r="F5" s="20" t="s">
        <v>183</v>
      </c>
      <c r="G5" s="341">
        <v>22285</v>
      </c>
      <c r="H5" s="286"/>
      <c r="I5" s="16"/>
      <c r="J5" s="16"/>
      <c r="K5" s="192"/>
      <c r="L5" s="192"/>
      <c r="M5" s="192"/>
      <c r="N5" s="192"/>
      <c r="O5" s="192" t="s">
        <v>299</v>
      </c>
      <c r="P5" s="192"/>
      <c r="Q5" s="192"/>
      <c r="R5" s="199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</row>
    <row r="6" spans="1:35" ht="15" x14ac:dyDescent="0.2">
      <c r="A6" s="239" t="s">
        <v>181</v>
      </c>
      <c r="B6" s="984" t="s">
        <v>402</v>
      </c>
      <c r="C6" s="19"/>
      <c r="D6" s="21"/>
      <c r="E6" s="1000"/>
      <c r="F6" s="1000"/>
      <c r="G6" s="21"/>
      <c r="H6" s="286" t="s">
        <v>17</v>
      </c>
      <c r="I6" s="16"/>
      <c r="J6" s="16">
        <v>0</v>
      </c>
      <c r="M6" s="192"/>
      <c r="N6" s="192"/>
      <c r="O6" s="192"/>
      <c r="P6" s="192"/>
      <c r="Q6" s="192"/>
      <c r="R6" s="199"/>
      <c r="S6" s="192"/>
      <c r="T6" s="192"/>
      <c r="U6" s="216"/>
      <c r="V6" s="192"/>
      <c r="W6" s="192"/>
      <c r="X6" s="192"/>
      <c r="Y6" s="192"/>
      <c r="Z6" s="192"/>
      <c r="AA6" s="216"/>
      <c r="AB6" s="1004"/>
      <c r="AC6" s="1004"/>
      <c r="AD6" s="1004"/>
      <c r="AE6" s="192"/>
      <c r="AF6" s="1004"/>
      <c r="AG6" s="1004"/>
      <c r="AH6" s="1004"/>
      <c r="AI6" s="192"/>
    </row>
    <row r="7" spans="1:35" x14ac:dyDescent="0.2">
      <c r="A7" s="241" t="s">
        <v>182</v>
      </c>
      <c r="B7" s="240" t="s">
        <v>369</v>
      </c>
      <c r="C7" s="22"/>
      <c r="D7" s="22"/>
      <c r="F7" s="23" t="str">
        <f>IF(I13=1,"альбом","проект")</f>
        <v>альбом</v>
      </c>
      <c r="G7" s="22"/>
      <c r="H7" s="286" t="s">
        <v>18</v>
      </c>
      <c r="I7" s="16"/>
      <c r="J7" s="16">
        <v>1</v>
      </c>
      <c r="L7" s="219"/>
      <c r="M7" s="3" t="s">
        <v>217</v>
      </c>
      <c r="N7" s="219" t="s">
        <v>289</v>
      </c>
      <c r="O7" s="219" t="s">
        <v>303</v>
      </c>
      <c r="P7" s="219" t="s">
        <v>302</v>
      </c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</row>
    <row r="8" spans="1:35" ht="15" x14ac:dyDescent="0.25">
      <c r="A8" s="18"/>
      <c r="B8" s="20" t="s">
        <v>20</v>
      </c>
      <c r="C8" s="66">
        <v>18</v>
      </c>
      <c r="D8" s="954"/>
      <c r="E8" s="24"/>
      <c r="F8" s="237" t="s">
        <v>178</v>
      </c>
      <c r="G8" s="238">
        <v>2</v>
      </c>
      <c r="H8" s="286" t="s">
        <v>21</v>
      </c>
      <c r="I8" s="16"/>
      <c r="J8" s="16">
        <v>2</v>
      </c>
      <c r="K8" s="192"/>
      <c r="L8" s="219" t="s">
        <v>288</v>
      </c>
      <c r="M8" s="998">
        <v>6</v>
      </c>
      <c r="N8" s="226">
        <v>6</v>
      </c>
      <c r="O8" s="226" t="s">
        <v>292</v>
      </c>
      <c r="P8" s="226" t="s">
        <v>294</v>
      </c>
      <c r="Q8" s="192"/>
      <c r="R8" s="192"/>
      <c r="S8" s="192"/>
      <c r="T8" s="192"/>
      <c r="U8" s="192"/>
      <c r="V8" s="197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</row>
    <row r="9" spans="1:35" ht="15" x14ac:dyDescent="0.25">
      <c r="A9" s="25"/>
      <c r="B9" s="20" t="s">
        <v>22</v>
      </c>
      <c r="C9" s="66">
        <v>48</v>
      </c>
      <c r="D9" s="954"/>
      <c r="E9" s="26"/>
      <c r="F9" s="237" t="s">
        <v>179</v>
      </c>
      <c r="G9" s="238">
        <v>5</v>
      </c>
      <c r="H9" s="286" t="s">
        <v>23</v>
      </c>
      <c r="I9" s="16"/>
      <c r="J9" s="16">
        <v>3</v>
      </c>
      <c r="K9" s="192"/>
      <c r="L9" s="3"/>
      <c r="M9" s="998"/>
      <c r="N9" s="226">
        <v>3</v>
      </c>
      <c r="O9" s="226" t="s">
        <v>293</v>
      </c>
      <c r="P9" s="226" t="s">
        <v>295</v>
      </c>
      <c r="Q9" s="192"/>
      <c r="R9" s="192"/>
      <c r="S9" s="192"/>
      <c r="T9" s="192"/>
      <c r="U9" s="192"/>
      <c r="V9" s="197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</row>
    <row r="10" spans="1:35" x14ac:dyDescent="0.2">
      <c r="A10" s="1"/>
      <c r="B10" s="20" t="s">
        <v>24</v>
      </c>
      <c r="C10" s="66">
        <v>6</v>
      </c>
      <c r="E10" s="26"/>
      <c r="F10" s="5"/>
      <c r="H10" s="286" t="s">
        <v>25</v>
      </c>
      <c r="I10" s="16"/>
      <c r="J10" s="16">
        <v>4</v>
      </c>
      <c r="K10" s="192"/>
      <c r="L10" s="471" t="s">
        <v>290</v>
      </c>
      <c r="M10" s="998">
        <v>5</v>
      </c>
      <c r="N10" s="472">
        <v>6</v>
      </c>
      <c r="O10" s="472" t="s">
        <v>292</v>
      </c>
      <c r="P10" s="472" t="s">
        <v>294</v>
      </c>
      <c r="Q10" s="192"/>
      <c r="R10" s="192"/>
      <c r="S10" s="192"/>
      <c r="T10" s="192"/>
      <c r="U10" s="192"/>
      <c r="V10" s="197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</row>
    <row r="11" spans="1:35" x14ac:dyDescent="0.2">
      <c r="A11" s="999" t="s">
        <v>26</v>
      </c>
      <c r="B11" s="999"/>
      <c r="C11" s="956">
        <v>4</v>
      </c>
      <c r="D11" s="1"/>
      <c r="E11" s="1"/>
      <c r="F11" s="5"/>
      <c r="H11" s="286" t="s">
        <v>101</v>
      </c>
      <c r="I11" s="242"/>
      <c r="J11" s="16">
        <v>5</v>
      </c>
      <c r="K11" s="192"/>
      <c r="L11" s="471"/>
      <c r="M11" s="998"/>
      <c r="N11" s="472">
        <v>3</v>
      </c>
      <c r="O11" s="472" t="s">
        <v>296</v>
      </c>
      <c r="P11" s="472" t="s">
        <v>295</v>
      </c>
      <c r="Q11" s="192"/>
      <c r="R11" s="192"/>
      <c r="S11" s="192"/>
      <c r="T11" s="197"/>
      <c r="U11" s="192"/>
      <c r="V11" s="192"/>
      <c r="W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</row>
    <row r="12" spans="1:35" ht="13.5" thickBot="1" x14ac:dyDescent="0.25">
      <c r="B12" s="20" t="s">
        <v>27</v>
      </c>
      <c r="C12" s="346" t="s">
        <v>392</v>
      </c>
      <c r="D12" s="1001"/>
      <c r="E12" s="1001"/>
      <c r="F12" s="1001"/>
      <c r="H12" s="294" t="s">
        <v>214</v>
      </c>
      <c r="I12" s="295" t="s">
        <v>213</v>
      </c>
      <c r="J12" s="8"/>
      <c r="K12" s="192"/>
      <c r="L12" s="219" t="s">
        <v>291</v>
      </c>
      <c r="M12" s="998">
        <v>5</v>
      </c>
      <c r="N12" s="226">
        <v>6</v>
      </c>
      <c r="O12" s="226" t="s">
        <v>297</v>
      </c>
      <c r="P12" s="226" t="s">
        <v>296</v>
      </c>
      <c r="Q12" s="192"/>
      <c r="R12" s="192"/>
      <c r="S12" s="192"/>
      <c r="T12" s="297"/>
      <c r="U12" s="192"/>
      <c r="V12" s="192"/>
      <c r="W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</row>
    <row r="13" spans="1:35" x14ac:dyDescent="0.2">
      <c r="A13" s="15"/>
      <c r="B13" s="30" t="s">
        <v>28</v>
      </c>
      <c r="C13" s="346" t="s">
        <v>387</v>
      </c>
      <c r="D13" s="31"/>
      <c r="E13" s="175"/>
      <c r="F13" s="13"/>
      <c r="G13" s="15"/>
      <c r="H13" s="294" t="s">
        <v>215</v>
      </c>
      <c r="I13" s="296">
        <v>1</v>
      </c>
      <c r="J13" s="856" t="s">
        <v>358</v>
      </c>
      <c r="K13" s="192"/>
      <c r="L13" s="3"/>
      <c r="M13" s="998"/>
      <c r="N13" s="226">
        <v>3</v>
      </c>
      <c r="O13" s="226" t="s">
        <v>298</v>
      </c>
      <c r="P13" s="226" t="s">
        <v>296</v>
      </c>
      <c r="Q13" s="192"/>
      <c r="R13" s="192"/>
      <c r="S13" s="192"/>
      <c r="T13" s="192"/>
      <c r="U13" s="192"/>
      <c r="V13" s="192"/>
      <c r="W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</row>
    <row r="14" spans="1:35" s="317" customFormat="1" ht="15.75" x14ac:dyDescent="0.25">
      <c r="A14" s="316"/>
      <c r="D14" s="30" t="s">
        <v>29</v>
      </c>
      <c r="E14" s="67">
        <v>150</v>
      </c>
      <c r="F14" s="32" t="s">
        <v>30</v>
      </c>
      <c r="G14" s="316"/>
      <c r="H14" s="318"/>
      <c r="I14" s="319"/>
      <c r="J14" s="857">
        <f>15*3.14/180</f>
        <v>0.26166666666666666</v>
      </c>
      <c r="K14" s="297"/>
      <c r="L14" s="352"/>
      <c r="M14" s="317" t="s">
        <v>303</v>
      </c>
      <c r="N14" s="475" t="s">
        <v>302</v>
      </c>
      <c r="O14" s="355"/>
      <c r="P14" s="354"/>
      <c r="Q14" s="355"/>
      <c r="R14" s="354"/>
      <c r="S14" s="354"/>
      <c r="T14" s="355"/>
      <c r="U14" s="354"/>
      <c r="V14" s="355"/>
      <c r="W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</row>
    <row r="15" spans="1:35" s="317" customFormat="1" x14ac:dyDescent="0.2">
      <c r="A15" s="316"/>
      <c r="D15" s="30" t="s">
        <v>31</v>
      </c>
      <c r="E15" s="67">
        <v>100</v>
      </c>
      <c r="F15" s="32" t="s">
        <v>30</v>
      </c>
      <c r="G15" s="316"/>
      <c r="H15" s="271"/>
      <c r="I15" s="319"/>
      <c r="J15" s="857">
        <f>COS(J14)</f>
        <v>0.96596016853839861</v>
      </c>
      <c r="K15" s="297"/>
      <c r="L15" s="476" t="s">
        <v>288</v>
      </c>
      <c r="M15" s="477" t="str">
        <f>I36</f>
        <v>ТПС 245х65х2</v>
      </c>
      <c r="N15" s="477" t="str">
        <f>I34</f>
        <v>ТПС 200х65х2</v>
      </c>
      <c r="O15" s="355"/>
      <c r="P15" s="354"/>
      <c r="Q15" s="355"/>
      <c r="R15" s="354"/>
      <c r="S15" s="354"/>
      <c r="T15" s="355"/>
      <c r="U15" s="354"/>
      <c r="V15" s="355"/>
      <c r="W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</row>
    <row r="16" spans="1:35" s="317" customFormat="1" ht="13.5" thickBot="1" x14ac:dyDescent="0.25">
      <c r="A16" s="316"/>
      <c r="B16" s="33"/>
      <c r="C16" s="1002"/>
      <c r="D16" s="1002"/>
      <c r="E16" s="157"/>
      <c r="F16" s="34"/>
      <c r="G16" s="320"/>
      <c r="H16" s="321"/>
      <c r="I16" s="855" t="s">
        <v>212</v>
      </c>
      <c r="J16" s="858">
        <f>C8/2/J15*2</f>
        <v>18.634308728522349</v>
      </c>
      <c r="K16" s="297"/>
      <c r="L16" s="476" t="s">
        <v>300</v>
      </c>
      <c r="M16" s="477"/>
      <c r="N16" s="478"/>
      <c r="O16" s="355"/>
      <c r="P16" s="354"/>
      <c r="Q16" s="355"/>
      <c r="R16" s="354"/>
      <c r="S16" s="354"/>
      <c r="T16" s="355"/>
      <c r="U16" s="354"/>
      <c r="V16" s="355"/>
      <c r="W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</row>
    <row r="17" spans="1:35" s="317" customFormat="1" x14ac:dyDescent="0.2">
      <c r="A17" s="316"/>
      <c r="B17" s="323"/>
      <c r="C17" s="323"/>
      <c r="D17" s="35" t="s">
        <v>32</v>
      </c>
      <c r="E17" s="165">
        <f>0</f>
        <v>0</v>
      </c>
      <c r="F17" s="36" t="s">
        <v>33</v>
      </c>
      <c r="G17" s="323"/>
      <c r="H17" s="324"/>
      <c r="I17" s="293">
        <f>CEILING(C9/C11+1,1)</f>
        <v>13</v>
      </c>
      <c r="J17" s="297"/>
      <c r="K17" s="297"/>
      <c r="L17" s="462" t="s">
        <v>290</v>
      </c>
      <c r="M17" s="479" t="str">
        <f>I34</f>
        <v>ТПС 200х65х2</v>
      </c>
      <c r="N17" s="480" t="str">
        <f>I32</f>
        <v>ТПС 200х2</v>
      </c>
      <c r="O17" s="355"/>
      <c r="P17" s="354"/>
      <c r="Q17" s="355"/>
      <c r="R17" s="351"/>
      <c r="S17" s="352"/>
      <c r="T17" s="353"/>
      <c r="U17" s="352"/>
      <c r="V17" s="353"/>
      <c r="W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</row>
    <row r="18" spans="1:35" s="317" customFormat="1" ht="13.5" thickBot="1" x14ac:dyDescent="0.25">
      <c r="A18" s="1003" t="s">
        <v>34</v>
      </c>
      <c r="B18" s="1003"/>
      <c r="C18" s="1003"/>
      <c r="D18" s="1003"/>
      <c r="E18" s="37"/>
      <c r="F18" s="37"/>
      <c r="G18" s="37"/>
      <c r="H18" s="324"/>
      <c r="I18" s="325" t="s">
        <v>130</v>
      </c>
      <c r="J18" s="326" t="s">
        <v>128</v>
      </c>
      <c r="K18" s="348" t="s">
        <v>129</v>
      </c>
      <c r="L18" s="462" t="s">
        <v>301</v>
      </c>
      <c r="M18" s="479"/>
      <c r="N18" s="481"/>
      <c r="O18" s="353"/>
      <c r="P18" s="352"/>
      <c r="Q18" s="353"/>
      <c r="R18" s="352"/>
      <c r="S18" s="356"/>
      <c r="T18" s="353"/>
      <c r="U18" s="356"/>
      <c r="V18" s="353"/>
      <c r="W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</row>
    <row r="19" spans="1:35" s="317" customFormat="1" ht="26.25" thickBot="1" x14ac:dyDescent="0.25">
      <c r="A19" s="40" t="s">
        <v>35</v>
      </c>
      <c r="B19" s="38" t="s">
        <v>36</v>
      </c>
      <c r="C19" s="38" t="s">
        <v>37</v>
      </c>
      <c r="D19" s="39" t="s">
        <v>38</v>
      </c>
      <c r="E19" s="40" t="s">
        <v>39</v>
      </c>
      <c r="F19" s="38" t="s">
        <v>40</v>
      </c>
      <c r="G19" s="39" t="s">
        <v>41</v>
      </c>
      <c r="H19" s="269" t="s">
        <v>210</v>
      </c>
      <c r="I19" s="311" t="s">
        <v>127</v>
      </c>
      <c r="J19" s="829">
        <f>[1]Основные!$F$342</f>
        <v>1043.7</v>
      </c>
      <c r="K19" s="348">
        <v>5.9740000000000002</v>
      </c>
      <c r="L19" s="322" t="s">
        <v>291</v>
      </c>
      <c r="M19" s="482" t="str">
        <f>I36</f>
        <v>ТПС 245х65х2</v>
      </c>
      <c r="N19" s="483" t="str">
        <f>I34</f>
        <v>ТПС 200х65х2</v>
      </c>
      <c r="O19" s="353"/>
      <c r="P19" s="356"/>
      <c r="Q19" s="353"/>
      <c r="R19" s="352"/>
      <c r="S19" s="356"/>
      <c r="T19" s="353"/>
      <c r="U19" s="356"/>
      <c r="V19" s="353"/>
      <c r="W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</row>
    <row r="20" spans="1:35" s="317" customFormat="1" ht="13.5" thickBot="1" x14ac:dyDescent="0.25">
      <c r="A20" s="753">
        <v>1</v>
      </c>
      <c r="B20" s="754" t="s">
        <v>80</v>
      </c>
      <c r="C20" s="755"/>
      <c r="D20" s="756"/>
      <c r="E20" s="958"/>
      <c r="F20" s="959"/>
      <c r="G20" s="959"/>
      <c r="H20" s="328"/>
      <c r="I20" s="311" t="s">
        <v>124</v>
      </c>
      <c r="J20" s="829">
        <f>[1]Основные!$F$343</f>
        <v>1370.25</v>
      </c>
      <c r="K20" s="348">
        <v>7.9130000000000003</v>
      </c>
      <c r="L20" s="322" t="s">
        <v>301</v>
      </c>
      <c r="M20" s="473"/>
      <c r="N20" s="474"/>
      <c r="O20" s="352"/>
      <c r="P20" s="352"/>
      <c r="Q20" s="352"/>
      <c r="R20" s="352"/>
      <c r="S20" s="356"/>
      <c r="T20" s="353"/>
      <c r="U20" s="356"/>
      <c r="V20" s="353"/>
      <c r="W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</row>
    <row r="21" spans="1:35" s="317" customFormat="1" x14ac:dyDescent="0.2">
      <c r="A21" s="126" t="s">
        <v>184</v>
      </c>
      <c r="B21" s="936" t="s">
        <v>400</v>
      </c>
      <c r="C21" s="329">
        <f>I17*(J16)*2</f>
        <v>484.49202694158106</v>
      </c>
      <c r="D21" s="171" t="s">
        <v>8</v>
      </c>
      <c r="E21" s="988">
        <f>'[2]ПГС и ТПГС'!$H$224</f>
        <v>1712.5500000000002</v>
      </c>
      <c r="F21" s="516">
        <f t="shared" ref="F21:F22" si="0">C21*E21</f>
        <v>829716.82073880476</v>
      </c>
      <c r="G21" s="957">
        <f>C21*H21</f>
        <v>5668.5567152164977</v>
      </c>
      <c r="H21" s="994">
        <v>11.7</v>
      </c>
      <c r="I21" s="311" t="s">
        <v>232</v>
      </c>
      <c r="J21" s="830">
        <f>[1]Основные!$F$344</f>
        <v>1693.65</v>
      </c>
      <c r="K21" s="317">
        <v>9.6679999999999993</v>
      </c>
      <c r="L21" s="352"/>
      <c r="M21" s="352"/>
      <c r="N21" s="356"/>
      <c r="O21" s="353"/>
      <c r="P21" s="356"/>
      <c r="Q21" s="353"/>
      <c r="R21" s="352"/>
      <c r="S21" s="356"/>
      <c r="T21" s="353"/>
      <c r="U21" s="356"/>
      <c r="V21" s="353"/>
      <c r="W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</row>
    <row r="22" spans="1:35" s="317" customFormat="1" x14ac:dyDescent="0.2">
      <c r="A22" s="127" t="s">
        <v>185</v>
      </c>
      <c r="B22" s="983" t="s">
        <v>401</v>
      </c>
      <c r="C22" s="514">
        <f>I17*4*(C10-0.07)</f>
        <v>308.36</v>
      </c>
      <c r="D22" s="502" t="s">
        <v>8</v>
      </c>
      <c r="E22" s="988">
        <f>'[2]ПГС и ТПГС'!$H$204</f>
        <v>1289.4000000000001</v>
      </c>
      <c r="F22" s="291">
        <f t="shared" si="0"/>
        <v>397599.38400000002</v>
      </c>
      <c r="G22" s="955">
        <f>C22*H22</f>
        <v>2682.732</v>
      </c>
      <c r="H22" s="989">
        <v>8.6999999999999993</v>
      </c>
      <c r="I22" s="311" t="s">
        <v>134</v>
      </c>
      <c r="J22" s="829">
        <f>[1]Основные!$F$345</f>
        <v>2020.2</v>
      </c>
      <c r="K22" s="349">
        <v>11.744</v>
      </c>
      <c r="L22" s="352"/>
      <c r="M22" s="352"/>
      <c r="N22" s="352"/>
      <c r="O22" s="353"/>
      <c r="P22" s="356"/>
      <c r="Q22" s="353"/>
      <c r="R22" s="352"/>
      <c r="S22" s="356"/>
      <c r="T22" s="353"/>
      <c r="U22" s="356"/>
      <c r="V22" s="353"/>
      <c r="W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</row>
    <row r="23" spans="1:35" s="317" customFormat="1" hidden="1" x14ac:dyDescent="0.2">
      <c r="A23" s="127" t="s">
        <v>186</v>
      </c>
      <c r="B23" s="166" t="str">
        <f>I26</f>
        <v>ПГС 145х70х2</v>
      </c>
      <c r="C23" s="332">
        <f>3*C9*0</f>
        <v>0</v>
      </c>
      <c r="D23" s="166" t="s">
        <v>8</v>
      </c>
      <c r="E23" s="132">
        <f>J26</f>
        <v>833.7</v>
      </c>
      <c r="F23" s="291"/>
      <c r="G23" s="291"/>
      <c r="H23" s="987">
        <f>K26</f>
        <v>4.82</v>
      </c>
      <c r="I23" s="334" t="s">
        <v>132</v>
      </c>
      <c r="J23" s="829">
        <f>[1]Основные!$F$294</f>
        <v>532.35</v>
      </c>
      <c r="K23" s="348">
        <v>3.07</v>
      </c>
      <c r="L23" s="352"/>
      <c r="M23" s="352"/>
      <c r="N23" s="356"/>
      <c r="O23" s="353"/>
      <c r="P23" s="356"/>
      <c r="Q23" s="353"/>
      <c r="R23" s="352"/>
      <c r="S23" s="356"/>
      <c r="T23" s="353"/>
      <c r="U23" s="356"/>
      <c r="V23" s="353"/>
      <c r="W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</row>
    <row r="24" spans="1:35" s="317" customFormat="1" x14ac:dyDescent="0.2">
      <c r="A24" s="970" t="s">
        <v>404</v>
      </c>
      <c r="B24" s="266" t="s">
        <v>403</v>
      </c>
      <c r="C24" s="971">
        <f>7*2*2*C9+2*C9*0</f>
        <v>1344</v>
      </c>
      <c r="D24" s="266" t="s">
        <v>8</v>
      </c>
      <c r="E24" s="985">
        <f>[2]ПС!$D$15</f>
        <v>429</v>
      </c>
      <c r="F24" s="955">
        <f t="shared" ref="F24:F30" si="1">C24*E24</f>
        <v>576576</v>
      </c>
      <c r="G24" s="955">
        <f>C24*H24</f>
        <v>3964.8</v>
      </c>
      <c r="H24" s="987">
        <v>2.95</v>
      </c>
      <c r="I24" s="334" t="s">
        <v>133</v>
      </c>
      <c r="J24" s="829">
        <f>[1]Основные!$F$295</f>
        <v>704.55000000000007</v>
      </c>
      <c r="K24" s="348">
        <v>4.08</v>
      </c>
      <c r="L24" s="352"/>
      <c r="M24" s="352"/>
      <c r="N24" s="352"/>
      <c r="O24" s="352"/>
      <c r="P24" s="352"/>
      <c r="Q24" s="352"/>
      <c r="R24" s="352"/>
      <c r="S24" s="356"/>
      <c r="T24" s="353"/>
      <c r="U24" s="356"/>
      <c r="V24" s="353"/>
      <c r="W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</row>
    <row r="25" spans="1:35" s="317" customFormat="1" hidden="1" x14ac:dyDescent="0.2">
      <c r="A25" s="127" t="s">
        <v>188</v>
      </c>
      <c r="B25" s="166" t="s">
        <v>393</v>
      </c>
      <c r="C25" s="974">
        <f>2*(C9+1)*0</f>
        <v>0</v>
      </c>
      <c r="D25" s="166" t="s">
        <v>8</v>
      </c>
      <c r="E25" s="978">
        <f>[3]ПП!$H$42</f>
        <v>405.3</v>
      </c>
      <c r="F25" s="955">
        <f t="shared" ref="F25" si="2">C25*E25</f>
        <v>0</v>
      </c>
      <c r="G25" s="955">
        <f>C25*H25</f>
        <v>0</v>
      </c>
      <c r="H25" s="923">
        <v>2.7</v>
      </c>
      <c r="I25" s="312" t="s">
        <v>125</v>
      </c>
      <c r="J25" s="829">
        <f>[1]Основные!$F$299</f>
        <v>630</v>
      </c>
      <c r="K25" s="348">
        <v>3.64</v>
      </c>
      <c r="L25" s="352"/>
      <c r="M25" s="352"/>
      <c r="N25" s="356"/>
      <c r="O25" s="353"/>
      <c r="P25" s="356"/>
      <c r="Q25" s="353"/>
      <c r="R25" s="352"/>
      <c r="S25" s="356"/>
      <c r="T25" s="353"/>
      <c r="U25" s="356"/>
      <c r="V25" s="353"/>
      <c r="W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</row>
    <row r="26" spans="1:35" s="317" customFormat="1" x14ac:dyDescent="0.2">
      <c r="A26" s="127" t="s">
        <v>230</v>
      </c>
      <c r="B26" s="266" t="s">
        <v>231</v>
      </c>
      <c r="C26" s="974">
        <f>4*C9</f>
        <v>192</v>
      </c>
      <c r="D26" s="266" t="s">
        <v>8</v>
      </c>
      <c r="E26" s="978">
        <f>[2]ПС!$H$15</f>
        <v>450.45000000000005</v>
      </c>
      <c r="F26" s="291">
        <f t="shared" ref="F26" si="3">C26*E26</f>
        <v>86486.400000000009</v>
      </c>
      <c r="G26" s="291">
        <f t="shared" ref="G26" si="4">C26*H26</f>
        <v>566.40000000000009</v>
      </c>
      <c r="H26" s="328">
        <v>2.95</v>
      </c>
      <c r="I26" s="334" t="s">
        <v>131</v>
      </c>
      <c r="J26" s="829">
        <f>[1]Основные!$F$301</f>
        <v>833.7</v>
      </c>
      <c r="K26" s="348">
        <v>4.82</v>
      </c>
      <c r="L26" s="352"/>
      <c r="M26" s="352"/>
      <c r="N26" s="356"/>
      <c r="O26" s="353"/>
      <c r="P26" s="356"/>
      <c r="Q26" s="353"/>
      <c r="R26" s="352"/>
      <c r="S26" s="356"/>
      <c r="T26" s="353"/>
      <c r="U26" s="356"/>
      <c r="V26" s="353"/>
      <c r="W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</row>
    <row r="27" spans="1:35" s="317" customFormat="1" x14ac:dyDescent="0.2">
      <c r="A27" s="127" t="s">
        <v>233</v>
      </c>
      <c r="B27" s="266" t="s">
        <v>349</v>
      </c>
      <c r="C27" s="974">
        <f>I17*2*C8*0.05*1.1*2</f>
        <v>51.480000000000011</v>
      </c>
      <c r="D27" s="266" t="s">
        <v>33</v>
      </c>
      <c r="E27" s="978">
        <f>'[2]Профлист,доборы'!$E$24</f>
        <v>782.8</v>
      </c>
      <c r="F27" s="291">
        <f t="shared" ref="F27:F28" si="5">C27*E27</f>
        <v>40298.544000000009</v>
      </c>
      <c r="G27" s="291">
        <f>C27*H27</f>
        <v>409.26600000000008</v>
      </c>
      <c r="H27" s="328">
        <v>7.95</v>
      </c>
      <c r="I27" s="334"/>
      <c r="J27" s="266"/>
      <c r="K27" s="348"/>
      <c r="L27" s="352"/>
      <c r="M27" s="352"/>
      <c r="N27" s="356"/>
      <c r="O27" s="353"/>
      <c r="P27" s="356"/>
      <c r="Q27" s="353"/>
      <c r="R27" s="352"/>
      <c r="S27" s="356"/>
      <c r="T27" s="353"/>
      <c r="U27" s="356"/>
      <c r="V27" s="353"/>
      <c r="W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</row>
    <row r="28" spans="1:35" s="317" customFormat="1" x14ac:dyDescent="0.2">
      <c r="A28" s="127"/>
      <c r="B28" s="266" t="str">
        <f>I43</f>
        <v>ПШ 61х1</v>
      </c>
      <c r="C28" s="974">
        <f>2*(C8+2*C10)*1.1</f>
        <v>66</v>
      </c>
      <c r="D28" s="266" t="s">
        <v>8</v>
      </c>
      <c r="E28" s="978">
        <f>'[2]Профлист,доборы'!$E$64</f>
        <v>200</v>
      </c>
      <c r="F28" s="291">
        <f t="shared" si="5"/>
        <v>13200</v>
      </c>
      <c r="G28" s="291">
        <f t="shared" ref="G28" si="6">C28*H28</f>
        <v>107.44799999999999</v>
      </c>
      <c r="H28" s="328">
        <v>1.6279999999999999</v>
      </c>
      <c r="I28" s="334"/>
      <c r="J28" s="266"/>
      <c r="K28" s="348"/>
      <c r="L28" s="352"/>
      <c r="M28" s="352"/>
      <c r="N28" s="356"/>
      <c r="O28" s="353"/>
      <c r="P28" s="356"/>
      <c r="Q28" s="353"/>
      <c r="R28" s="352"/>
      <c r="S28" s="356"/>
      <c r="T28" s="353"/>
      <c r="U28" s="356"/>
      <c r="V28" s="353"/>
      <c r="W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</row>
    <row r="29" spans="1:35" s="317" customFormat="1" x14ac:dyDescent="0.2">
      <c r="A29" s="127"/>
      <c r="B29" s="166" t="s">
        <v>79</v>
      </c>
      <c r="C29" s="332">
        <f>I17*(C8+2*C10)/0.6</f>
        <v>650</v>
      </c>
      <c r="D29" s="166" t="s">
        <v>10</v>
      </c>
      <c r="E29" s="140">
        <f>[1]Основные!$D$544</f>
        <v>291</v>
      </c>
      <c r="F29" s="291">
        <f t="shared" si="1"/>
        <v>189150</v>
      </c>
      <c r="G29" s="291">
        <f>C29*H29</f>
        <v>909.99999999999989</v>
      </c>
      <c r="H29" s="328">
        <v>1.4</v>
      </c>
      <c r="I29" s="335" t="s">
        <v>123</v>
      </c>
      <c r="J29" s="265">
        <f>[1]Основные!$D$259</f>
        <v>507</v>
      </c>
      <c r="K29" s="348">
        <v>2.86</v>
      </c>
      <c r="L29" s="352"/>
      <c r="M29" s="357"/>
      <c r="N29" s="357"/>
      <c r="O29" s="358"/>
      <c r="P29" s="359"/>
      <c r="Q29" s="358"/>
      <c r="R29" s="352"/>
      <c r="S29" s="356"/>
      <c r="T29" s="353"/>
      <c r="U29" s="356"/>
      <c r="V29" s="353"/>
      <c r="W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</row>
    <row r="30" spans="1:35" s="317" customFormat="1" ht="13.5" thickBot="1" x14ac:dyDescent="0.25">
      <c r="A30" s="734"/>
      <c r="B30" s="172" t="s">
        <v>78</v>
      </c>
      <c r="C30" s="735">
        <f>2*C29</f>
        <v>1300</v>
      </c>
      <c r="D30" s="172" t="s">
        <v>10</v>
      </c>
      <c r="E30" s="736">
        <f>[1]Основные!$D$545</f>
        <v>114</v>
      </c>
      <c r="F30" s="551">
        <f t="shared" si="1"/>
        <v>148200</v>
      </c>
      <c r="G30" s="551">
        <f>C30*H30</f>
        <v>650</v>
      </c>
      <c r="H30" s="328">
        <v>0.5</v>
      </c>
      <c r="I30" s="336" t="s">
        <v>135</v>
      </c>
      <c r="J30" s="337">
        <f>[1]Основные!$D$265</f>
        <v>570</v>
      </c>
      <c r="K30" s="350">
        <v>3.3380000000000001</v>
      </c>
      <c r="L30" s="352"/>
      <c r="M30" s="352"/>
      <c r="N30" s="356"/>
      <c r="O30" s="353"/>
      <c r="P30" s="356"/>
      <c r="Q30" s="353"/>
      <c r="R30" s="352"/>
      <c r="S30" s="356"/>
      <c r="T30" s="353"/>
      <c r="U30" s="356"/>
      <c r="V30" s="353"/>
      <c r="W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</row>
    <row r="31" spans="1:35" s="317" customFormat="1" x14ac:dyDescent="0.2">
      <c r="A31" s="126"/>
      <c r="B31" s="171" t="s">
        <v>72</v>
      </c>
      <c r="C31" s="388">
        <v>0.02</v>
      </c>
      <c r="D31" s="171"/>
      <c r="E31" s="979"/>
      <c r="F31" s="331">
        <f>SUM(F21:F30)*C31</f>
        <v>45624.542974776094</v>
      </c>
      <c r="G31" s="391"/>
      <c r="H31" s="376"/>
      <c r="I31" s="315" t="s">
        <v>136</v>
      </c>
      <c r="J31" s="337">
        <f>[1]Основные!$D$277</f>
        <v>604</v>
      </c>
      <c r="K31" s="350">
        <v>3.4569999999999999</v>
      </c>
      <c r="L31" s="356"/>
      <c r="M31" s="352"/>
      <c r="N31" s="356"/>
      <c r="O31" s="353"/>
      <c r="P31" s="356"/>
      <c r="Q31" s="353"/>
      <c r="R31" s="352"/>
      <c r="S31" s="356"/>
      <c r="T31" s="353"/>
      <c r="U31" s="356"/>
      <c r="V31" s="353"/>
      <c r="W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</row>
    <row r="32" spans="1:35" s="317" customFormat="1" ht="13.5" thickBot="1" x14ac:dyDescent="0.25">
      <c r="A32" s="734"/>
      <c r="B32" s="937" t="s">
        <v>81</v>
      </c>
      <c r="C32" s="735"/>
      <c r="D32" s="172"/>
      <c r="E32" s="533"/>
      <c r="F32" s="938">
        <f>SUM(F21:F31)</f>
        <v>2326851.6917135809</v>
      </c>
      <c r="G32" s="939">
        <f>SUM(G21:G31)</f>
        <v>14959.202715216497</v>
      </c>
      <c r="H32" s="376"/>
      <c r="I32" s="336" t="s">
        <v>139</v>
      </c>
      <c r="J32" s="265">
        <f>[1]Основные!$D$278</f>
        <v>779</v>
      </c>
      <c r="K32" s="348">
        <v>4.5289999999999999</v>
      </c>
      <c r="M32" s="356" t="s">
        <v>348</v>
      </c>
      <c r="N32" s="356"/>
      <c r="O32" s="353"/>
      <c r="P32" s="356"/>
      <c r="Q32" s="353"/>
      <c r="R32" s="352"/>
      <c r="S32" s="352"/>
      <c r="T32" s="353"/>
      <c r="U32" s="356"/>
      <c r="V32" s="353"/>
      <c r="W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</row>
    <row r="33" spans="1:35" ht="13.5" thickBot="1" x14ac:dyDescent="0.25">
      <c r="A33" s="766">
        <v>2</v>
      </c>
      <c r="B33" s="767" t="s">
        <v>82</v>
      </c>
      <c r="C33" s="942"/>
      <c r="D33" s="769"/>
      <c r="E33" s="943"/>
      <c r="F33" s="934"/>
      <c r="G33" s="944"/>
      <c r="H33" s="375"/>
      <c r="I33" s="313" t="s">
        <v>137</v>
      </c>
      <c r="J33" s="258">
        <f>[1]Основные!$D$284</f>
        <v>666</v>
      </c>
      <c r="K33" s="219">
        <v>3.9359999999999999</v>
      </c>
      <c r="L33" s="192"/>
      <c r="M33" s="199"/>
      <c r="N33" s="199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</row>
    <row r="34" spans="1:35" hidden="1" x14ac:dyDescent="0.2">
      <c r="A34" s="392"/>
      <c r="B34" s="940" t="s">
        <v>388</v>
      </c>
      <c r="C34" s="941"/>
      <c r="D34" s="7" t="s">
        <v>8</v>
      </c>
      <c r="E34" s="980">
        <f>J39</f>
        <v>476.70000000000005</v>
      </c>
      <c r="F34" s="43">
        <f t="shared" ref="F34:F36" si="7">C34*E34</f>
        <v>0</v>
      </c>
      <c r="G34" s="384">
        <f t="shared" ref="G34:G36" si="8">C34*H34</f>
        <v>0</v>
      </c>
      <c r="H34" s="977">
        <f>K37</f>
        <v>1.4059999999999999</v>
      </c>
      <c r="I34" s="230" t="s">
        <v>138</v>
      </c>
      <c r="J34" s="259">
        <f>[1]Основные!$D$285</f>
        <v>882</v>
      </c>
      <c r="K34" s="219">
        <v>5.1639999999999997</v>
      </c>
      <c r="L34" s="192"/>
      <c r="M34" s="194"/>
      <c r="N34" s="194"/>
      <c r="O34" s="194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</row>
    <row r="35" spans="1:35" hidden="1" x14ac:dyDescent="0.2">
      <c r="A35" s="121"/>
      <c r="B35" s="4" t="s">
        <v>389</v>
      </c>
      <c r="C35" s="85">
        <f>0</f>
        <v>0</v>
      </c>
      <c r="D35" s="4" t="s">
        <v>8</v>
      </c>
      <c r="E35" s="981">
        <f>1197*1.05</f>
        <v>1256.8500000000001</v>
      </c>
      <c r="F35" s="43">
        <f t="shared" si="7"/>
        <v>0</v>
      </c>
      <c r="G35" s="384">
        <f t="shared" si="8"/>
        <v>0</v>
      </c>
      <c r="H35" s="976">
        <v>3.7</v>
      </c>
      <c r="I35" s="230" t="s">
        <v>140</v>
      </c>
      <c r="J35" s="261">
        <f>[1]Основные!$D$288</f>
        <v>753</v>
      </c>
      <c r="K35" s="219">
        <v>4.4729999999999999</v>
      </c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</row>
    <row r="36" spans="1:35" hidden="1" x14ac:dyDescent="0.2">
      <c r="A36" s="121"/>
      <c r="B36" s="4" t="s">
        <v>390</v>
      </c>
      <c r="C36" s="85">
        <f>0</f>
        <v>0</v>
      </c>
      <c r="D36" s="4" t="s">
        <v>8</v>
      </c>
      <c r="E36" s="981">
        <f>975*1.05</f>
        <v>1023.75</v>
      </c>
      <c r="F36" s="43">
        <f t="shared" si="7"/>
        <v>0</v>
      </c>
      <c r="G36" s="384">
        <f t="shared" si="8"/>
        <v>0</v>
      </c>
      <c r="H36" s="976">
        <v>3.66</v>
      </c>
      <c r="I36" s="230" t="s">
        <v>141</v>
      </c>
      <c r="J36" s="261">
        <f>[1]Основные!$D$289</f>
        <v>997</v>
      </c>
      <c r="K36" s="219">
        <v>5.8</v>
      </c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</row>
    <row r="37" spans="1:35" hidden="1" x14ac:dyDescent="0.2">
      <c r="A37" s="121"/>
      <c r="B37" s="166" t="s">
        <v>391</v>
      </c>
      <c r="C37" s="85">
        <f>0</f>
        <v>0</v>
      </c>
      <c r="D37" s="4" t="s">
        <v>8</v>
      </c>
      <c r="E37" s="981">
        <f>796*1.05</f>
        <v>835.80000000000007</v>
      </c>
      <c r="F37" s="43">
        <f t="shared" ref="F37:F41" si="9">C37*E37</f>
        <v>0</v>
      </c>
      <c r="G37" s="384">
        <f t="shared" ref="G37:G41" si="10">C37*H37</f>
        <v>0</v>
      </c>
      <c r="H37" s="976">
        <v>3.09</v>
      </c>
      <c r="I37" s="314" t="s">
        <v>19</v>
      </c>
      <c r="J37" s="831">
        <f>[1]Основные!$F$215</f>
        <v>218.4</v>
      </c>
      <c r="K37" s="219">
        <v>1.4059999999999999</v>
      </c>
      <c r="L37" s="3" t="s">
        <v>245</v>
      </c>
      <c r="M37" s="834">
        <f>[1]Основные!$F$216</f>
        <v>302.40000000000003</v>
      </c>
      <c r="N37" s="3">
        <v>1.69</v>
      </c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</row>
    <row r="38" spans="1:35" ht="13.5" thickBot="1" x14ac:dyDescent="0.25">
      <c r="A38" s="121"/>
      <c r="B38" s="4" t="s">
        <v>394</v>
      </c>
      <c r="C38" s="82">
        <f>(3*C9+2*C8)/1.9</f>
        <v>94.736842105263165</v>
      </c>
      <c r="D38" s="4" t="s">
        <v>43</v>
      </c>
      <c r="E38" s="136">
        <f>'[4]Профлист,доборы'!$E$42</f>
        <v>800</v>
      </c>
      <c r="F38" s="43">
        <f t="shared" si="9"/>
        <v>75789.473684210534</v>
      </c>
      <c r="G38" s="387">
        <f t="shared" si="10"/>
        <v>85.26315789473685</v>
      </c>
      <c r="H38" s="375">
        <v>0.9</v>
      </c>
      <c r="I38" s="231" t="s">
        <v>113</v>
      </c>
      <c r="J38" s="831">
        <f>[1]Основные!$F$227</f>
        <v>262.5</v>
      </c>
      <c r="K38" s="219">
        <v>1.7270000000000001</v>
      </c>
      <c r="L38" s="3"/>
      <c r="M38" s="3"/>
      <c r="N38" s="3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</row>
    <row r="39" spans="1:35" ht="13.5" thickBot="1" x14ac:dyDescent="0.25">
      <c r="A39" s="122"/>
      <c r="B39" s="44" t="s">
        <v>395</v>
      </c>
      <c r="C39" s="124">
        <f>4*C10/1.9</f>
        <v>12.631578947368421</v>
      </c>
      <c r="D39" s="44" t="s">
        <v>10</v>
      </c>
      <c r="E39" s="962">
        <f>E38</f>
        <v>800</v>
      </c>
      <c r="F39" s="187">
        <f t="shared" si="9"/>
        <v>10105.263157894737</v>
      </c>
      <c r="G39" s="387">
        <f t="shared" si="10"/>
        <v>29.052631578947366</v>
      </c>
      <c r="H39" s="375">
        <v>2.2999999999999998</v>
      </c>
      <c r="I39" s="288" t="s">
        <v>211</v>
      </c>
      <c r="J39" s="832">
        <f>[1]Основные!$F$229</f>
        <v>476.70000000000005</v>
      </c>
      <c r="K39" s="289">
        <v>2.5590000000000002</v>
      </c>
      <c r="L39" s="3" t="s">
        <v>246</v>
      </c>
      <c r="M39" s="834">
        <f>[1]Основные!$F$228</f>
        <v>362.25</v>
      </c>
      <c r="N39" s="3">
        <v>2.02</v>
      </c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</row>
    <row r="40" spans="1:35" hidden="1" x14ac:dyDescent="0.2">
      <c r="A40" s="188" t="str">
        <f>IF(I3=2,"нар.окр","нар. оц")</f>
        <v>нар.окр</v>
      </c>
      <c r="B40" s="9" t="str">
        <f>L54</f>
        <v>С-18 0,5мм</v>
      </c>
      <c r="C40" s="960">
        <f>(C8*2+C9*2)*(C10+0.5)*1.1*0+C8*2*1.1*0</f>
        <v>0</v>
      </c>
      <c r="D40" s="9" t="s">
        <v>33</v>
      </c>
      <c r="E40" s="982">
        <f>'[5]Профлист,Сайдинг,доборы (МП, (2'!$E$18</f>
        <v>550.84999999999991</v>
      </c>
      <c r="F40" s="379">
        <f>E40*C40</f>
        <v>0</v>
      </c>
      <c r="G40" s="961">
        <f>H40*C40</f>
        <v>0</v>
      </c>
      <c r="H40" s="375">
        <f>N54</f>
        <v>5.3</v>
      </c>
      <c r="I40" s="231" t="s">
        <v>143</v>
      </c>
      <c r="J40" s="831">
        <f>[1]Основные!$F$239</f>
        <v>318.15000000000003</v>
      </c>
      <c r="K40" s="219">
        <v>2.1179999999999999</v>
      </c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</row>
    <row r="41" spans="1:35" hidden="1" x14ac:dyDescent="0.2">
      <c r="A41" s="121"/>
      <c r="B41" s="4" t="str">
        <f>L64</f>
        <v>КФ</v>
      </c>
      <c r="C41" s="885">
        <f>IF(I3=J10,2*(C8+C9)*C10*1.2+C9*2.5*1.2,0)</f>
        <v>0</v>
      </c>
      <c r="D41" s="4" t="s">
        <v>33</v>
      </c>
      <c r="E41" s="164">
        <f>M64</f>
        <v>1868</v>
      </c>
      <c r="F41" s="43">
        <f t="shared" si="9"/>
        <v>0</v>
      </c>
      <c r="G41" s="384">
        <f t="shared" si="10"/>
        <v>0</v>
      </c>
      <c r="H41" s="375">
        <f>O63</f>
        <v>5</v>
      </c>
      <c r="I41" s="231" t="s">
        <v>121</v>
      </c>
      <c r="J41" s="831">
        <f>[1]Основные!$F$253</f>
        <v>521.85</v>
      </c>
      <c r="K41" s="219">
        <v>2.8</v>
      </c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</row>
    <row r="42" spans="1:35" ht="13.5" hidden="1" thickBot="1" x14ac:dyDescent="0.25">
      <c r="A42" s="184" t="str">
        <f>IF(I4=2,"вн.ок","вн.оц")</f>
        <v>вн.оц</v>
      </c>
      <c r="B42" s="44" t="str">
        <f>L54</f>
        <v>С-18 0,5мм</v>
      </c>
      <c r="C42" s="886">
        <f>C40*0</f>
        <v>0</v>
      </c>
      <c r="D42" s="44" t="s">
        <v>33</v>
      </c>
      <c r="E42" s="931">
        <f>M54</f>
        <v>810</v>
      </c>
      <c r="F42" s="43"/>
      <c r="G42" s="384"/>
      <c r="H42" s="375">
        <f>N54</f>
        <v>5.3</v>
      </c>
      <c r="I42" s="231" t="s">
        <v>142</v>
      </c>
      <c r="J42" s="831">
        <f>[1]Основные!$F$273</f>
        <v>618.45000000000005</v>
      </c>
      <c r="K42" s="219">
        <v>3.09</v>
      </c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</row>
    <row r="43" spans="1:35" x14ac:dyDescent="0.2">
      <c r="A43" s="392"/>
      <c r="B43" s="9" t="s">
        <v>72</v>
      </c>
      <c r="C43" s="377">
        <v>0.02</v>
      </c>
      <c r="D43" s="9"/>
      <c r="E43" s="378"/>
      <c r="F43" s="379">
        <f>SUM(F34:F42)*C43</f>
        <v>1717.8947368421054</v>
      </c>
      <c r="G43" s="380"/>
      <c r="H43" s="270"/>
      <c r="I43" s="300" t="s">
        <v>219</v>
      </c>
      <c r="J43" s="260">
        <f>[1]Основные!$F$352</f>
        <v>223</v>
      </c>
      <c r="K43" s="219">
        <v>1.63</v>
      </c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</row>
    <row r="44" spans="1:35" ht="13.5" thickBot="1" x14ac:dyDescent="0.25">
      <c r="A44" s="122"/>
      <c r="B44" s="123" t="s">
        <v>83</v>
      </c>
      <c r="C44" s="124"/>
      <c r="D44" s="44"/>
      <c r="E44" s="137"/>
      <c r="F44" s="118">
        <f>SUM(F34:F43)</f>
        <v>87612.631578947374</v>
      </c>
      <c r="G44" s="201">
        <f>SUM(G34:G43)</f>
        <v>114.31578947368422</v>
      </c>
      <c r="H44" s="270"/>
      <c r="I44" s="300" t="s">
        <v>220</v>
      </c>
      <c r="J44" s="260" t="e">
        <f>[1]Основные!$F$350</f>
        <v>#N/A</v>
      </c>
      <c r="K44" s="219">
        <v>0.78</v>
      </c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</row>
    <row r="45" spans="1:35" ht="13.5" hidden="1" thickBot="1" x14ac:dyDescent="0.25">
      <c r="A45" s="761">
        <v>3</v>
      </c>
      <c r="B45" s="758" t="s">
        <v>236</v>
      </c>
      <c r="C45" s="759"/>
      <c r="D45" s="760"/>
      <c r="E45" s="762"/>
      <c r="F45" s="763"/>
      <c r="G45" s="764"/>
      <c r="H45" s="270"/>
      <c r="I45" s="300" t="s">
        <v>115</v>
      </c>
      <c r="J45" s="833">
        <f>[1]Основные!$F$355</f>
        <v>190</v>
      </c>
      <c r="K45" s="219">
        <v>1.4</v>
      </c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</row>
    <row r="46" spans="1:35" hidden="1" x14ac:dyDescent="0.2">
      <c r="A46" s="120" t="s">
        <v>237</v>
      </c>
      <c r="B46" s="366" t="str">
        <f>I22</f>
        <v>ПГС-S 300х80х3</v>
      </c>
      <c r="C46" s="115">
        <f>2*C8*I17</f>
        <v>468</v>
      </c>
      <c r="D46" s="54" t="s">
        <v>8</v>
      </c>
      <c r="E46" s="134">
        <f>J22</f>
        <v>2020.2</v>
      </c>
      <c r="F46" s="381"/>
      <c r="G46" s="382"/>
      <c r="H46" s="375">
        <f>K22</f>
        <v>11.744</v>
      </c>
      <c r="I46" s="362"/>
      <c r="J46" s="347"/>
      <c r="K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</row>
    <row r="47" spans="1:35" hidden="1" x14ac:dyDescent="0.2">
      <c r="A47" s="121" t="s">
        <v>238</v>
      </c>
      <c r="B47" s="363" t="str">
        <f>I19</f>
        <v>ПГС-S 300х80х1,5</v>
      </c>
      <c r="C47" s="82">
        <f>(C8/1.5+1)*C9</f>
        <v>624</v>
      </c>
      <c r="D47" s="4" t="s">
        <v>8</v>
      </c>
      <c r="E47" s="135">
        <f>J19</f>
        <v>1043.7</v>
      </c>
      <c r="F47" s="43"/>
      <c r="G47" s="383"/>
      <c r="H47" s="375">
        <f>K19</f>
        <v>5.9740000000000002</v>
      </c>
      <c r="I47" s="362"/>
      <c r="J47" s="347"/>
      <c r="K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</row>
    <row r="48" spans="1:35" hidden="1" x14ac:dyDescent="0.2">
      <c r="A48" s="121" t="s">
        <v>239</v>
      </c>
      <c r="B48" s="363" t="str">
        <f>I20</f>
        <v>ПГС-S 300х80х2</v>
      </c>
      <c r="C48" s="82">
        <f>(I17-2)*2*2*C10/2</f>
        <v>132</v>
      </c>
      <c r="D48" s="4" t="s">
        <v>8</v>
      </c>
      <c r="E48" s="135">
        <f>J20</f>
        <v>1370.25</v>
      </c>
      <c r="F48" s="43"/>
      <c r="G48" s="383"/>
      <c r="H48" s="375">
        <f>K20</f>
        <v>7.9130000000000003</v>
      </c>
      <c r="I48" s="362"/>
      <c r="J48" s="347"/>
      <c r="K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</row>
    <row r="49" spans="1:35" hidden="1" x14ac:dyDescent="0.2">
      <c r="A49" s="121"/>
      <c r="B49" s="363" t="s">
        <v>240</v>
      </c>
      <c r="C49" s="82">
        <f>C8*C9*1.1</f>
        <v>950.40000000000009</v>
      </c>
      <c r="D49" s="4" t="s">
        <v>33</v>
      </c>
      <c r="E49" s="135">
        <f>N67</f>
        <v>924.61149999999986</v>
      </c>
      <c r="F49" s="43"/>
      <c r="G49" s="383"/>
      <c r="H49" s="375">
        <v>7</v>
      </c>
      <c r="I49" s="362"/>
      <c r="J49" s="347"/>
      <c r="K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</row>
    <row r="50" spans="1:35" hidden="1" x14ac:dyDescent="0.2">
      <c r="A50" s="121"/>
      <c r="B50" s="166" t="s">
        <v>79</v>
      </c>
      <c r="C50" s="332">
        <f>(C46+C48)/2/0.6</f>
        <v>500</v>
      </c>
      <c r="D50" s="166" t="s">
        <v>10</v>
      </c>
      <c r="E50" s="140">
        <f>E29</f>
        <v>291</v>
      </c>
      <c r="F50" s="291"/>
      <c r="G50" s="384"/>
      <c r="H50" s="376">
        <v>1.4</v>
      </c>
      <c r="I50" s="362"/>
      <c r="J50" s="347"/>
      <c r="K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</row>
    <row r="51" spans="1:35" ht="13.5" hidden="1" thickBot="1" x14ac:dyDescent="0.25">
      <c r="A51" s="122"/>
      <c r="B51" s="339" t="s">
        <v>78</v>
      </c>
      <c r="C51" s="338">
        <f>2*C50</f>
        <v>1000</v>
      </c>
      <c r="D51" s="339" t="s">
        <v>10</v>
      </c>
      <c r="E51" s="385">
        <f>E30</f>
        <v>114</v>
      </c>
      <c r="F51" s="386"/>
      <c r="G51" s="387"/>
      <c r="H51" s="376">
        <v>0.5</v>
      </c>
      <c r="I51" s="362"/>
      <c r="J51" s="347"/>
      <c r="K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</row>
    <row r="52" spans="1:35" hidden="1" x14ac:dyDescent="0.2">
      <c r="A52" s="120"/>
      <c r="B52" s="54" t="s">
        <v>72</v>
      </c>
      <c r="C52" s="388">
        <v>0.02</v>
      </c>
      <c r="D52" s="54"/>
      <c r="E52" s="134"/>
      <c r="F52" s="381">
        <f>SUM(F46:F51)*C52</f>
        <v>0</v>
      </c>
      <c r="G52" s="391"/>
      <c r="H52" s="375"/>
      <c r="I52" s="362"/>
      <c r="J52" s="347"/>
      <c r="K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</row>
    <row r="53" spans="1:35" ht="13.5" hidden="1" thickBot="1" x14ac:dyDescent="0.25">
      <c r="A53" s="122"/>
      <c r="B53" s="123" t="s">
        <v>304</v>
      </c>
      <c r="C53" s="124"/>
      <c r="D53" s="44"/>
      <c r="E53" s="137"/>
      <c r="F53" s="118">
        <f>SUM(F46:F52)</f>
        <v>0</v>
      </c>
      <c r="G53" s="389">
        <f>SUM(G46:G52)</f>
        <v>0</v>
      </c>
      <c r="H53" s="375"/>
      <c r="I53" s="362"/>
      <c r="J53" s="347"/>
      <c r="K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</row>
    <row r="54" spans="1:35" ht="13.5" hidden="1" thickBot="1" x14ac:dyDescent="0.25">
      <c r="A54" s="765">
        <v>3</v>
      </c>
      <c r="B54" s="758" t="s">
        <v>93</v>
      </c>
      <c r="C54" s="759"/>
      <c r="D54" s="760"/>
      <c r="E54" s="762"/>
      <c r="F54" s="763"/>
      <c r="G54" s="764"/>
      <c r="H54" s="270"/>
      <c r="I54" s="362"/>
      <c r="J54" s="347"/>
      <c r="K54" s="192"/>
      <c r="L54" t="s">
        <v>375</v>
      </c>
      <c r="M54" s="832">
        <f>[1]Основные!$F$34</f>
        <v>810</v>
      </c>
      <c r="N54">
        <f>[1]Основные!$G$34</f>
        <v>5.3</v>
      </c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</row>
    <row r="55" spans="1:35" hidden="1" x14ac:dyDescent="0.2">
      <c r="A55" s="120"/>
      <c r="B55" s="171" t="s">
        <v>19</v>
      </c>
      <c r="C55" s="115">
        <f>IF(E17&gt;0,D174+D175,0)*0</f>
        <v>0</v>
      </c>
      <c r="D55" s="54" t="s">
        <v>8</v>
      </c>
      <c r="E55" s="134">
        <f>J37</f>
        <v>218.4</v>
      </c>
      <c r="F55" s="381">
        <f>C55*E55</f>
        <v>0</v>
      </c>
      <c r="G55" s="382">
        <f>C55*H55</f>
        <v>0</v>
      </c>
      <c r="H55" s="375">
        <f>K37</f>
        <v>1.4059999999999999</v>
      </c>
      <c r="I55" s="199"/>
      <c r="J55" s="199"/>
      <c r="L55" s="226" t="s">
        <v>147</v>
      </c>
      <c r="M55" s="227" t="s">
        <v>156</v>
      </c>
      <c r="N55" s="227" t="s">
        <v>157</v>
      </c>
      <c r="O55" s="219" t="s">
        <v>154</v>
      </c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</row>
    <row r="56" spans="1:35" ht="13.5" hidden="1" thickBot="1" x14ac:dyDescent="0.25">
      <c r="A56" s="122" t="s">
        <v>221</v>
      </c>
      <c r="B56" s="339" t="str">
        <f>L58</f>
        <v>МП 20 0,5мм</v>
      </c>
      <c r="C56" s="124">
        <f>IF(E17&gt;0,E17*2*1.1,0)*0</f>
        <v>0</v>
      </c>
      <c r="D56" s="44" t="s">
        <v>8</v>
      </c>
      <c r="E56" s="137">
        <f>M58</f>
        <v>787.74999999999989</v>
      </c>
      <c r="F56" s="187">
        <f>C56*E56</f>
        <v>0</v>
      </c>
      <c r="G56" s="390">
        <f>C56*H56</f>
        <v>0</v>
      </c>
      <c r="H56" s="375">
        <f>O58</f>
        <v>5.3</v>
      </c>
      <c r="I56" s="199"/>
      <c r="J56" s="199"/>
      <c r="L56" s="219" t="s">
        <v>158</v>
      </c>
      <c r="M56" s="260" t="e">
        <f>[1]Основные!$D$29</f>
        <v>#N/A</v>
      </c>
      <c r="N56" s="835" t="e">
        <f>[1]Основные!$D$31</f>
        <v>#N/A</v>
      </c>
      <c r="O56" s="226">
        <v>4.5999999999999996</v>
      </c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</row>
    <row r="57" spans="1:35" hidden="1" x14ac:dyDescent="0.2">
      <c r="A57" s="120"/>
      <c r="B57" s="54" t="s">
        <v>72</v>
      </c>
      <c r="C57" s="388">
        <v>0.02</v>
      </c>
      <c r="D57" s="54"/>
      <c r="E57" s="134"/>
      <c r="F57" s="381">
        <f>SUM(F55:F56)*C57</f>
        <v>0</v>
      </c>
      <c r="G57" s="382"/>
      <c r="H57" s="375"/>
      <c r="I57" s="199"/>
      <c r="J57" s="199"/>
      <c r="L57" s="219"/>
      <c r="M57" s="226"/>
      <c r="N57" s="3"/>
      <c r="O57" s="226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</row>
    <row r="58" spans="1:35" ht="13.5" hidden="1" thickBot="1" x14ac:dyDescent="0.25">
      <c r="A58" s="122"/>
      <c r="B58" s="123" t="s">
        <v>100</v>
      </c>
      <c r="C58" s="124"/>
      <c r="D58" s="44"/>
      <c r="E58" s="137"/>
      <c r="F58" s="118">
        <f>SUM(F55:F57)</f>
        <v>0</v>
      </c>
      <c r="G58" s="389">
        <f>SUM(G55:G57)</f>
        <v>0</v>
      </c>
      <c r="H58" s="375"/>
      <c r="I58" s="199"/>
      <c r="J58" s="199"/>
      <c r="L58" s="292" t="s">
        <v>234</v>
      </c>
      <c r="M58" s="836">
        <f>[1]Основные!$F$74</f>
        <v>787.74999999999989</v>
      </c>
      <c r="N58" s="837">
        <f>[1]Основные!$F$75</f>
        <v>590.44449999999995</v>
      </c>
      <c r="O58" s="472">
        <v>5.3</v>
      </c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</row>
    <row r="59" spans="1:35" ht="13.5" thickBot="1" x14ac:dyDescent="0.25">
      <c r="A59" s="766">
        <v>3</v>
      </c>
      <c r="B59" s="767" t="s">
        <v>112</v>
      </c>
      <c r="C59" s="768"/>
      <c r="D59" s="769"/>
      <c r="E59" s="770" t="s">
        <v>116</v>
      </c>
      <c r="F59" s="771"/>
      <c r="G59" s="772"/>
      <c r="H59" s="375"/>
      <c r="I59" s="199" t="s">
        <v>144</v>
      </c>
      <c r="J59" s="199"/>
      <c r="L59" s="219"/>
      <c r="M59" s="226"/>
      <c r="N59" s="3"/>
      <c r="O59" s="226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</row>
    <row r="60" spans="1:35" x14ac:dyDescent="0.2">
      <c r="A60" s="188"/>
      <c r="B60" s="9" t="s">
        <v>2</v>
      </c>
      <c r="C60" s="521">
        <f>C65*C10</f>
        <v>60</v>
      </c>
      <c r="D60" s="9" t="s">
        <v>8</v>
      </c>
      <c r="E60" s="522">
        <f>'[6]Водосток(МП)'!$E$15</f>
        <v>625</v>
      </c>
      <c r="F60" s="43">
        <f>E60*C60</f>
        <v>37500</v>
      </c>
      <c r="G60" s="384">
        <f>H60*C60</f>
        <v>90</v>
      </c>
      <c r="H60" s="302">
        <v>1.5</v>
      </c>
      <c r="I60" s="229">
        <f>[1]Основные!$F$130</f>
        <v>585</v>
      </c>
      <c r="J60" s="199"/>
      <c r="L60" s="219" t="s">
        <v>159</v>
      </c>
      <c r="M60" s="833">
        <f>[1]Основные!$F$26</f>
        <v>1</v>
      </c>
      <c r="N60" s="262">
        <f>[1]Основные!$F$23</f>
        <v>555</v>
      </c>
      <c r="O60" s="226">
        <v>4.5999999999999996</v>
      </c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</row>
    <row r="61" spans="1:35" x14ac:dyDescent="0.2">
      <c r="A61" s="182"/>
      <c r="B61" s="4" t="s">
        <v>0</v>
      </c>
      <c r="C61" s="85">
        <f>2*C9</f>
        <v>96</v>
      </c>
      <c r="D61" s="4" t="s">
        <v>8</v>
      </c>
      <c r="E61" s="183">
        <f>'[6]Водосток(МП)'!$E$16</f>
        <v>425</v>
      </c>
      <c r="F61" s="43">
        <f t="shared" ref="F61:F68" si="11">E61*C61</f>
        <v>40800</v>
      </c>
      <c r="G61" s="384">
        <f t="shared" ref="G61:G68" si="12">H61*C61</f>
        <v>144</v>
      </c>
      <c r="H61" s="302">
        <v>1.5</v>
      </c>
      <c r="I61" s="229">
        <f>[1]Основные!$F$129</f>
        <v>466</v>
      </c>
      <c r="J61" s="199"/>
      <c r="L61" s="219"/>
      <c r="M61" s="226"/>
      <c r="N61" s="3"/>
      <c r="O61" s="226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</row>
    <row r="62" spans="1:35" x14ac:dyDescent="0.2">
      <c r="A62" s="182"/>
      <c r="B62" s="166" t="s">
        <v>4</v>
      </c>
      <c r="C62" s="85">
        <f>C60/2</f>
        <v>30</v>
      </c>
      <c r="D62" s="4" t="s">
        <v>10</v>
      </c>
      <c r="E62" s="183">
        <f>'[6]Водосток(МП)'!$E$17</f>
        <v>265</v>
      </c>
      <c r="F62" s="43">
        <f t="shared" si="11"/>
        <v>7950</v>
      </c>
      <c r="G62" s="384">
        <f t="shared" si="12"/>
        <v>15</v>
      </c>
      <c r="H62" s="302">
        <v>0.5</v>
      </c>
      <c r="I62" s="229">
        <f>[1]Основные!$F$132</f>
        <v>351</v>
      </c>
      <c r="J62" s="199"/>
      <c r="L62" s="219" t="s">
        <v>1</v>
      </c>
      <c r="M62" s="833">
        <f>[1]Основные!$F$86</f>
        <v>1035</v>
      </c>
      <c r="N62" s="3"/>
      <c r="O62" s="226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</row>
    <row r="63" spans="1:35" x14ac:dyDescent="0.2">
      <c r="A63" s="182"/>
      <c r="B63" s="4" t="s">
        <v>3</v>
      </c>
      <c r="C63" s="85">
        <f>C61/0.7</f>
        <v>137.14285714285714</v>
      </c>
      <c r="D63" s="4" t="s">
        <v>10</v>
      </c>
      <c r="E63" s="183">
        <f>'[6]Водосток(МП)'!$E$18</f>
        <v>325</v>
      </c>
      <c r="F63" s="43">
        <f t="shared" si="11"/>
        <v>44571.428571428572</v>
      </c>
      <c r="G63" s="384">
        <f t="shared" si="12"/>
        <v>68.571428571428569</v>
      </c>
      <c r="H63" s="302">
        <v>0.5</v>
      </c>
      <c r="I63" s="229">
        <f>I62</f>
        <v>351</v>
      </c>
      <c r="J63" s="199"/>
      <c r="L63" s="219" t="s">
        <v>145</v>
      </c>
      <c r="M63" s="833">
        <f>[1]Основные!$F$16</f>
        <v>1255</v>
      </c>
      <c r="N63" s="3"/>
      <c r="O63" s="226">
        <v>5</v>
      </c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</row>
    <row r="64" spans="1:35" x14ac:dyDescent="0.2">
      <c r="A64" s="182"/>
      <c r="B64" s="4" t="s">
        <v>5</v>
      </c>
      <c r="C64" s="85">
        <f>4</f>
        <v>4</v>
      </c>
      <c r="D64" s="4" t="s">
        <v>10</v>
      </c>
      <c r="E64" s="183">
        <f>'[6]Водосток(МП)'!$E$19</f>
        <v>90</v>
      </c>
      <c r="F64" s="43">
        <f t="shared" si="11"/>
        <v>360</v>
      </c>
      <c r="G64" s="384">
        <f t="shared" si="12"/>
        <v>2</v>
      </c>
      <c r="H64" s="302">
        <v>0.5</v>
      </c>
      <c r="I64" s="229">
        <f>[1]Основные!$F$134</f>
        <v>129</v>
      </c>
      <c r="J64" s="199"/>
      <c r="L64" s="219" t="s">
        <v>146</v>
      </c>
      <c r="M64" s="260">
        <f>[1]Основные!$F$11</f>
        <v>1868</v>
      </c>
      <c r="N64" s="3"/>
      <c r="O64" s="226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</row>
    <row r="65" spans="1:35" x14ac:dyDescent="0.2">
      <c r="A65" s="182"/>
      <c r="B65" s="4" t="s">
        <v>117</v>
      </c>
      <c r="C65" s="85">
        <f>CEILING(C8*C9/100,2)</f>
        <v>10</v>
      </c>
      <c r="D65" s="4" t="s">
        <v>10</v>
      </c>
      <c r="E65" s="183">
        <f>'[6]Водосток(МП)'!$E$20</f>
        <v>410</v>
      </c>
      <c r="F65" s="43">
        <f t="shared" si="11"/>
        <v>4100</v>
      </c>
      <c r="G65" s="384">
        <f t="shared" si="12"/>
        <v>5</v>
      </c>
      <c r="H65" s="302">
        <v>0.5</v>
      </c>
      <c r="I65" s="220">
        <f>[1]Основные!$F$131</f>
        <v>463</v>
      </c>
      <c r="J65" s="199"/>
      <c r="L65" s="219" t="s">
        <v>160</v>
      </c>
      <c r="M65" s="833">
        <f>[1]Основные!$F$80</f>
        <v>868.24999999999989</v>
      </c>
      <c r="N65" s="834">
        <f>[1]Основные!$F$81</f>
        <v>648.53100000000006</v>
      </c>
      <c r="O65" s="226">
        <v>5.3</v>
      </c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</row>
    <row r="66" spans="1:35" x14ac:dyDescent="0.2">
      <c r="A66" s="182"/>
      <c r="B66" s="4" t="s">
        <v>118</v>
      </c>
      <c r="C66" s="85">
        <f>2*C65</f>
        <v>20</v>
      </c>
      <c r="D66" s="4" t="s">
        <v>10</v>
      </c>
      <c r="E66" s="183">
        <f>'[6]Водосток(МП)'!$E$21</f>
        <v>410</v>
      </c>
      <c r="F66" s="43">
        <f t="shared" si="11"/>
        <v>8200</v>
      </c>
      <c r="G66" s="384">
        <f t="shared" si="12"/>
        <v>10</v>
      </c>
      <c r="H66" s="302">
        <v>0.5</v>
      </c>
      <c r="I66" s="220">
        <f>I65</f>
        <v>463</v>
      </c>
      <c r="J66" s="199"/>
      <c r="L66" s="219"/>
      <c r="M66" s="226"/>
      <c r="N66" s="3"/>
      <c r="O66" s="226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</row>
    <row r="67" spans="1:35" x14ac:dyDescent="0.2">
      <c r="A67" s="182"/>
      <c r="B67" s="4" t="s">
        <v>119</v>
      </c>
      <c r="C67" s="85">
        <f>C61/5</f>
        <v>19.2</v>
      </c>
      <c r="D67" s="4" t="s">
        <v>10</v>
      </c>
      <c r="E67" s="183">
        <f>'[6]Водосток(МП)'!$E$22</f>
        <v>345</v>
      </c>
      <c r="F67" s="43">
        <f t="shared" si="11"/>
        <v>6624</v>
      </c>
      <c r="G67" s="384">
        <f t="shared" si="12"/>
        <v>9.6</v>
      </c>
      <c r="H67" s="302">
        <v>0.5</v>
      </c>
      <c r="I67" s="220">
        <f>[1]Основные!$F$133</f>
        <v>64</v>
      </c>
      <c r="J67" s="199"/>
      <c r="L67" s="360" t="s">
        <v>161</v>
      </c>
      <c r="M67" s="836">
        <f>[1]Основные!$F$83</f>
        <v>1265</v>
      </c>
      <c r="N67" s="837">
        <f>[1]Основные!$F$84</f>
        <v>924.61149999999986</v>
      </c>
      <c r="O67" s="472">
        <v>7.4</v>
      </c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</row>
    <row r="68" spans="1:35" ht="13.5" thickBot="1" x14ac:dyDescent="0.25">
      <c r="A68" s="184"/>
      <c r="B68" s="61" t="s">
        <v>6</v>
      </c>
      <c r="C68" s="185">
        <f>C65</f>
        <v>10</v>
      </c>
      <c r="D68" s="44" t="s">
        <v>10</v>
      </c>
      <c r="E68" s="186">
        <f>'[6]Водосток(МП)'!$E$23</f>
        <v>531</v>
      </c>
      <c r="F68" s="43">
        <f t="shared" si="11"/>
        <v>5310</v>
      </c>
      <c r="G68" s="384">
        <f t="shared" si="12"/>
        <v>5</v>
      </c>
      <c r="H68" s="302">
        <v>0.5</v>
      </c>
      <c r="I68" s="229">
        <f>[1]Основные!$F$135</f>
        <v>352</v>
      </c>
      <c r="J68" s="199"/>
      <c r="L68" s="219"/>
      <c r="M68" s="226"/>
      <c r="N68" s="3"/>
      <c r="O68" s="226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</row>
    <row r="69" spans="1:35" x14ac:dyDescent="0.2">
      <c r="A69" s="525"/>
      <c r="B69" s="54" t="s">
        <v>72</v>
      </c>
      <c r="C69" s="526">
        <v>0.02</v>
      </c>
      <c r="D69" s="54"/>
      <c r="E69" s="527"/>
      <c r="F69" s="528">
        <f>SUM(F60:F68)*C69</f>
        <v>3108.3085714285717</v>
      </c>
      <c r="G69" s="529"/>
      <c r="H69" s="375"/>
      <c r="I69" s="199"/>
      <c r="J69" s="199"/>
      <c r="L69" s="219" t="s">
        <v>162</v>
      </c>
      <c r="M69" s="226">
        <f>[7]Источник!$G$56</f>
        <v>0</v>
      </c>
      <c r="N69" s="3">
        <f>[7]Источник!$G$52</f>
        <v>0</v>
      </c>
      <c r="O69" s="226">
        <v>8.8000000000000007</v>
      </c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</row>
    <row r="70" spans="1:35" ht="13.5" thickBot="1" x14ac:dyDescent="0.25">
      <c r="A70" s="184"/>
      <c r="B70" s="123" t="s">
        <v>120</v>
      </c>
      <c r="C70" s="530"/>
      <c r="D70" s="44"/>
      <c r="E70" s="531"/>
      <c r="F70" s="118">
        <f>SUM(F60:F69)</f>
        <v>158523.73714285716</v>
      </c>
      <c r="G70" s="389">
        <f>SUM(G60:G69)</f>
        <v>349.17142857142858</v>
      </c>
      <c r="H70" s="375"/>
      <c r="I70" s="199"/>
      <c r="J70" s="199"/>
      <c r="L70" s="219"/>
      <c r="M70" s="226"/>
      <c r="N70" s="3"/>
      <c r="O70" s="226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</row>
    <row r="71" spans="1:35" ht="13.5" thickBot="1" x14ac:dyDescent="0.25">
      <c r="A71" s="757">
        <v>4</v>
      </c>
      <c r="B71" s="758" t="s">
        <v>84</v>
      </c>
      <c r="C71" s="759"/>
      <c r="D71" s="760"/>
      <c r="E71" s="762"/>
      <c r="F71" s="760"/>
      <c r="G71" s="773"/>
      <c r="H71" s="270"/>
      <c r="I71" s="194"/>
      <c r="J71" s="194"/>
      <c r="L71" s="219" t="s">
        <v>163</v>
      </c>
      <c r="M71" s="226">
        <f>[7]Источник!$G$69</f>
        <v>0</v>
      </c>
      <c r="N71" s="3"/>
      <c r="O71" s="226">
        <v>7.4</v>
      </c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217"/>
      <c r="AA71" s="192"/>
      <c r="AB71" s="192"/>
      <c r="AC71" s="192"/>
      <c r="AD71" s="192"/>
      <c r="AE71" s="192"/>
      <c r="AF71" s="192"/>
      <c r="AG71" s="192"/>
      <c r="AH71" s="192"/>
      <c r="AI71" s="192"/>
    </row>
    <row r="72" spans="1:35" x14ac:dyDescent="0.2">
      <c r="A72" s="114"/>
      <c r="B72" s="54" t="s">
        <v>222</v>
      </c>
      <c r="C72" s="115">
        <f>C9*0.5*1.1</f>
        <v>26.400000000000002</v>
      </c>
      <c r="D72" s="54" t="s">
        <v>33</v>
      </c>
      <c r="E72" s="141">
        <f>'[2]Профлист,доборы'!$E$23</f>
        <v>603.84</v>
      </c>
      <c r="F72" s="381">
        <f t="shared" ref="F72" si="13">C72*E72</f>
        <v>15941.376000000002</v>
      </c>
      <c r="G72" s="331">
        <f>C72*H72</f>
        <v>147.84</v>
      </c>
      <c r="H72" s="270">
        <v>5.6</v>
      </c>
      <c r="L72" s="219"/>
      <c r="M72" s="226"/>
      <c r="N72" s="3"/>
      <c r="O72" s="226"/>
      <c r="P72" s="212"/>
      <c r="Q72" s="192"/>
      <c r="R72" s="192"/>
      <c r="S72" s="192"/>
      <c r="T72" s="192"/>
      <c r="U72" s="192"/>
      <c r="V72" s="192"/>
      <c r="W72" s="192"/>
      <c r="X72" s="192"/>
      <c r="Y72" s="192"/>
      <c r="Z72" s="217"/>
      <c r="AA72" s="192"/>
      <c r="AB72" s="192"/>
      <c r="AC72" s="192"/>
      <c r="AD72" s="192"/>
      <c r="AE72" s="192"/>
      <c r="AF72" s="192"/>
      <c r="AG72" s="192"/>
      <c r="AH72" s="192"/>
      <c r="AI72" s="192"/>
    </row>
    <row r="73" spans="1:35" x14ac:dyDescent="0.2">
      <c r="A73" s="116"/>
      <c r="B73" s="4" t="s">
        <v>95</v>
      </c>
      <c r="C73" s="82">
        <f>CEILING(C9/1.9,1)</f>
        <v>26</v>
      </c>
      <c r="D73" s="4" t="s">
        <v>10</v>
      </c>
      <c r="E73" s="132">
        <f>'[2]Профлист,доборы'!$E$53</f>
        <v>1692</v>
      </c>
      <c r="F73" s="379">
        <f t="shared" ref="F73" si="14">C73*E73</f>
        <v>43992</v>
      </c>
      <c r="G73" s="516">
        <f>C73*H73</f>
        <v>44.199999999999996</v>
      </c>
      <c r="H73" s="270">
        <v>1.7</v>
      </c>
      <c r="I73" s="245" t="s">
        <v>147</v>
      </c>
      <c r="J73" s="243" t="s">
        <v>206</v>
      </c>
      <c r="K73" s="228" t="s">
        <v>207</v>
      </c>
      <c r="L73" s="244" t="s">
        <v>155</v>
      </c>
      <c r="M73" s="199"/>
      <c r="N73" s="199"/>
      <c r="O73" s="194"/>
      <c r="P73" s="212"/>
      <c r="Q73" s="192"/>
      <c r="R73" s="192"/>
      <c r="S73" s="192"/>
      <c r="T73" s="192"/>
      <c r="U73" s="192"/>
      <c r="V73" s="192"/>
      <c r="W73" s="192"/>
      <c r="X73" s="192"/>
      <c r="Y73" s="192"/>
      <c r="Z73" s="217"/>
      <c r="AA73" s="192"/>
      <c r="AB73" s="192"/>
      <c r="AC73" s="192"/>
      <c r="AD73" s="192"/>
      <c r="AE73" s="192"/>
      <c r="AF73" s="192"/>
      <c r="AG73" s="192"/>
      <c r="AH73" s="192"/>
      <c r="AI73" s="192"/>
    </row>
    <row r="74" spans="1:35" hidden="1" x14ac:dyDescent="0.2">
      <c r="A74" s="116"/>
      <c r="B74" s="4" t="s">
        <v>376</v>
      </c>
      <c r="C74" s="82">
        <f>M90/4*0</f>
        <v>0</v>
      </c>
      <c r="D74" s="4" t="s">
        <v>10</v>
      </c>
      <c r="E74" s="132">
        <f>'[2]Профлист,доборы'!$E$54</f>
        <v>732</v>
      </c>
      <c r="F74" s="43"/>
      <c r="G74" s="291"/>
      <c r="H74" s="270">
        <v>5</v>
      </c>
      <c r="I74" s="245"/>
      <c r="J74" s="243"/>
      <c r="K74" s="228"/>
      <c r="L74" s="244"/>
      <c r="M74" s="933"/>
      <c r="N74" s="933"/>
      <c r="O74" s="194"/>
      <c r="P74" s="212"/>
      <c r="Q74" s="192"/>
      <c r="R74" s="192"/>
      <c r="S74" s="192"/>
      <c r="T74" s="192"/>
      <c r="U74" s="192"/>
      <c r="V74" s="192"/>
      <c r="W74" s="192"/>
      <c r="X74" s="192"/>
      <c r="Y74" s="192"/>
      <c r="Z74" s="217"/>
      <c r="AA74" s="192"/>
      <c r="AB74" s="192"/>
      <c r="AC74" s="192"/>
      <c r="AD74" s="192"/>
      <c r="AE74" s="192"/>
      <c r="AF74" s="192"/>
      <c r="AG74" s="192"/>
      <c r="AH74" s="192"/>
      <c r="AI74" s="192"/>
    </row>
    <row r="75" spans="1:35" x14ac:dyDescent="0.2">
      <c r="A75" s="116"/>
      <c r="B75" s="4" t="s">
        <v>96</v>
      </c>
      <c r="C75" s="131">
        <f>CEILING(2*C8/1.8,1)</f>
        <v>20</v>
      </c>
      <c r="D75" s="4" t="s">
        <v>10</v>
      </c>
      <c r="E75" s="132">
        <f>'[2]Профлист,доборы'!$E$54</f>
        <v>732</v>
      </c>
      <c r="F75" s="43">
        <f>C75*E75</f>
        <v>14640</v>
      </c>
      <c r="G75" s="291">
        <f t="shared" ref="G75" si="15">C75*H75</f>
        <v>33.239999999999995</v>
      </c>
      <c r="H75" s="270">
        <v>1.6619999999999999</v>
      </c>
      <c r="I75" s="232" t="s">
        <v>148</v>
      </c>
      <c r="J75" s="263">
        <f>[1]Основные!$F$110</f>
        <v>1903.2499999999998</v>
      </c>
      <c r="K75" s="264">
        <f>[1]Основные!$F$111</f>
        <v>1575.4999999999998</v>
      </c>
      <c r="L75" s="219">
        <v>1.64</v>
      </c>
      <c r="M75" s="194"/>
      <c r="N75" s="194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</row>
    <row r="76" spans="1:35" hidden="1" x14ac:dyDescent="0.2">
      <c r="A76" s="182" t="str">
        <f>IF(I4=2,"вн.ок","вн.оц")</f>
        <v>вн.оц</v>
      </c>
      <c r="B76" s="4" t="str">
        <f>L54</f>
        <v>С-18 0,5мм</v>
      </c>
      <c r="C76" s="82">
        <f>C8*C9*1.1*0</f>
        <v>0</v>
      </c>
      <c r="D76" s="4" t="s">
        <v>33</v>
      </c>
      <c r="E76" s="164">
        <f>M54</f>
        <v>810</v>
      </c>
      <c r="F76" s="43">
        <f t="shared" ref="F76:F77" si="16">C76*E76</f>
        <v>0</v>
      </c>
      <c r="G76" s="291">
        <f t="shared" ref="G76:G77" si="17">C76*H76</f>
        <v>0</v>
      </c>
      <c r="H76" s="273">
        <f>N54</f>
        <v>5.3</v>
      </c>
      <c r="I76" s="232" t="s">
        <v>149</v>
      </c>
      <c r="J76" s="263">
        <f>[1]Основные!$F$113</f>
        <v>919.99999999999989</v>
      </c>
      <c r="K76" s="264">
        <f>[1]Основные!$F$114</f>
        <v>747.49999999999989</v>
      </c>
      <c r="L76" s="219">
        <v>1.03</v>
      </c>
      <c r="M76" s="225"/>
      <c r="N76" s="225"/>
      <c r="O76" s="197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</row>
    <row r="77" spans="1:35" hidden="1" x14ac:dyDescent="0.2">
      <c r="A77" s="182" t="str">
        <f>IF(I3=2,"нар.ок","нар.оц")</f>
        <v>нар.ок</v>
      </c>
      <c r="B77" s="4" t="str">
        <f>L67</f>
        <v>С-44  0,7мм</v>
      </c>
      <c r="C77" s="82">
        <f>(C8+0.6)*(C9+1)*1.1*0</f>
        <v>0</v>
      </c>
      <c r="D77" s="4" t="s">
        <v>33</v>
      </c>
      <c r="E77" s="975">
        <f>'[5]Профлист,Сайдинг,доборы (МП, (2'!$E$15</f>
        <v>804.01</v>
      </c>
      <c r="F77" s="43">
        <f t="shared" si="16"/>
        <v>0</v>
      </c>
      <c r="G77" s="291">
        <f t="shared" si="17"/>
        <v>0</v>
      </c>
      <c r="H77" s="270">
        <f>O67</f>
        <v>7.4</v>
      </c>
      <c r="I77" s="232" t="s">
        <v>150</v>
      </c>
      <c r="J77" s="265">
        <f>[1]Основные!$F$100</f>
        <v>736</v>
      </c>
      <c r="K77" s="265" t="e">
        <f>[1]Основные!$F$102</f>
        <v>#N/A</v>
      </c>
      <c r="L77" s="219">
        <v>0.93</v>
      </c>
      <c r="M77" s="194"/>
      <c r="N77" s="194"/>
      <c r="O77" s="194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</row>
    <row r="78" spans="1:35" hidden="1" x14ac:dyDescent="0.2">
      <c r="A78" s="103"/>
      <c r="B78" s="4" t="s">
        <v>111</v>
      </c>
      <c r="C78" s="82">
        <f>(2*C9/1.4)*0</f>
        <v>0</v>
      </c>
      <c r="D78" s="4" t="s">
        <v>10</v>
      </c>
      <c r="E78" s="132">
        <f>'[2]Профлист,доборы'!$E$59</f>
        <v>1807</v>
      </c>
      <c r="F78" s="43">
        <f t="shared" ref="F78:F79" si="18">C78*E78</f>
        <v>0</v>
      </c>
      <c r="G78" s="291">
        <f t="shared" ref="G78:G79" si="19">C78*H78</f>
        <v>0</v>
      </c>
      <c r="H78" s="270">
        <v>4</v>
      </c>
      <c r="I78" s="233" t="s">
        <v>151</v>
      </c>
      <c r="J78" s="265">
        <f>[1]Основные!$F$100</f>
        <v>736</v>
      </c>
      <c r="K78" s="266"/>
      <c r="L78" s="219">
        <v>0.93</v>
      </c>
      <c r="M78" s="194"/>
      <c r="N78" s="194"/>
      <c r="O78" s="194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</row>
    <row r="79" spans="1:35" ht="13.5" thickBot="1" x14ac:dyDescent="0.25">
      <c r="A79" s="532"/>
      <c r="B79" s="493" t="s">
        <v>103</v>
      </c>
      <c r="C79" s="497">
        <f>2*C73</f>
        <v>52</v>
      </c>
      <c r="D79" s="493" t="s">
        <v>10</v>
      </c>
      <c r="E79" s="533">
        <f>'[2]Профлист,доборы'!$E$57</f>
        <v>612</v>
      </c>
      <c r="F79" s="125">
        <f t="shared" si="18"/>
        <v>31824</v>
      </c>
      <c r="G79" s="202">
        <f t="shared" si="19"/>
        <v>0</v>
      </c>
      <c r="H79" s="270"/>
      <c r="I79" s="232" t="s">
        <v>152</v>
      </c>
      <c r="J79" s="263">
        <f>J80</f>
        <v>919.99999999999989</v>
      </c>
      <c r="K79" s="265">
        <f>[1]Основные!$F$107</f>
        <v>747.49999999999989</v>
      </c>
      <c r="L79" s="219">
        <v>2.2999999999999998</v>
      </c>
      <c r="M79" s="194"/>
      <c r="N79" s="194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</row>
    <row r="80" spans="1:35" x14ac:dyDescent="0.2">
      <c r="A80" s="111"/>
      <c r="B80" s="54" t="s">
        <v>72</v>
      </c>
      <c r="C80" s="388">
        <v>0.02</v>
      </c>
      <c r="D80" s="63"/>
      <c r="E80" s="63"/>
      <c r="F80" s="535">
        <f>SUM(F72:F79)*C80</f>
        <v>2127.9475200000002</v>
      </c>
      <c r="G80" s="536"/>
      <c r="H80" s="375"/>
      <c r="I80" s="232" t="s">
        <v>153</v>
      </c>
      <c r="J80" s="263">
        <f>[1]Основные!$F$103</f>
        <v>919.99999999999989</v>
      </c>
      <c r="K80" s="265">
        <f>[1]Основные!$F$104</f>
        <v>747.49999999999989</v>
      </c>
      <c r="L80" s="219">
        <v>2.2999999999999998</v>
      </c>
      <c r="M80" s="194"/>
      <c r="N80" s="194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216"/>
      <c r="AF80" s="192"/>
      <c r="AG80" s="192"/>
      <c r="AH80" s="192"/>
      <c r="AI80" s="192"/>
    </row>
    <row r="81" spans="1:35" ht="13.5" thickBot="1" x14ac:dyDescent="0.25">
      <c r="A81" s="79"/>
      <c r="B81" s="123" t="s">
        <v>85</v>
      </c>
      <c r="C81" s="64"/>
      <c r="D81" s="64"/>
      <c r="E81" s="64"/>
      <c r="F81" s="537">
        <f>SUM(F72:F80)</f>
        <v>108525.32352000001</v>
      </c>
      <c r="G81" s="538">
        <f>SUM(G72:G80)</f>
        <v>225.27999999999997</v>
      </c>
      <c r="H81" s="375"/>
      <c r="I81" s="194"/>
      <c r="J81" s="192"/>
      <c r="K81" s="192"/>
      <c r="L81" s="192"/>
      <c r="M81" s="194"/>
      <c r="N81" s="194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</row>
    <row r="82" spans="1:35" ht="13.5" thickBot="1" x14ac:dyDescent="0.25">
      <c r="A82" s="534"/>
      <c r="B82" s="487"/>
      <c r="C82" s="1044" t="s">
        <v>46</v>
      </c>
      <c r="D82" s="1045"/>
      <c r="E82" s="1046"/>
      <c r="F82" s="489">
        <f>F32+F44+F81+F58+F70+F53</f>
        <v>2681513.3839553855</v>
      </c>
      <c r="G82" s="490">
        <f>G32+G44+G81+G58+G70+G53</f>
        <v>15647.969933261611</v>
      </c>
      <c r="H82" s="270"/>
      <c r="I82" s="199"/>
      <c r="J82" s="199"/>
      <c r="K82" s="192"/>
      <c r="L82" s="192"/>
      <c r="M82" s="199"/>
      <c r="N82" s="199"/>
      <c r="O82" s="199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</row>
    <row r="83" spans="1:35" ht="13.5" thickBot="1" x14ac:dyDescent="0.25">
      <c r="A83" s="1035" t="s">
        <v>47</v>
      </c>
      <c r="B83" s="1036"/>
      <c r="C83" s="1036"/>
      <c r="D83" s="1036"/>
      <c r="E83" s="1036"/>
      <c r="F83" s="1036"/>
      <c r="G83" s="1037"/>
      <c r="H83" s="270"/>
      <c r="I83" s="194"/>
      <c r="J83" s="192"/>
      <c r="K83" s="212" t="s">
        <v>397</v>
      </c>
      <c r="L83" s="192">
        <v>1.0999999999999999E-2</v>
      </c>
      <c r="M83" s="194"/>
      <c r="N83" s="194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</row>
    <row r="84" spans="1:35" ht="13.5" thickBot="1" x14ac:dyDescent="0.25">
      <c r="A84" s="775">
        <v>1</v>
      </c>
      <c r="B84" s="774" t="s">
        <v>80</v>
      </c>
      <c r="C84" s="774"/>
      <c r="D84" s="774"/>
      <c r="E84" s="774"/>
      <c r="F84" s="774"/>
      <c r="G84" s="774"/>
      <c r="H84" s="270"/>
      <c r="I84" s="235" t="s">
        <v>164</v>
      </c>
      <c r="J84" s="219" t="s">
        <v>208</v>
      </c>
      <c r="K84" s="212" t="s">
        <v>396</v>
      </c>
      <c r="L84" s="192">
        <v>5.2500000000000003E-3</v>
      </c>
      <c r="M84" s="199"/>
      <c r="N84" s="199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</row>
    <row r="85" spans="1:35" x14ac:dyDescent="0.2">
      <c r="A85" s="102"/>
      <c r="B85" s="77" t="s">
        <v>44</v>
      </c>
      <c r="C85" s="81">
        <f>K90*634</f>
        <v>8242</v>
      </c>
      <c r="D85" s="54" t="s">
        <v>10</v>
      </c>
      <c r="E85" s="96">
        <f>[4]Перекупные!$F$48</f>
        <v>2.2885</v>
      </c>
      <c r="F85" s="100">
        <f>C85*E85</f>
        <v>18861.816999999999</v>
      </c>
      <c r="G85" s="304">
        <f>C85*H85</f>
        <v>35.440600000000003</v>
      </c>
      <c r="H85" s="270">
        <v>4.3E-3</v>
      </c>
      <c r="I85" s="226" t="s">
        <v>175</v>
      </c>
      <c r="J85" s="219">
        <f>9.6/1000</f>
        <v>9.5999999999999992E-3</v>
      </c>
      <c r="K85" s="212" t="s">
        <v>377</v>
      </c>
      <c r="L85" s="192">
        <v>7.1999999999999998E-3</v>
      </c>
      <c r="M85" s="194"/>
      <c r="N85" s="194"/>
      <c r="O85" s="192"/>
      <c r="P85" s="21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</row>
    <row r="86" spans="1:35" x14ac:dyDescent="0.2">
      <c r="A86" s="103"/>
      <c r="B86" s="4" t="s">
        <v>77</v>
      </c>
      <c r="C86" s="11">
        <f>(C9+C8)*2/0.5+1</f>
        <v>265</v>
      </c>
      <c r="D86" s="4" t="s">
        <v>10</v>
      </c>
      <c r="E86" s="142">
        <f>[4]Перекупные!$F$33</f>
        <v>1.6214999999999997</v>
      </c>
      <c r="F86" s="99">
        <f>C86*E86</f>
        <v>429.69749999999993</v>
      </c>
      <c r="G86" s="305">
        <f>H86*C86</f>
        <v>1.2719999999999998</v>
      </c>
      <c r="H86" s="270">
        <v>4.7999999999999996E-3</v>
      </c>
      <c r="I86" s="226" t="s">
        <v>165</v>
      </c>
      <c r="J86" s="219">
        <f>14.57/1000</f>
        <v>1.457E-2</v>
      </c>
      <c r="K86" s="212" t="s">
        <v>194</v>
      </c>
      <c r="L86" s="192"/>
      <c r="M86" s="192" t="s">
        <v>225</v>
      </c>
      <c r="N86" s="192"/>
      <c r="O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</row>
    <row r="87" spans="1:35" x14ac:dyDescent="0.2">
      <c r="A87" s="103"/>
      <c r="B87" s="3" t="s">
        <v>76</v>
      </c>
      <c r="C87" s="83">
        <f>16*K90</f>
        <v>208</v>
      </c>
      <c r="D87" s="4" t="s">
        <v>10</v>
      </c>
      <c r="E87" s="142">
        <f>[4]Перекупные!$F$34</f>
        <v>11.661</v>
      </c>
      <c r="F87" s="99">
        <f t="shared" ref="F87:F98" si="20">C87*E87</f>
        <v>2425.4879999999998</v>
      </c>
      <c r="G87" s="305">
        <f t="shared" ref="G87:G95" si="21">H87*C87</f>
        <v>10.4</v>
      </c>
      <c r="H87" s="270">
        <v>0.05</v>
      </c>
      <c r="I87" s="226" t="s">
        <v>166</v>
      </c>
      <c r="J87" s="219">
        <v>1.9400000000000001E-2</v>
      </c>
      <c r="K87" s="192"/>
      <c r="L87" s="192" t="s">
        <v>9</v>
      </c>
      <c r="M87" s="4">
        <v>258</v>
      </c>
      <c r="N87" s="219" t="s">
        <v>226</v>
      </c>
      <c r="O87" s="219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</row>
    <row r="88" spans="1:35" x14ac:dyDescent="0.2">
      <c r="A88" s="103"/>
      <c r="B88" s="4" t="s">
        <v>11</v>
      </c>
      <c r="C88" s="82">
        <f>C87</f>
        <v>208</v>
      </c>
      <c r="D88" s="4" t="s">
        <v>10</v>
      </c>
      <c r="E88" s="142">
        <f>[4]Перекупные!$F$35</f>
        <v>5.1289999999999996</v>
      </c>
      <c r="F88" s="99">
        <f t="shared" si="20"/>
        <v>1066.8319999999999</v>
      </c>
      <c r="G88" s="305">
        <f t="shared" si="21"/>
        <v>3.3280000000000003</v>
      </c>
      <c r="H88" s="270">
        <v>1.6E-2</v>
      </c>
      <c r="I88" s="226" t="s">
        <v>279</v>
      </c>
      <c r="J88" s="219">
        <v>2.7470000000000001E-2</v>
      </c>
      <c r="K88" s="192"/>
      <c r="L88" s="192"/>
      <c r="M88" s="219" t="s">
        <v>227</v>
      </c>
      <c r="N88" s="219"/>
      <c r="O88" s="418">
        <f>(292+30*(K90-2)/K90+12*8/K90+12*2/K90)</f>
        <v>326.61538461538458</v>
      </c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</row>
    <row r="89" spans="1:35" x14ac:dyDescent="0.2">
      <c r="A89" s="103"/>
      <c r="B89" s="4" t="s">
        <v>12</v>
      </c>
      <c r="C89" s="82">
        <f>C87</f>
        <v>208</v>
      </c>
      <c r="D89" s="4" t="s">
        <v>10</v>
      </c>
      <c r="E89" s="142">
        <f>[4]Перекупные!$F$36</f>
        <v>0.97749999999999992</v>
      </c>
      <c r="F89" s="99">
        <f t="shared" si="20"/>
        <v>203.32</v>
      </c>
      <c r="G89" s="305">
        <f t="shared" si="21"/>
        <v>1.04</v>
      </c>
      <c r="H89" s="270">
        <v>5.0000000000000001E-3</v>
      </c>
      <c r="I89" s="235" t="s">
        <v>167</v>
      </c>
      <c r="J89" s="226"/>
      <c r="K89" s="221" t="s">
        <v>193</v>
      </c>
      <c r="L89" s="192"/>
      <c r="M89" s="199" t="s">
        <v>224</v>
      </c>
      <c r="N89" s="199" t="s">
        <v>216</v>
      </c>
      <c r="O89" s="199" t="s">
        <v>217</v>
      </c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</row>
    <row r="90" spans="1:35" hidden="1" x14ac:dyDescent="0.2">
      <c r="A90" s="103"/>
      <c r="B90" s="4"/>
      <c r="C90" s="82"/>
      <c r="D90" s="4"/>
      <c r="E90" s="142"/>
      <c r="F90" s="99"/>
      <c r="G90" s="305"/>
      <c r="H90" s="270">
        <v>0</v>
      </c>
      <c r="I90" s="226" t="s">
        <v>169</v>
      </c>
      <c r="J90" s="219">
        <f>4.81/1000</f>
        <v>4.81E-3</v>
      </c>
      <c r="K90" s="292">
        <f>I17</f>
        <v>13</v>
      </c>
      <c r="L90" s="192" t="s">
        <v>43</v>
      </c>
      <c r="M90" s="199">
        <f>C9</f>
        <v>48</v>
      </c>
      <c r="N90" s="199">
        <f>C10</f>
        <v>6</v>
      </c>
      <c r="O90" s="192">
        <f>C11</f>
        <v>4</v>
      </c>
      <c r="P90" s="21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</row>
    <row r="91" spans="1:35" hidden="1" x14ac:dyDescent="0.2">
      <c r="A91" s="103"/>
      <c r="B91" s="4"/>
      <c r="C91" s="83"/>
      <c r="D91" s="4"/>
      <c r="E91" s="142"/>
      <c r="F91" s="99"/>
      <c r="G91" s="305"/>
      <c r="H91" s="270">
        <v>0</v>
      </c>
      <c r="I91" s="226" t="s">
        <v>168</v>
      </c>
      <c r="J91" s="219">
        <f>5.8/1000</f>
        <v>5.7999999999999996E-3</v>
      </c>
      <c r="K91" s="192"/>
      <c r="L91" s="192"/>
      <c r="M91" s="199"/>
      <c r="N91" s="199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</row>
    <row r="92" spans="1:35" hidden="1" x14ac:dyDescent="0.2">
      <c r="A92" s="103"/>
      <c r="B92" s="4"/>
      <c r="C92" s="83"/>
      <c r="D92" s="4"/>
      <c r="E92" s="142"/>
      <c r="F92" s="99"/>
      <c r="G92" s="305"/>
      <c r="H92" s="270">
        <v>0</v>
      </c>
      <c r="I92" s="226" t="s">
        <v>173</v>
      </c>
      <c r="J92" s="219">
        <f>7.4/1000</f>
        <v>7.4000000000000003E-3</v>
      </c>
      <c r="K92" s="219" t="s">
        <v>176</v>
      </c>
      <c r="L92" s="234">
        <f>SQRT(4.5*4.5+O90*O90)</f>
        <v>6.0207972893961479</v>
      </c>
      <c r="M92" s="199"/>
      <c r="N92" s="199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</row>
    <row r="93" spans="1:35" ht="13.5" thickBot="1" x14ac:dyDescent="0.25">
      <c r="A93" s="103"/>
      <c r="B93" s="4" t="s">
        <v>74</v>
      </c>
      <c r="C93" s="82">
        <f>O88*K90</f>
        <v>4246</v>
      </c>
      <c r="D93" s="4" t="s">
        <v>10</v>
      </c>
      <c r="E93" s="142">
        <f>[4]Перекупные!$F$40</f>
        <v>27.312499999999996</v>
      </c>
      <c r="F93" s="99">
        <f t="shared" si="20"/>
        <v>115968.87499999999</v>
      </c>
      <c r="G93" s="305">
        <f t="shared" si="21"/>
        <v>509.52</v>
      </c>
      <c r="H93" s="270">
        <v>0.12</v>
      </c>
      <c r="I93" s="226" t="s">
        <v>170</v>
      </c>
      <c r="J93" s="219">
        <f>8.4/1000</f>
        <v>8.4000000000000012E-3</v>
      </c>
      <c r="K93" s="796" t="s">
        <v>177</v>
      </c>
      <c r="L93" s="797">
        <f>SQRT(N90*N90+O90*O90)</f>
        <v>7.2111025509279782</v>
      </c>
      <c r="M93" s="199"/>
      <c r="N93" s="199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</row>
    <row r="94" spans="1:35" x14ac:dyDescent="0.2">
      <c r="A94" s="103"/>
      <c r="B94" s="4" t="s">
        <v>75</v>
      </c>
      <c r="C94" s="82">
        <f>C93</f>
        <v>4246</v>
      </c>
      <c r="D94" s="4" t="s">
        <v>10</v>
      </c>
      <c r="E94" s="142">
        <f>[4]Перекупные!$F$41</f>
        <v>13.351499999999998</v>
      </c>
      <c r="F94" s="99">
        <f t="shared" si="20"/>
        <v>56690.46899999999</v>
      </c>
      <c r="G94" s="305">
        <f t="shared" si="21"/>
        <v>157.102</v>
      </c>
      <c r="H94" s="270">
        <v>3.6999999999999998E-2</v>
      </c>
      <c r="I94" s="226" t="s">
        <v>171</v>
      </c>
      <c r="J94" s="795">
        <f>10.79/1000</f>
        <v>1.0789999999999999E-2</v>
      </c>
      <c r="K94" s="798" t="s">
        <v>192</v>
      </c>
      <c r="L94" s="785"/>
      <c r="M94" s="199"/>
      <c r="N94" s="246" t="s">
        <v>350</v>
      </c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</row>
    <row r="95" spans="1:35" ht="13.5" thickBot="1" x14ac:dyDescent="0.25">
      <c r="A95" s="103"/>
      <c r="B95" s="4" t="s">
        <v>228</v>
      </c>
      <c r="C95" s="82">
        <f>C93</f>
        <v>4246</v>
      </c>
      <c r="D95" s="4" t="s">
        <v>10</v>
      </c>
      <c r="E95" s="142">
        <f>[4]Перекупные!$F$42</f>
        <v>2.3804999999999996</v>
      </c>
      <c r="F95" s="99">
        <f t="shared" si="20"/>
        <v>10107.602999999999</v>
      </c>
      <c r="G95" s="305">
        <f t="shared" si="21"/>
        <v>46.705999999999996</v>
      </c>
      <c r="H95" s="270">
        <v>1.0999999999999999E-2</v>
      </c>
      <c r="I95" s="226" t="s">
        <v>172</v>
      </c>
      <c r="J95" s="795">
        <f>11.89/1000</f>
        <v>1.1890000000000001E-2</v>
      </c>
      <c r="K95" s="799">
        <v>3</v>
      </c>
      <c r="L95" s="787" t="s">
        <v>43</v>
      </c>
      <c r="M95" s="199"/>
      <c r="N95" s="199">
        <v>3</v>
      </c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</row>
    <row r="96" spans="1:35" x14ac:dyDescent="0.2">
      <c r="A96" s="103"/>
      <c r="B96" s="4" t="s">
        <v>88</v>
      </c>
      <c r="C96" s="935">
        <f>(4*(C10+0.5)*J87+L84*K95*C9+(8*2)*L92*L85*1.1+(2*2)*L93*L85*1.1)+0.856+J85*L156</f>
        <v>4.0486031613256781</v>
      </c>
      <c r="D96" s="4" t="s">
        <v>9</v>
      </c>
      <c r="E96" s="142">
        <f>[2]Перекупные!$F$7</f>
        <v>137430</v>
      </c>
      <c r="F96" s="99">
        <f t="shared" si="20"/>
        <v>556399.53246098792</v>
      </c>
      <c r="G96" s="305">
        <f>H96*C96</f>
        <v>4048.6031613256782</v>
      </c>
      <c r="H96" s="270">
        <v>1000</v>
      </c>
      <c r="I96" s="226" t="s">
        <v>174</v>
      </c>
      <c r="J96" s="219">
        <f>15.5/1000</f>
        <v>1.55E-2</v>
      </c>
      <c r="K96" s="192"/>
      <c r="L96" s="192"/>
      <c r="M96" s="199"/>
      <c r="N96" s="199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</row>
    <row r="97" spans="1:35" ht="13.5" thickBot="1" x14ac:dyDescent="0.25">
      <c r="A97" s="307">
        <f>C96+C97+C98</f>
        <v>9.3073631613256786</v>
      </c>
      <c r="B97" s="4" t="s">
        <v>106</v>
      </c>
      <c r="C97" s="887">
        <f>((K90-2)*(C8)*2*J90)</f>
        <v>1.90476</v>
      </c>
      <c r="D97" s="4" t="s">
        <v>9</v>
      </c>
      <c r="E97" s="142">
        <f>[2]Перекупные!$F$14</f>
        <v>166750</v>
      </c>
      <c r="F97" s="99">
        <f t="shared" si="20"/>
        <v>317618.73</v>
      </c>
      <c r="G97" s="915">
        <f>H97*C97</f>
        <v>1904.76</v>
      </c>
      <c r="H97" s="270">
        <v>1000</v>
      </c>
      <c r="I97" s="226" t="s">
        <v>209</v>
      </c>
      <c r="J97" s="796">
        <f>19.41/1000</f>
        <v>1.941E-2</v>
      </c>
      <c r="K97" s="192"/>
      <c r="L97" s="192"/>
      <c r="M97" s="199"/>
      <c r="N97" s="199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</row>
    <row r="98" spans="1:35" ht="13.5" thickBot="1" x14ac:dyDescent="0.25">
      <c r="A98" s="117"/>
      <c r="B98" s="44" t="s">
        <v>107</v>
      </c>
      <c r="C98" s="967">
        <f>K90*M87/1000</f>
        <v>3.3540000000000001</v>
      </c>
      <c r="D98" s="968" t="s">
        <v>9</v>
      </c>
      <c r="E98" s="986">
        <f>[2]Перекупные!$F$5</f>
        <v>137770</v>
      </c>
      <c r="F98" s="113">
        <f t="shared" si="20"/>
        <v>462080.58</v>
      </c>
      <c r="G98" s="969">
        <f>H98*C98</f>
        <v>3354</v>
      </c>
      <c r="H98" s="270">
        <v>1000</v>
      </c>
      <c r="I98" s="199"/>
      <c r="J98" s="800" t="s">
        <v>335</v>
      </c>
      <c r="K98" s="192"/>
      <c r="L98" s="192"/>
      <c r="M98" s="199"/>
      <c r="N98" s="199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</row>
    <row r="99" spans="1:35" x14ac:dyDescent="0.2">
      <c r="A99" s="963"/>
      <c r="B99" s="812" t="s">
        <v>72</v>
      </c>
      <c r="C99" s="964">
        <v>0.02</v>
      </c>
      <c r="D99" s="399"/>
      <c r="E99" s="965"/>
      <c r="F99" s="400">
        <f>SUM(F85:F98)*C99</f>
        <v>30837.05887921976</v>
      </c>
      <c r="G99" s="966"/>
      <c r="H99" s="270"/>
      <c r="I99" s="199">
        <f>A97/I147</f>
        <v>1.0772411066349165E-2</v>
      </c>
      <c r="J99" s="838">
        <f>[1]Перекупные!$F$12</f>
        <v>179400</v>
      </c>
      <c r="K99" s="192"/>
      <c r="L99" s="192"/>
      <c r="M99" s="199"/>
      <c r="N99" s="199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</row>
    <row r="100" spans="1:35" ht="13.5" thickBot="1" x14ac:dyDescent="0.25">
      <c r="A100" s="79"/>
      <c r="B100" s="123" t="s">
        <v>81</v>
      </c>
      <c r="C100" s="64"/>
      <c r="D100" s="64"/>
      <c r="E100" s="104"/>
      <c r="F100" s="105">
        <f>SUM(F85:F99)</f>
        <v>1572690.0028402077</v>
      </c>
      <c r="G100" s="208">
        <f>SUM(G85:G99)</f>
        <v>10072.171761325679</v>
      </c>
      <c r="H100" s="270"/>
      <c r="I100" s="199"/>
      <c r="J100" s="838">
        <f>[1]Перекупные!$F$13</f>
        <v>183430</v>
      </c>
      <c r="K100" s="212"/>
      <c r="L100" s="192"/>
      <c r="M100" s="199"/>
      <c r="N100" s="199"/>
      <c r="O100" s="192"/>
      <c r="P100" s="218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</row>
    <row r="101" spans="1:35" ht="13.5" thickBot="1" x14ac:dyDescent="0.25">
      <c r="A101" s="766">
        <v>2</v>
      </c>
      <c r="B101" s="776" t="s">
        <v>86</v>
      </c>
      <c r="C101" s="769"/>
      <c r="D101" s="769"/>
      <c r="E101" s="777"/>
      <c r="F101" s="778"/>
      <c r="G101" s="779"/>
      <c r="H101" s="375"/>
      <c r="I101" s="199"/>
      <c r="J101" s="839">
        <f>[1]Перекупные!$F$10</f>
        <v>173650</v>
      </c>
      <c r="K101" s="192"/>
      <c r="L101" s="192"/>
      <c r="M101" s="199"/>
      <c r="N101" s="199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</row>
    <row r="102" spans="1:35" ht="13.5" thickBot="1" x14ac:dyDescent="0.25">
      <c r="A102" s="398"/>
      <c r="B102" s="408" t="s">
        <v>250</v>
      </c>
      <c r="C102" s="996">
        <f>((C8+C9)*2*(C10)+C8*2)-1*46*1-1*2*2-4*4*2</f>
        <v>746</v>
      </c>
      <c r="D102" s="399" t="s">
        <v>33</v>
      </c>
      <c r="E102" s="972">
        <f>[2]СП!$I$11</f>
        <v>2740</v>
      </c>
      <c r="F102" s="400">
        <f>C102*E102</f>
        <v>2044040</v>
      </c>
      <c r="G102" s="305">
        <f>H102*C102</f>
        <v>14994.6</v>
      </c>
      <c r="H102" s="270">
        <v>20.100000000000001</v>
      </c>
      <c r="I102" s="361"/>
      <c r="J102" s="192"/>
      <c r="K102" s="192"/>
      <c r="L102" s="192"/>
      <c r="M102" s="3"/>
      <c r="N102" s="226" t="s">
        <v>82</v>
      </c>
      <c r="O102" s="226" t="s">
        <v>84</v>
      </c>
      <c r="P102" s="219" t="s">
        <v>255</v>
      </c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</row>
    <row r="103" spans="1:35" ht="13.5" thickBot="1" x14ac:dyDescent="0.25">
      <c r="A103" s="237"/>
      <c r="B103" s="997" t="str">
        <f>[2]СП!$C$38</f>
        <v>Сз под СП 5,5х140</v>
      </c>
      <c r="C103" s="85">
        <f>C102/I103*6*1.1</f>
        <v>1230.9000000000001</v>
      </c>
      <c r="D103" s="3" t="s">
        <v>43</v>
      </c>
      <c r="E103" s="973">
        <f>[2]СП!$D$38</f>
        <v>51.9</v>
      </c>
      <c r="F103" s="400">
        <f>C103*E103</f>
        <v>63883.710000000006</v>
      </c>
      <c r="G103" s="305">
        <f>H103*C103</f>
        <v>6.1545000000000005</v>
      </c>
      <c r="H103" s="862">
        <v>5.0000000000000001E-3</v>
      </c>
      <c r="I103" s="865">
        <f>C11</f>
        <v>4</v>
      </c>
      <c r="J103" s="866" t="s">
        <v>361</v>
      </c>
      <c r="K103" s="192"/>
      <c r="L103" s="192"/>
      <c r="M103" s="396" t="s">
        <v>249</v>
      </c>
      <c r="N103" s="226">
        <f>[1]СП!$B$4</f>
        <v>4048.0000000000005</v>
      </c>
      <c r="O103" s="219">
        <f>[1]СП!$C$4</f>
        <v>2920</v>
      </c>
      <c r="P103" s="219">
        <f>[1]СП!$D$4</f>
        <v>18.2</v>
      </c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</row>
    <row r="104" spans="1:35" ht="13.5" thickBot="1" x14ac:dyDescent="0.25">
      <c r="A104" s="237"/>
      <c r="B104" s="868" t="s">
        <v>362</v>
      </c>
      <c r="C104" s="85">
        <f>CEILING((C10/1-1),1)*(C8*2+C9*2)*2*1.1</f>
        <v>1452.0000000000002</v>
      </c>
      <c r="D104" s="3" t="s">
        <v>363</v>
      </c>
      <c r="E104" s="973">
        <f>[4]Перекупные!$F$60</f>
        <v>63.3</v>
      </c>
      <c r="F104" s="400">
        <f t="shared" ref="F104" si="22">C104*E104</f>
        <v>91911.6</v>
      </c>
      <c r="G104" s="305">
        <f t="shared" ref="G104" si="23">E104*H104</f>
        <v>0</v>
      </c>
      <c r="H104" s="862"/>
      <c r="I104" s="296"/>
      <c r="J104" s="809"/>
      <c r="K104" s="192"/>
      <c r="L104" s="192"/>
      <c r="M104" s="396"/>
      <c r="N104" s="226"/>
      <c r="O104" s="219"/>
      <c r="P104" s="219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</row>
    <row r="105" spans="1:35" hidden="1" x14ac:dyDescent="0.2">
      <c r="A105" s="393"/>
      <c r="B105" s="4" t="s">
        <v>45</v>
      </c>
      <c r="C105" s="11">
        <f>10*(C40+C42)</f>
        <v>0</v>
      </c>
      <c r="D105" s="4" t="s">
        <v>10</v>
      </c>
      <c r="E105" s="142">
        <f>IF(I3=2,J106,K106)</f>
        <v>2.3459999999999996</v>
      </c>
      <c r="F105" s="400">
        <f t="shared" ref="F105:F112" si="24">C105*E105</f>
        <v>0</v>
      </c>
      <c r="G105" s="305">
        <f t="shared" ref="G105:G112" si="25">C105*H105</f>
        <v>0</v>
      </c>
      <c r="H105" s="270">
        <v>2.5999999999999999E-3</v>
      </c>
      <c r="I105" s="863"/>
      <c r="J105" s="864" t="s">
        <v>196</v>
      </c>
      <c r="K105" s="244" t="s">
        <v>195</v>
      </c>
      <c r="L105" s="192"/>
      <c r="M105" s="396" t="s">
        <v>250</v>
      </c>
      <c r="N105" s="226">
        <f>[1]СП!$B$5</f>
        <v>4185.5</v>
      </c>
      <c r="O105" s="219">
        <f>[1]СП!$C$5</f>
        <v>4471.5</v>
      </c>
      <c r="P105" s="219">
        <f>[1]СП!$D$5</f>
        <v>20.100000000000001</v>
      </c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</row>
    <row r="106" spans="1:35" hidden="1" x14ac:dyDescent="0.2">
      <c r="A106" s="393"/>
      <c r="B106" s="4" t="s">
        <v>108</v>
      </c>
      <c r="C106" s="11">
        <f>IF(G9=4,K90*(12.5+2*C10)*0.2,0)*0</f>
        <v>0</v>
      </c>
      <c r="D106" s="4" t="s">
        <v>33</v>
      </c>
      <c r="E106" s="142">
        <f>[1]Основные!$F$38</f>
        <v>1786.4</v>
      </c>
      <c r="F106" s="400">
        <f t="shared" si="24"/>
        <v>0</v>
      </c>
      <c r="G106" s="305">
        <f t="shared" si="25"/>
        <v>0</v>
      </c>
      <c r="H106" s="270">
        <v>14</v>
      </c>
      <c r="I106" s="4" t="s">
        <v>45</v>
      </c>
      <c r="J106" s="267">
        <f>[1]Основные!$F$425</f>
        <v>2.3459999999999996</v>
      </c>
      <c r="K106" s="267">
        <f>[1]Основные!$F$426</f>
        <v>1.8974999999999997</v>
      </c>
      <c r="L106" s="192"/>
      <c r="M106" s="791" t="s">
        <v>251</v>
      </c>
      <c r="N106" s="792">
        <f>[1]СП!$B$7</f>
        <v>4746.5</v>
      </c>
      <c r="O106" s="793">
        <f>[1]СП!$C$7</f>
        <v>4983</v>
      </c>
      <c r="P106" s="793">
        <f>[1]СП!$D$7</f>
        <v>24.85</v>
      </c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</row>
    <row r="107" spans="1:35" hidden="1" x14ac:dyDescent="0.2">
      <c r="A107" s="103"/>
      <c r="B107" s="4" t="s">
        <v>89</v>
      </c>
      <c r="C107" s="84">
        <f>2*(C8+C9)*C10*E15/1000*1.05*0+C8*2*E15/1000*1.05*0</f>
        <v>0</v>
      </c>
      <c r="D107" s="80" t="s">
        <v>48</v>
      </c>
      <c r="E107" s="143">
        <f>J108</f>
        <v>4140</v>
      </c>
      <c r="F107" s="400">
        <f t="shared" si="24"/>
        <v>0</v>
      </c>
      <c r="G107" s="305">
        <f t="shared" si="25"/>
        <v>0</v>
      </c>
      <c r="H107" s="270">
        <v>30</v>
      </c>
      <c r="I107" s="213"/>
      <c r="J107" s="244">
        <v>5</v>
      </c>
      <c r="K107" s="268" t="s">
        <v>197</v>
      </c>
      <c r="L107" s="394">
        <v>2</v>
      </c>
      <c r="M107" s="396" t="s">
        <v>252</v>
      </c>
      <c r="N107" s="397">
        <f>[1]СП!$B$6</f>
        <v>4449.5</v>
      </c>
      <c r="O107" s="219">
        <f>[1]СП!$C$6</f>
        <v>4730</v>
      </c>
      <c r="P107" s="219">
        <f>[1]СП!$D$6</f>
        <v>22</v>
      </c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</row>
    <row r="108" spans="1:35" hidden="1" x14ac:dyDescent="0.2">
      <c r="A108" s="103"/>
      <c r="B108" s="570" t="s">
        <v>101</v>
      </c>
      <c r="C108" s="84">
        <f>(C8+C9)*2*C10</f>
        <v>792</v>
      </c>
      <c r="D108" s="80" t="s">
        <v>33</v>
      </c>
      <c r="E108" s="143">
        <f>[1]Перекупные!$F$24</f>
        <v>322.38333333333327</v>
      </c>
      <c r="F108" s="400"/>
      <c r="G108" s="305"/>
      <c r="H108" s="270">
        <v>10</v>
      </c>
      <c r="I108" s="12" t="s">
        <v>89</v>
      </c>
      <c r="J108" s="258">
        <f>[1]Основные!$F$161</f>
        <v>4140</v>
      </c>
      <c r="K108" s="258">
        <f>[1]Основные!$F$162</f>
        <v>4150</v>
      </c>
      <c r="L108" s="395">
        <f>[1]Основные!$F$160</f>
        <v>4650</v>
      </c>
      <c r="M108" s="791" t="s">
        <v>253</v>
      </c>
      <c r="N108" s="794">
        <f>[1]СП!$B$9</f>
        <v>5137</v>
      </c>
      <c r="O108" s="793">
        <f>[1]СП!$C$9</f>
        <v>5417.5</v>
      </c>
      <c r="P108" s="793">
        <f>[1]СП!$D$9</f>
        <v>29.6</v>
      </c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</row>
    <row r="109" spans="1:35" hidden="1" x14ac:dyDescent="0.2">
      <c r="A109" s="103"/>
      <c r="B109" s="568" t="s">
        <v>102</v>
      </c>
      <c r="C109" s="84">
        <f>20*C108</f>
        <v>15840</v>
      </c>
      <c r="D109" s="80" t="s">
        <v>10</v>
      </c>
      <c r="E109" s="143">
        <f>[1]Перекупные!$F$29</f>
        <v>0.91999999999999993</v>
      </c>
      <c r="F109" s="400"/>
      <c r="G109" s="305"/>
      <c r="H109" s="270">
        <v>3.0000000000000001E-3</v>
      </c>
      <c r="I109" s="213"/>
      <c r="J109" s="224">
        <f>[1]Основные!$F$158</f>
        <v>3450</v>
      </c>
      <c r="K109" s="192"/>
      <c r="L109" s="192"/>
      <c r="M109" s="396" t="s">
        <v>254</v>
      </c>
      <c r="N109" s="397">
        <f>[1]СП!$I$11</f>
        <v>6682.5000000000009</v>
      </c>
      <c r="O109" s="219">
        <f>[1]СП!$K$11</f>
        <v>6979.5000000000009</v>
      </c>
      <c r="P109" s="219">
        <f>[1]СП!$L$11</f>
        <v>36.85</v>
      </c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</row>
    <row r="110" spans="1:35" hidden="1" x14ac:dyDescent="0.2">
      <c r="A110" s="103"/>
      <c r="B110" s="577" t="s">
        <v>223</v>
      </c>
      <c r="C110" s="84">
        <f>C108/0.6+I147/0.6</f>
        <v>2760</v>
      </c>
      <c r="D110" s="80" t="s">
        <v>8</v>
      </c>
      <c r="E110" s="143">
        <f>[1]Перекупные!$F$79</f>
        <v>241.5</v>
      </c>
      <c r="F110" s="400"/>
      <c r="G110" s="305"/>
      <c r="H110" s="270">
        <v>0.7</v>
      </c>
      <c r="I110" s="213"/>
      <c r="J110" s="192"/>
      <c r="K110" s="192"/>
      <c r="L110" s="192"/>
      <c r="M110" s="219" t="s">
        <v>256</v>
      </c>
      <c r="N110" s="833">
        <f>[1]СП!$B$19</f>
        <v>43.1</v>
      </c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</row>
    <row r="111" spans="1:35" hidden="1" x14ac:dyDescent="0.2">
      <c r="A111" s="103"/>
      <c r="B111" s="169" t="s">
        <v>104</v>
      </c>
      <c r="C111" s="72">
        <f>(C8+C9)*2*C10*1.2*0</f>
        <v>0</v>
      </c>
      <c r="D111" s="45" t="s">
        <v>33</v>
      </c>
      <c r="E111" s="144">
        <f>[1]Основные!$F$169</f>
        <v>42</v>
      </c>
      <c r="F111" s="400">
        <f t="shared" si="24"/>
        <v>0</v>
      </c>
      <c r="G111" s="305">
        <f t="shared" si="25"/>
        <v>0</v>
      </c>
      <c r="H111" s="270">
        <v>0.2</v>
      </c>
      <c r="I111" s="213"/>
      <c r="J111" s="192"/>
      <c r="K111" s="192"/>
      <c r="L111" s="192"/>
      <c r="M111" s="219" t="s">
        <v>257</v>
      </c>
      <c r="N111" s="833">
        <f>[1]СП!$B$20</f>
        <v>51.9</v>
      </c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</row>
    <row r="112" spans="1:35" ht="13.5" hidden="1" thickBot="1" x14ac:dyDescent="0.25">
      <c r="A112" s="532"/>
      <c r="B112" s="549" t="s">
        <v>105</v>
      </c>
      <c r="C112" s="553">
        <f>C111</f>
        <v>0</v>
      </c>
      <c r="D112" s="549" t="s">
        <v>33</v>
      </c>
      <c r="E112" s="550">
        <f>[1]Основные!$F$168</f>
        <v>89.14</v>
      </c>
      <c r="F112" s="400">
        <f t="shared" si="24"/>
        <v>0</v>
      </c>
      <c r="G112" s="305">
        <f t="shared" si="25"/>
        <v>0</v>
      </c>
      <c r="H112" s="270">
        <v>0.2</v>
      </c>
      <c r="I112" s="213"/>
      <c r="J112" s="192"/>
      <c r="K112" s="192"/>
      <c r="L112" s="192"/>
      <c r="M112" s="793" t="s">
        <v>258</v>
      </c>
      <c r="N112" s="846">
        <f>[1]СП!$B$22</f>
        <v>94.8</v>
      </c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</row>
    <row r="113" spans="1:35" x14ac:dyDescent="0.2">
      <c r="A113" s="111"/>
      <c r="B113" s="544" t="s">
        <v>72</v>
      </c>
      <c r="C113" s="545">
        <v>0.02</v>
      </c>
      <c r="D113" s="63"/>
      <c r="E113" s="546"/>
      <c r="F113" s="547">
        <f>SUM(F102:F112)*C113</f>
        <v>43996.706200000001</v>
      </c>
      <c r="G113" s="536"/>
      <c r="H113" s="375"/>
      <c r="I113" s="213"/>
      <c r="J113" s="192"/>
      <c r="K113" s="192"/>
      <c r="L113" s="192"/>
      <c r="M113" s="219" t="s">
        <v>259</v>
      </c>
      <c r="N113" s="833">
        <f>[1]СП!$B$21</f>
        <v>71.099999999999994</v>
      </c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</row>
    <row r="114" spans="1:35" ht="13.5" thickBot="1" x14ac:dyDescent="0.25">
      <c r="A114" s="79"/>
      <c r="B114" s="123" t="s">
        <v>87</v>
      </c>
      <c r="C114" s="64"/>
      <c r="D114" s="64"/>
      <c r="E114" s="104"/>
      <c r="F114" s="105">
        <f>SUM(F102:F113)</f>
        <v>2243832.0162</v>
      </c>
      <c r="G114" s="548">
        <f>SUM(G102:G113)</f>
        <v>15000.754500000001</v>
      </c>
      <c r="H114" s="375"/>
      <c r="I114" s="226" t="s">
        <v>198</v>
      </c>
      <c r="J114" s="219">
        <f>[1]Перекупные!$F$25</f>
        <v>280.59999999999997</v>
      </c>
      <c r="K114" s="192"/>
      <c r="L114" s="192"/>
      <c r="M114" s="793" t="s">
        <v>260</v>
      </c>
      <c r="N114" s="846">
        <f>[1]СП!$B$23</f>
        <v>145.69999999999999</v>
      </c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</row>
    <row r="115" spans="1:35" ht="13.5" hidden="1" thickBot="1" x14ac:dyDescent="0.25">
      <c r="A115" s="766">
        <v>3</v>
      </c>
      <c r="B115" s="767" t="s">
        <v>93</v>
      </c>
      <c r="C115" s="769"/>
      <c r="D115" s="769"/>
      <c r="E115" s="777"/>
      <c r="F115" s="780"/>
      <c r="G115" s="781"/>
      <c r="H115" s="375"/>
      <c r="I115" s="226" t="s">
        <v>199</v>
      </c>
      <c r="J115" s="219"/>
      <c r="K115" s="192"/>
      <c r="L115" s="192"/>
      <c r="M115" s="219" t="s">
        <v>261</v>
      </c>
      <c r="N115" s="833">
        <f>[1]СП!$B$24</f>
        <v>188.9</v>
      </c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</row>
    <row r="116" spans="1:35" hidden="1" x14ac:dyDescent="0.2">
      <c r="A116" s="399"/>
      <c r="B116" s="554" t="s">
        <v>7</v>
      </c>
      <c r="C116" s="399">
        <f>D176*0</f>
        <v>0</v>
      </c>
      <c r="D116" s="399" t="s">
        <v>10</v>
      </c>
      <c r="E116" s="407">
        <f>[1]Основные!$F$428</f>
        <v>0.60949999999999993</v>
      </c>
      <c r="F116" s="555">
        <f>C116*E116</f>
        <v>0</v>
      </c>
      <c r="G116" s="556">
        <f>C116*H116</f>
        <v>0</v>
      </c>
      <c r="H116" s="270">
        <v>2E-3</v>
      </c>
      <c r="I116" s="226" t="s">
        <v>200</v>
      </c>
      <c r="J116" s="219">
        <f>[1]Перекупные!$F$23</f>
        <v>337.71666666666664</v>
      </c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</row>
    <row r="117" spans="1:35" hidden="1" x14ac:dyDescent="0.2">
      <c r="A117" s="3"/>
      <c r="B117" s="41" t="s">
        <v>61</v>
      </c>
      <c r="C117" s="3">
        <f>D177*0</f>
        <v>0</v>
      </c>
      <c r="D117" s="3" t="s">
        <v>48</v>
      </c>
      <c r="E117" s="168">
        <f>E107</f>
        <v>4140</v>
      </c>
      <c r="F117" s="163">
        <f t="shared" ref="F117:F123" si="26">C117*E117</f>
        <v>0</v>
      </c>
      <c r="G117" s="309">
        <f t="shared" ref="G117:G123" si="27">C117*H117</f>
        <v>0</v>
      </c>
      <c r="H117" s="270">
        <v>30</v>
      </c>
      <c r="I117" s="199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</row>
    <row r="118" spans="1:35" hidden="1" x14ac:dyDescent="0.2">
      <c r="A118" s="3"/>
      <c r="B118" s="167" t="str">
        <f>I106</f>
        <v>Саморез 4,8x20</v>
      </c>
      <c r="C118" s="3">
        <f>8*C56</f>
        <v>0</v>
      </c>
      <c r="D118" s="3" t="s">
        <v>43</v>
      </c>
      <c r="E118" s="168">
        <f>J106</f>
        <v>2.3459999999999996</v>
      </c>
      <c r="F118" s="163">
        <f t="shared" si="26"/>
        <v>0</v>
      </c>
      <c r="G118" s="309">
        <f t="shared" si="27"/>
        <v>0</v>
      </c>
      <c r="H118" s="270">
        <f>H105</f>
        <v>2.5999999999999999E-3</v>
      </c>
      <c r="I118" s="361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</row>
    <row r="119" spans="1:35" hidden="1" x14ac:dyDescent="0.2">
      <c r="A119" s="3"/>
      <c r="B119" s="409" t="str">
        <f>M108</f>
        <v>СП 200</v>
      </c>
      <c r="C119" s="85">
        <f>E17</f>
        <v>0</v>
      </c>
      <c r="D119" s="3" t="s">
        <v>33</v>
      </c>
      <c r="E119" s="168">
        <f>[4]СП!$I$14</f>
        <v>4205</v>
      </c>
      <c r="F119" s="163">
        <f t="shared" si="26"/>
        <v>0</v>
      </c>
      <c r="G119" s="309">
        <f t="shared" si="27"/>
        <v>0</v>
      </c>
      <c r="H119" s="270">
        <v>29.6</v>
      </c>
      <c r="I119" s="361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</row>
    <row r="120" spans="1:35" hidden="1" x14ac:dyDescent="0.2">
      <c r="A120" s="3"/>
      <c r="B120" s="409" t="str">
        <f>M114</f>
        <v>с\з 5,5х240</v>
      </c>
      <c r="C120" s="85">
        <f>C119/6*6*1.1</f>
        <v>0</v>
      </c>
      <c r="D120" s="3" t="s">
        <v>43</v>
      </c>
      <c r="E120" s="168">
        <f>[4]СП!$D$41</f>
        <v>145.69999999999999</v>
      </c>
      <c r="F120" s="163">
        <f t="shared" si="26"/>
        <v>0</v>
      </c>
      <c r="G120" s="309">
        <f t="shared" si="27"/>
        <v>0</v>
      </c>
      <c r="H120" s="270">
        <f>0.005</f>
        <v>5.0000000000000001E-3</v>
      </c>
      <c r="I120" s="361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</row>
    <row r="121" spans="1:35" hidden="1" x14ac:dyDescent="0.2">
      <c r="A121" s="3"/>
      <c r="B121" s="360" t="s">
        <v>362</v>
      </c>
      <c r="C121" s="85">
        <f>C119*1.7</f>
        <v>0</v>
      </c>
      <c r="D121" s="3"/>
      <c r="E121" s="168">
        <f>E104</f>
        <v>63.3</v>
      </c>
      <c r="F121" s="163">
        <f t="shared" si="26"/>
        <v>0</v>
      </c>
      <c r="G121" s="309">
        <f t="shared" si="27"/>
        <v>0</v>
      </c>
      <c r="H121" s="270"/>
      <c r="I121" s="867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</row>
    <row r="122" spans="1:35" hidden="1" x14ac:dyDescent="0.2">
      <c r="A122" s="3"/>
      <c r="B122" s="167" t="s">
        <v>101</v>
      </c>
      <c r="C122" s="3">
        <f>E17*2*0</f>
        <v>0</v>
      </c>
      <c r="D122" s="3" t="s">
        <v>33</v>
      </c>
      <c r="E122" s="168">
        <f>E108</f>
        <v>322.38333333333327</v>
      </c>
      <c r="F122" s="163">
        <f t="shared" si="26"/>
        <v>0</v>
      </c>
      <c r="G122" s="309">
        <f t="shared" si="27"/>
        <v>0</v>
      </c>
      <c r="H122" s="270">
        <v>10</v>
      </c>
      <c r="I122" s="199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</row>
    <row r="123" spans="1:35" ht="13.5" hidden="1" thickBot="1" x14ac:dyDescent="0.25">
      <c r="A123" s="365"/>
      <c r="B123" s="167" t="s">
        <v>102</v>
      </c>
      <c r="C123" s="365">
        <f>C122*20</f>
        <v>0</v>
      </c>
      <c r="D123" s="365" t="s">
        <v>10</v>
      </c>
      <c r="E123" s="559">
        <f>E109</f>
        <v>0.91999999999999993</v>
      </c>
      <c r="F123" s="560">
        <f t="shared" si="26"/>
        <v>0</v>
      </c>
      <c r="G123" s="561">
        <f t="shared" si="27"/>
        <v>0</v>
      </c>
      <c r="H123" s="270">
        <v>3.0000000000000001E-3</v>
      </c>
      <c r="I123" s="199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</row>
    <row r="124" spans="1:35" hidden="1" x14ac:dyDescent="0.2">
      <c r="A124" s="111"/>
      <c r="B124" s="544" t="s">
        <v>72</v>
      </c>
      <c r="C124" s="545">
        <v>0.02</v>
      </c>
      <c r="D124" s="63"/>
      <c r="E124" s="546"/>
      <c r="F124" s="562">
        <f>SUM(F116:F123)*C124</f>
        <v>0</v>
      </c>
      <c r="G124" s="563"/>
      <c r="H124" s="375"/>
      <c r="I124" s="199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</row>
    <row r="125" spans="1:35" ht="13.5" hidden="1" thickBot="1" x14ac:dyDescent="0.25">
      <c r="A125" s="79"/>
      <c r="B125" s="123" t="s">
        <v>100</v>
      </c>
      <c r="C125" s="64"/>
      <c r="D125" s="64"/>
      <c r="E125" s="104"/>
      <c r="F125" s="105">
        <f>SUM(F116:F124)</f>
        <v>0</v>
      </c>
      <c r="G125" s="548">
        <f>SUM(G116:G124)</f>
        <v>0</v>
      </c>
      <c r="H125" s="375"/>
      <c r="I125" s="199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</row>
    <row r="126" spans="1:35" ht="13.5" hidden="1" thickBot="1" x14ac:dyDescent="0.25">
      <c r="A126" s="757">
        <v>4</v>
      </c>
      <c r="B126" s="758" t="s">
        <v>235</v>
      </c>
      <c r="C126" s="760"/>
      <c r="D126" s="760"/>
      <c r="E126" s="762"/>
      <c r="F126" s="782"/>
      <c r="G126" s="782"/>
      <c r="H126" s="3"/>
      <c r="I126" s="347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</row>
    <row r="127" spans="1:35" hidden="1" x14ac:dyDescent="0.2">
      <c r="A127" s="111"/>
      <c r="B127" s="366" t="s">
        <v>241</v>
      </c>
      <c r="C127" s="63">
        <f>I128*0.2*1.05</f>
        <v>181.44000000000003</v>
      </c>
      <c r="D127" s="63" t="s">
        <v>48</v>
      </c>
      <c r="E127" s="134">
        <v>0</v>
      </c>
      <c r="F127" s="367"/>
      <c r="G127" s="368"/>
      <c r="H127" s="788">
        <v>20</v>
      </c>
      <c r="I127" s="789" t="s">
        <v>262</v>
      </c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</row>
    <row r="128" spans="1:35" ht="13.5" hidden="1" thickBot="1" x14ac:dyDescent="0.25">
      <c r="A128" s="78"/>
      <c r="B128" s="363" t="s">
        <v>242</v>
      </c>
      <c r="C128" s="3">
        <f>I128*2*1.2</f>
        <v>2073.6</v>
      </c>
      <c r="D128" s="3" t="s">
        <v>33</v>
      </c>
      <c r="E128" s="135">
        <f>[1]Основные!$F$169</f>
        <v>42</v>
      </c>
      <c r="F128" s="370"/>
      <c r="G128" s="371"/>
      <c r="H128" s="788">
        <v>0.13</v>
      </c>
      <c r="I128" s="790">
        <f>C8*C9</f>
        <v>864</v>
      </c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</row>
    <row r="129" spans="1:35" hidden="1" x14ac:dyDescent="0.2">
      <c r="A129" s="78"/>
      <c r="B129" s="363" t="s">
        <v>101</v>
      </c>
      <c r="C129" s="3">
        <f>3*I128</f>
        <v>2592</v>
      </c>
      <c r="D129" s="3" t="s">
        <v>33</v>
      </c>
      <c r="E129" s="372">
        <f>E108</f>
        <v>322.38333333333327</v>
      </c>
      <c r="F129" s="370"/>
      <c r="G129" s="371"/>
      <c r="H129" s="369">
        <v>10</v>
      </c>
      <c r="I129" s="347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</row>
    <row r="130" spans="1:35" hidden="1" x14ac:dyDescent="0.2">
      <c r="A130" s="78"/>
      <c r="B130" s="363" t="s">
        <v>243</v>
      </c>
      <c r="C130" s="3">
        <f>30*C129</f>
        <v>77760</v>
      </c>
      <c r="D130" s="3" t="s">
        <v>43</v>
      </c>
      <c r="E130" s="372">
        <f>E109</f>
        <v>0.91999999999999993</v>
      </c>
      <c r="F130" s="370"/>
      <c r="G130" s="371"/>
      <c r="H130" s="369">
        <v>4.0000000000000001E-3</v>
      </c>
      <c r="I130" s="347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</row>
    <row r="131" spans="1:35" hidden="1" x14ac:dyDescent="0.2">
      <c r="A131" s="78"/>
      <c r="B131" s="363" t="s">
        <v>45</v>
      </c>
      <c r="C131" s="3">
        <f>8*C49</f>
        <v>7603.2000000000007</v>
      </c>
      <c r="D131" s="3" t="s">
        <v>43</v>
      </c>
      <c r="E131" s="135">
        <f>J106</f>
        <v>2.3459999999999996</v>
      </c>
      <c r="F131" s="370"/>
      <c r="G131" s="371"/>
      <c r="H131" s="369">
        <f>H105</f>
        <v>2.5999999999999999E-3</v>
      </c>
      <c r="I131" s="347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</row>
    <row r="132" spans="1:35" ht="13.5" hidden="1" thickBot="1" x14ac:dyDescent="0.25">
      <c r="A132" s="746"/>
      <c r="B132" s="747" t="s">
        <v>44</v>
      </c>
      <c r="C132" s="365">
        <f>20*I128</f>
        <v>17280</v>
      </c>
      <c r="D132" s="365" t="s">
        <v>43</v>
      </c>
      <c r="E132" s="364">
        <f>E85</f>
        <v>2.2885</v>
      </c>
      <c r="F132" s="748"/>
      <c r="G132" s="749"/>
      <c r="H132" s="369">
        <f>H85</f>
        <v>4.3E-3</v>
      </c>
      <c r="I132" s="347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</row>
    <row r="133" spans="1:35" hidden="1" x14ac:dyDescent="0.2">
      <c r="A133" s="111"/>
      <c r="B133" s="171" t="s">
        <v>244</v>
      </c>
      <c r="C133" s="526">
        <v>0.02</v>
      </c>
      <c r="D133" s="63"/>
      <c r="E133" s="134"/>
      <c r="F133" s="367">
        <f>SUM(F127:F132)*C133</f>
        <v>0</v>
      </c>
      <c r="G133" s="368"/>
      <c r="H133" s="369"/>
      <c r="I133" s="347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</row>
    <row r="134" spans="1:35" ht="13.5" hidden="1" thickBot="1" x14ac:dyDescent="0.25">
      <c r="A134" s="750"/>
      <c r="B134" s="485" t="s">
        <v>304</v>
      </c>
      <c r="C134" s="64"/>
      <c r="D134" s="64"/>
      <c r="E134" s="137"/>
      <c r="F134" s="751">
        <f>SUM(F127:F133)</f>
        <v>0</v>
      </c>
      <c r="G134" s="752">
        <f>SUM(G127:G133)</f>
        <v>0</v>
      </c>
      <c r="H134" s="369"/>
      <c r="I134" s="347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</row>
    <row r="135" spans="1:35" ht="13.5" thickBot="1" x14ac:dyDescent="0.25">
      <c r="A135" s="766">
        <v>3</v>
      </c>
      <c r="B135" s="776" t="s">
        <v>84</v>
      </c>
      <c r="C135" s="769"/>
      <c r="D135" s="769"/>
      <c r="E135" s="945"/>
      <c r="F135" s="932"/>
      <c r="G135" s="779"/>
      <c r="H135" s="375"/>
      <c r="I135" s="199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</row>
    <row r="136" spans="1:35" hidden="1" x14ac:dyDescent="0.2">
      <c r="A136" s="111"/>
      <c r="B136" s="54" t="s">
        <v>45</v>
      </c>
      <c r="C136" s="81">
        <f>(C76+C77)*8</f>
        <v>0</v>
      </c>
      <c r="D136" s="63" t="s">
        <v>10</v>
      </c>
      <c r="E136" s="145">
        <f>E105</f>
        <v>2.3459999999999996</v>
      </c>
      <c r="F136" s="98">
        <f>E136*C136</f>
        <v>0</v>
      </c>
      <c r="G136" s="344">
        <f>H136*C136</f>
        <v>0</v>
      </c>
      <c r="H136" s="270">
        <f>H105</f>
        <v>2.5999999999999999E-3</v>
      </c>
      <c r="I136" s="199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</row>
    <row r="137" spans="1:35" hidden="1" x14ac:dyDescent="0.2">
      <c r="A137" s="78"/>
      <c r="B137" s="4" t="s">
        <v>89</v>
      </c>
      <c r="C137" s="84">
        <f>(C8+0.3)*C9*E14/1000*1.05</f>
        <v>138.34799999999998</v>
      </c>
      <c r="D137" s="3" t="s">
        <v>48</v>
      </c>
      <c r="E137" s="146">
        <f>J109</f>
        <v>3450</v>
      </c>
      <c r="F137" s="98"/>
      <c r="G137" s="344"/>
      <c r="H137" s="270">
        <v>30</v>
      </c>
      <c r="I137" s="199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</row>
    <row r="138" spans="1:35" x14ac:dyDescent="0.2">
      <c r="A138" s="78"/>
      <c r="B138" s="409" t="str">
        <f>M106</f>
        <v>СП 150</v>
      </c>
      <c r="C138" s="84">
        <f>I147*1.03</f>
        <v>889.92000000000007</v>
      </c>
      <c r="D138" s="3" t="s">
        <v>33</v>
      </c>
      <c r="E138" s="144">
        <f>[2]СП!$K$13</f>
        <v>3320</v>
      </c>
      <c r="F138" s="400">
        <f t="shared" ref="F138" si="28">C138*E138</f>
        <v>2954534.4000000004</v>
      </c>
      <c r="G138" s="305">
        <f>C138*H138</f>
        <v>22159.008000000002</v>
      </c>
      <c r="H138" s="270">
        <v>24.9</v>
      </c>
      <c r="I138" s="361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</row>
    <row r="139" spans="1:35" x14ac:dyDescent="0.2">
      <c r="A139" s="78"/>
      <c r="B139" s="409" t="str">
        <f>M112</f>
        <v>с\з 5,5х190</v>
      </c>
      <c r="C139" s="83">
        <f>2*I141*C9*1.1</f>
        <v>1478.4</v>
      </c>
      <c r="D139" s="3" t="s">
        <v>43</v>
      </c>
      <c r="E139" s="144">
        <f>[2]СП!$D$40</f>
        <v>94.8</v>
      </c>
      <c r="F139" s="400">
        <f t="shared" ref="F139:F140" si="29">C139*E139</f>
        <v>140152.32000000001</v>
      </c>
      <c r="G139" s="305">
        <f>C139*H139</f>
        <v>7.3920000000000003</v>
      </c>
      <c r="H139" s="270">
        <f>0.005</f>
        <v>5.0000000000000001E-3</v>
      </c>
      <c r="I139" s="361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</row>
    <row r="140" spans="1:35" ht="13.5" thickBot="1" x14ac:dyDescent="0.25">
      <c r="A140" s="78"/>
      <c r="B140" s="360" t="s">
        <v>362</v>
      </c>
      <c r="C140" s="83">
        <f>C9/1*J16*1.1*2</f>
        <v>1967.7830017319602</v>
      </c>
      <c r="D140" s="3" t="s">
        <v>8</v>
      </c>
      <c r="E140" s="144">
        <f>E104</f>
        <v>63.3</v>
      </c>
      <c r="F140" s="400">
        <f t="shared" si="29"/>
        <v>124560.66400963308</v>
      </c>
      <c r="G140" s="305">
        <f t="shared" ref="G140" si="30">E140*H140</f>
        <v>0</v>
      </c>
      <c r="H140" s="270"/>
      <c r="I140" s="867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</row>
    <row r="141" spans="1:35" hidden="1" x14ac:dyDescent="0.2">
      <c r="A141" s="78"/>
      <c r="B141" s="167" t="s">
        <v>109</v>
      </c>
      <c r="C141" s="84">
        <f>2.5*(C8+0.5+2*C10)*K90*0</f>
        <v>0</v>
      </c>
      <c r="D141" s="3" t="s">
        <v>33</v>
      </c>
      <c r="E141" s="146">
        <f>[8]Перекупные!$F$21</f>
        <v>385.24999999999994</v>
      </c>
      <c r="F141" s="400">
        <f t="shared" ref="F141:F142" si="31">C141*E141</f>
        <v>0</v>
      </c>
      <c r="G141" s="305">
        <f>C141*H141</f>
        <v>0</v>
      </c>
      <c r="H141" s="270">
        <v>10</v>
      </c>
      <c r="I141" s="296">
        <v>14</v>
      </c>
      <c r="J141" s="809" t="s">
        <v>360</v>
      </c>
      <c r="K141" s="192"/>
      <c r="L141" s="192"/>
      <c r="M141" s="192"/>
      <c r="N141" s="192"/>
      <c r="O141" s="192"/>
      <c r="P141" s="15"/>
    </row>
    <row r="142" spans="1:35" hidden="1" x14ac:dyDescent="0.2">
      <c r="A142" s="78"/>
      <c r="B142" s="167" t="s">
        <v>102</v>
      </c>
      <c r="C142" s="84">
        <f>30*C141</f>
        <v>0</v>
      </c>
      <c r="D142" s="3" t="s">
        <v>33</v>
      </c>
      <c r="E142" s="146">
        <f>[8]Перекупные!$F$53</f>
        <v>0.91999999999999993</v>
      </c>
      <c r="F142" s="400">
        <f t="shared" si="31"/>
        <v>0</v>
      </c>
      <c r="G142" s="305">
        <f>C142*H142</f>
        <v>0</v>
      </c>
      <c r="H142" s="270">
        <f>H109</f>
        <v>3.0000000000000001E-3</v>
      </c>
      <c r="I142" s="199"/>
      <c r="J142" s="192"/>
      <c r="K142" s="192"/>
      <c r="L142" s="192"/>
      <c r="M142" s="192"/>
      <c r="N142" s="192"/>
      <c r="O142" s="192"/>
      <c r="P142" s="15"/>
    </row>
    <row r="143" spans="1:35" hidden="1" x14ac:dyDescent="0.2">
      <c r="A143" s="78"/>
      <c r="B143" s="4" t="s">
        <v>122</v>
      </c>
      <c r="C143" s="84">
        <f>C24</f>
        <v>1344</v>
      </c>
      <c r="D143" s="3" t="s">
        <v>8</v>
      </c>
      <c r="E143" s="146">
        <f>[1]Перекупные!$F$18</f>
        <v>69</v>
      </c>
      <c r="F143" s="98"/>
      <c r="G143" s="344"/>
      <c r="H143" s="270"/>
      <c r="I143" s="199"/>
      <c r="J143" s="192"/>
      <c r="K143" s="192"/>
      <c r="L143" s="192"/>
      <c r="M143" s="192"/>
      <c r="N143" s="192"/>
      <c r="O143" s="192"/>
      <c r="P143" s="15"/>
    </row>
    <row r="144" spans="1:35" hidden="1" x14ac:dyDescent="0.2">
      <c r="A144" s="78"/>
      <c r="B144" s="169" t="s">
        <v>104</v>
      </c>
      <c r="C144" s="72">
        <f>C8*(C9)*1.25</f>
        <v>1080</v>
      </c>
      <c r="D144" s="3" t="s">
        <v>33</v>
      </c>
      <c r="E144" s="146">
        <f>E111</f>
        <v>42</v>
      </c>
      <c r="F144" s="98"/>
      <c r="G144" s="344"/>
      <c r="H144" s="270">
        <v>0.2</v>
      </c>
      <c r="I144" s="199"/>
      <c r="J144" s="192"/>
      <c r="K144" s="192"/>
      <c r="L144" s="192"/>
      <c r="M144" s="192"/>
      <c r="N144" s="192"/>
      <c r="O144" s="192"/>
      <c r="P144" s="15"/>
    </row>
    <row r="145" spans="1:18" ht="13.5" hidden="1" thickBot="1" x14ac:dyDescent="0.25">
      <c r="A145" s="532"/>
      <c r="B145" s="549" t="s">
        <v>105</v>
      </c>
      <c r="C145" s="553">
        <f>C8*C9*1.25</f>
        <v>1080</v>
      </c>
      <c r="D145" s="549" t="s">
        <v>33</v>
      </c>
      <c r="E145" s="550">
        <f>E112</f>
        <v>89.14</v>
      </c>
      <c r="F145" s="98"/>
      <c r="G145" s="344"/>
      <c r="H145" s="270">
        <v>0.2</v>
      </c>
      <c r="I145" s="199"/>
      <c r="J145" s="192"/>
      <c r="K145" s="192"/>
      <c r="L145" s="192"/>
      <c r="M145" s="192"/>
      <c r="N145" s="192"/>
      <c r="O145" s="192"/>
      <c r="P145" s="15"/>
    </row>
    <row r="146" spans="1:18" x14ac:dyDescent="0.2">
      <c r="A146" s="111"/>
      <c r="B146" s="544" t="s">
        <v>72</v>
      </c>
      <c r="C146" s="545">
        <v>0.02</v>
      </c>
      <c r="D146" s="63"/>
      <c r="E146" s="546"/>
      <c r="F146" s="552">
        <f>SUM(F136:F145)*C146</f>
        <v>64384.947680192665</v>
      </c>
      <c r="G146" s="566">
        <f t="shared" ref="G146" si="32">C146*H146</f>
        <v>0</v>
      </c>
      <c r="H146" s="783"/>
      <c r="I146" s="784" t="s">
        <v>201</v>
      </c>
      <c r="J146" s="785"/>
      <c r="K146" s="192"/>
      <c r="L146" s="192"/>
      <c r="M146" s="192"/>
      <c r="N146" s="192"/>
      <c r="O146" s="192"/>
      <c r="P146" s="15"/>
    </row>
    <row r="147" spans="1:18" ht="13.5" thickBot="1" x14ac:dyDescent="0.25">
      <c r="A147" s="78"/>
      <c r="B147" s="90" t="s">
        <v>85</v>
      </c>
      <c r="C147" s="3"/>
      <c r="D147" s="3"/>
      <c r="E147" s="85"/>
      <c r="F147" s="95">
        <f>SUM(F136:F146)</f>
        <v>3283632.3316898257</v>
      </c>
      <c r="G147" s="745">
        <f>SUM(G136:G146)</f>
        <v>22166.400000000001</v>
      </c>
      <c r="H147" s="783"/>
      <c r="I147" s="786">
        <f>C8*C9</f>
        <v>864</v>
      </c>
      <c r="J147" s="787" t="s">
        <v>202</v>
      </c>
      <c r="K147" s="192"/>
      <c r="L147" s="192"/>
      <c r="M147" s="192"/>
      <c r="N147" s="192"/>
      <c r="O147" s="192"/>
      <c r="P147" s="15"/>
    </row>
    <row r="148" spans="1:18" ht="13.5" thickBot="1" x14ac:dyDescent="0.25">
      <c r="A148" s="112"/>
      <c r="B148" s="1038" t="s">
        <v>49</v>
      </c>
      <c r="C148" s="1038"/>
      <c r="D148" s="1038"/>
      <c r="E148" s="1038"/>
      <c r="F148" s="113">
        <f>F147+F114+F100+F125+F134</f>
        <v>7100154.3507300336</v>
      </c>
      <c r="G148" s="538">
        <f>G100+G114+G147+G125+G134</f>
        <v>47239.326261325681</v>
      </c>
      <c r="H148" s="375"/>
      <c r="I148" s="192"/>
      <c r="J148" s="192"/>
      <c r="K148" s="192"/>
      <c r="L148" s="192"/>
      <c r="M148" s="192"/>
      <c r="N148" s="192"/>
      <c r="O148" s="192"/>
      <c r="P148" s="15"/>
    </row>
    <row r="149" spans="1:18" x14ac:dyDescent="0.2">
      <c r="A149" s="109"/>
      <c r="B149" s="1039" t="s">
        <v>73</v>
      </c>
      <c r="C149" s="1039"/>
      <c r="D149" s="1039"/>
      <c r="E149" s="1039"/>
      <c r="F149" s="110">
        <f>F82+F148</f>
        <v>9781667.7346854191</v>
      </c>
      <c r="G149" s="211"/>
      <c r="H149" s="273"/>
      <c r="I149" s="214"/>
      <c r="J149" s="197"/>
      <c r="K149" s="197"/>
      <c r="L149" s="192"/>
      <c r="M149" s="197"/>
      <c r="N149" s="197"/>
      <c r="O149" s="197"/>
      <c r="P149" s="46"/>
      <c r="Q149" s="46"/>
      <c r="R149" s="46"/>
    </row>
    <row r="150" spans="1:18" x14ac:dyDescent="0.2">
      <c r="A150" s="109"/>
      <c r="B150" s="155" t="s">
        <v>98</v>
      </c>
      <c r="C150" s="155"/>
      <c r="D150" s="155"/>
      <c r="E150" s="156">
        <v>0.02</v>
      </c>
      <c r="F150" s="110">
        <f>F149*E150</f>
        <v>195633.35469370839</v>
      </c>
      <c r="G150" s="211"/>
      <c r="H150" s="273"/>
      <c r="I150" s="214"/>
      <c r="J150" s="197"/>
      <c r="K150" s="197"/>
      <c r="L150" s="192"/>
      <c r="M150" s="197"/>
      <c r="N150" s="197"/>
      <c r="O150" s="197"/>
      <c r="P150" s="46"/>
      <c r="Q150" s="46"/>
      <c r="R150" s="46"/>
    </row>
    <row r="151" spans="1:18" x14ac:dyDescent="0.2">
      <c r="A151" s="247"/>
      <c r="B151" s="248" t="s">
        <v>99</v>
      </c>
      <c r="C151" s="248"/>
      <c r="D151" s="248"/>
      <c r="E151" s="248"/>
      <c r="F151" s="249">
        <f>SUM(F149:F150)</f>
        <v>9977301.0893791281</v>
      </c>
      <c r="G151" s="250"/>
      <c r="H151" s="274"/>
      <c r="I151" s="214"/>
      <c r="J151" s="197"/>
      <c r="K151" s="197"/>
      <c r="L151" s="192"/>
      <c r="M151" s="197"/>
      <c r="N151" s="197"/>
      <c r="O151" s="197"/>
      <c r="P151" s="46"/>
      <c r="Q151" s="46"/>
      <c r="R151" s="46"/>
    </row>
    <row r="152" spans="1:18" x14ac:dyDescent="0.2">
      <c r="A152" s="12"/>
      <c r="D152" s="253" t="s">
        <v>203</v>
      </c>
      <c r="E152" s="310">
        <f>F151/I147</f>
        <v>11547.802186781399</v>
      </c>
      <c r="F152" s="251" t="s">
        <v>204</v>
      </c>
      <c r="G152" s="252">
        <f>(G148+G82)/I147</f>
        <v>72.786222447439002</v>
      </c>
      <c r="H152" s="275"/>
      <c r="I152" s="214"/>
      <c r="J152" s="197"/>
      <c r="K152" s="197"/>
      <c r="L152" s="197"/>
      <c r="M152" s="197"/>
      <c r="N152" s="197"/>
      <c r="O152" s="197"/>
      <c r="P152" s="46"/>
      <c r="Q152" s="46"/>
      <c r="R152" s="46"/>
    </row>
    <row r="153" spans="1:18" ht="13.5" thickBot="1" x14ac:dyDescent="0.25">
      <c r="A153" s="8"/>
      <c r="B153" s="48"/>
      <c r="C153" s="49"/>
      <c r="D153" s="49"/>
      <c r="E153" s="49"/>
      <c r="F153" s="50"/>
      <c r="G153" s="51">
        <f>(G100+G32)/I147</f>
        <v>28.971498236738629</v>
      </c>
      <c r="H153" s="276"/>
      <c r="I153" s="47"/>
      <c r="J153" s="46"/>
      <c r="K153" s="46"/>
      <c r="L153" s="46"/>
      <c r="M153" s="46"/>
      <c r="N153" s="46"/>
      <c r="O153" s="46"/>
      <c r="P153" s="46"/>
      <c r="Q153" s="46"/>
      <c r="R153" s="46"/>
    </row>
    <row r="154" spans="1:18" ht="13.5" thickBot="1" x14ac:dyDescent="0.25">
      <c r="A154" s="15"/>
      <c r="B154" s="1019" t="s">
        <v>378</v>
      </c>
      <c r="C154" s="1020"/>
      <c r="D154" s="1021"/>
      <c r="E154" s="946" t="s">
        <v>379</v>
      </c>
      <c r="F154" s="947">
        <f>(G82+G148)</f>
        <v>62887.296194587296</v>
      </c>
      <c r="H154" s="277"/>
      <c r="I154" s="71"/>
      <c r="J154" s="46"/>
      <c r="K154" s="46"/>
      <c r="L154" s="46"/>
      <c r="M154" s="46"/>
      <c r="N154" s="46"/>
      <c r="O154" s="46"/>
      <c r="P154" s="46"/>
      <c r="Q154" s="46"/>
      <c r="R154" s="46"/>
    </row>
    <row r="155" spans="1:18" ht="13.5" thickBot="1" x14ac:dyDescent="0.25">
      <c r="A155" s="52"/>
      <c r="B155" s="1022" t="s">
        <v>80</v>
      </c>
      <c r="C155" s="998"/>
      <c r="D155" s="1023"/>
      <c r="E155" s="948" t="s">
        <v>380</v>
      </c>
      <c r="F155" s="949">
        <f>(F32+F100)*1.02</f>
        <v>3977532.5284448648</v>
      </c>
      <c r="K155" s="738" t="s">
        <v>32</v>
      </c>
      <c r="L155" s="739">
        <f>10*5.5*0</f>
        <v>0</v>
      </c>
      <c r="O155" s="192"/>
      <c r="P155" s="192"/>
      <c r="Q155" s="192"/>
    </row>
    <row r="156" spans="1:18" ht="13.5" thickBot="1" x14ac:dyDescent="0.25">
      <c r="A156" s="52"/>
      <c r="B156" s="1022" t="s">
        <v>381</v>
      </c>
      <c r="C156" s="998"/>
      <c r="D156" s="1023"/>
      <c r="E156" s="948" t="s">
        <v>380</v>
      </c>
      <c r="F156" s="949">
        <f>(F44+F114)*1.02</f>
        <v>2378073.5407345262</v>
      </c>
      <c r="K156" s="738" t="s">
        <v>248</v>
      </c>
      <c r="L156" s="995">
        <f>2*(48+K160)*L160</f>
        <v>98</v>
      </c>
      <c r="O156" s="192"/>
      <c r="P156" s="192"/>
      <c r="Q156" s="192"/>
    </row>
    <row r="157" spans="1:18" x14ac:dyDescent="0.2">
      <c r="A157" s="52"/>
      <c r="B157" s="1022" t="s">
        <v>382</v>
      </c>
      <c r="C157" s="998"/>
      <c r="D157" s="1023"/>
      <c r="E157" s="948" t="s">
        <v>380</v>
      </c>
      <c r="F157" s="949">
        <f>(F147+F70+F81)*1.02</f>
        <v>3621695.0201997366</v>
      </c>
      <c r="H157" s="740">
        <f>F155+F156+F157+F158+F159</f>
        <v>9977301.0893791281</v>
      </c>
      <c r="O157" s="192"/>
      <c r="P157" s="192"/>
      <c r="Q157" s="192"/>
    </row>
    <row r="158" spans="1:18" x14ac:dyDescent="0.2">
      <c r="A158" s="8"/>
      <c r="B158" s="1022" t="s">
        <v>235</v>
      </c>
      <c r="C158" s="998"/>
      <c r="D158" s="1023"/>
      <c r="E158" s="948" t="s">
        <v>380</v>
      </c>
      <c r="F158" s="949">
        <f>F53+F134</f>
        <v>0</v>
      </c>
      <c r="J158" t="s">
        <v>65</v>
      </c>
      <c r="O158" s="192"/>
      <c r="P158" s="192"/>
      <c r="Q158" s="192"/>
    </row>
    <row r="159" spans="1:18" x14ac:dyDescent="0.2">
      <c r="B159" s="1022" t="s">
        <v>93</v>
      </c>
      <c r="C159" s="998"/>
      <c r="D159" s="1023"/>
      <c r="E159" s="948" t="s">
        <v>380</v>
      </c>
      <c r="F159" s="949">
        <f>F58*1.02+F125*1.02</f>
        <v>0</v>
      </c>
      <c r="H159" s="278"/>
      <c r="I159" s="12"/>
      <c r="J159" s="4" t="s">
        <v>66</v>
      </c>
      <c r="K159" s="254" t="s">
        <v>67</v>
      </c>
      <c r="L159" s="3" t="s">
        <v>69</v>
      </c>
      <c r="M159" s="12" t="s">
        <v>68</v>
      </c>
      <c r="N159" s="4" t="s">
        <v>70</v>
      </c>
      <c r="O159" s="192" t="s">
        <v>218</v>
      </c>
      <c r="P159" s="192"/>
      <c r="Q159" s="192"/>
      <c r="R159" s="8"/>
    </row>
    <row r="160" spans="1:18" x14ac:dyDescent="0.2">
      <c r="B160" s="1022" t="s">
        <v>383</v>
      </c>
      <c r="C160" s="998"/>
      <c r="D160" s="1023"/>
      <c r="E160" s="948" t="s">
        <v>380</v>
      </c>
      <c r="F160" s="950">
        <f>M160*N160+M162*N162+M163*N163+M161*N161</f>
        <v>1855502</v>
      </c>
      <c r="H160" s="278"/>
      <c r="I160" s="12" t="s">
        <v>51</v>
      </c>
      <c r="J160" s="68">
        <v>46</v>
      </c>
      <c r="K160" s="69">
        <v>1</v>
      </c>
      <c r="L160" s="68">
        <v>1</v>
      </c>
      <c r="M160" s="69">
        <f>J160*K160*L160</f>
        <v>46</v>
      </c>
      <c r="N160" s="11">
        <f>'[9]Перекупные '!$F$65</f>
        <v>6094.9999999999991</v>
      </c>
      <c r="O160" s="192">
        <v>4</v>
      </c>
      <c r="P160" s="192"/>
      <c r="Q160" s="192"/>
      <c r="R160" s="8"/>
    </row>
    <row r="161" spans="1:20" ht="13.5" thickBot="1" x14ac:dyDescent="0.25">
      <c r="B161" s="990"/>
      <c r="C161" s="991"/>
      <c r="D161" s="992"/>
      <c r="E161" s="948"/>
      <c r="F161" s="993"/>
      <c r="H161" s="278"/>
      <c r="I161" s="12" t="s">
        <v>51</v>
      </c>
      <c r="J161" s="68">
        <v>1</v>
      </c>
      <c r="K161" s="69">
        <v>2</v>
      </c>
      <c r="L161" s="68">
        <v>0</v>
      </c>
      <c r="M161" s="69">
        <f>J161*K161*L161</f>
        <v>0</v>
      </c>
      <c r="N161" s="11">
        <f>'[9]Перекупные '!$F$65</f>
        <v>6094.9999999999991</v>
      </c>
      <c r="O161" s="192"/>
      <c r="P161" s="192"/>
      <c r="Q161" s="192"/>
      <c r="R161" s="8"/>
    </row>
    <row r="162" spans="1:20" ht="13.5" thickBot="1" x14ac:dyDescent="0.25">
      <c r="B162" s="1022" t="s">
        <v>384</v>
      </c>
      <c r="C162" s="998"/>
      <c r="D162" s="1023"/>
      <c r="E162" s="948" t="s">
        <v>385</v>
      </c>
      <c r="F162" s="951"/>
      <c r="H162" s="278"/>
      <c r="I162" s="12" t="s">
        <v>53</v>
      </c>
      <c r="J162" s="68">
        <v>1</v>
      </c>
      <c r="K162" s="69">
        <v>2</v>
      </c>
      <c r="L162" s="68">
        <v>2</v>
      </c>
      <c r="M162" s="69">
        <f>J162*K162*L162</f>
        <v>4</v>
      </c>
      <c r="N162" s="11">
        <f>'[9]Перекупные '!$F$67</f>
        <v>29462.999999999996</v>
      </c>
      <c r="O162" s="192"/>
      <c r="P162" s="192"/>
      <c r="Q162" s="192"/>
      <c r="R162" s="8"/>
    </row>
    <row r="163" spans="1:20" ht="13.5" thickBot="1" x14ac:dyDescent="0.25">
      <c r="B163" s="1024" t="s">
        <v>386</v>
      </c>
      <c r="C163" s="1025"/>
      <c r="D163" s="1026"/>
      <c r="E163" s="952" t="s">
        <v>380</v>
      </c>
      <c r="F163" s="953"/>
      <c r="H163" s="278"/>
      <c r="I163" s="255" t="s">
        <v>52</v>
      </c>
      <c r="J163" s="256">
        <v>4</v>
      </c>
      <c r="K163" s="257">
        <v>4.5</v>
      </c>
      <c r="L163" s="256">
        <v>2</v>
      </c>
      <c r="M163" s="69">
        <f t="shared" ref="M163" si="33">J163*K163*L163</f>
        <v>36</v>
      </c>
      <c r="N163" s="11">
        <f>'[9]Перекупные '!$F$66</f>
        <v>40480</v>
      </c>
      <c r="O163" s="192"/>
      <c r="P163" s="192"/>
      <c r="Q163" s="192"/>
      <c r="R163" s="8"/>
    </row>
    <row r="164" spans="1:20" ht="13.5" thickBot="1" x14ac:dyDescent="0.25">
      <c r="B164" s="1013" t="s">
        <v>398</v>
      </c>
      <c r="C164" s="1013"/>
      <c r="D164" s="1013"/>
      <c r="E164" s="1013"/>
      <c r="F164" s="1013"/>
      <c r="H164" s="1004"/>
      <c r="I164" s="1004"/>
      <c r="J164" s="192"/>
      <c r="K164" s="192"/>
      <c r="L164" s="8"/>
      <c r="M164" s="8"/>
      <c r="N164" s="8"/>
      <c r="O164" s="8"/>
      <c r="P164" s="8"/>
      <c r="Q164" s="8"/>
      <c r="R164" s="8"/>
    </row>
    <row r="165" spans="1:20" x14ac:dyDescent="0.2">
      <c r="B165" s="1014" t="s">
        <v>399</v>
      </c>
      <c r="C165" s="1014"/>
      <c r="D165" s="1014"/>
      <c r="E165" s="1014"/>
      <c r="F165" s="1014"/>
      <c r="H165" s="272"/>
      <c r="I165" s="192"/>
      <c r="J165" s="192"/>
      <c r="K165" s="192"/>
      <c r="O165" s="1005" t="s">
        <v>50</v>
      </c>
      <c r="P165" s="1007" t="str">
        <f>F7</f>
        <v>альбом</v>
      </c>
      <c r="Q165" s="1008"/>
      <c r="R165" s="1009"/>
      <c r="S165" s="147"/>
      <c r="T165" s="8"/>
    </row>
    <row r="166" spans="1:20" ht="13.5" thickBot="1" x14ac:dyDescent="0.25">
      <c r="A166" s="1015"/>
      <c r="B166" s="1015"/>
      <c r="C166" s="1015"/>
      <c r="D166" s="1015"/>
      <c r="E166" s="1015"/>
      <c r="F166" s="1015"/>
      <c r="G166" s="1015"/>
      <c r="H166" s="272"/>
      <c r="I166" s="192"/>
      <c r="J166" s="192"/>
      <c r="K166" s="192"/>
      <c r="O166" s="1006"/>
      <c r="P166" s="1010" t="s">
        <v>351</v>
      </c>
      <c r="Q166" s="1011"/>
      <c r="R166" s="1012"/>
      <c r="S166" s="148"/>
      <c r="T166" s="8" t="s">
        <v>71</v>
      </c>
    </row>
    <row r="167" spans="1:20" x14ac:dyDescent="0.2">
      <c r="G167" s="56"/>
      <c r="H167" s="272"/>
      <c r="I167" s="192"/>
      <c r="J167" s="192"/>
      <c r="K167" s="192"/>
      <c r="O167" s="170" t="s">
        <v>114</v>
      </c>
      <c r="P167" s="150"/>
      <c r="Q167" s="10"/>
      <c r="R167" s="10"/>
      <c r="S167" s="151">
        <f>M160*N160+M162*N162+M163*N163</f>
        <v>1855502</v>
      </c>
    </row>
    <row r="168" spans="1:20" x14ac:dyDescent="0.2">
      <c r="A168" s="1034"/>
      <c r="B168" s="192"/>
      <c r="C168" s="224"/>
      <c r="D168" s="223"/>
      <c r="E168" s="192"/>
      <c r="F168" s="1043"/>
      <c r="G168" s="192"/>
      <c r="H168" s="272"/>
      <c r="I168" s="192"/>
      <c r="J168" s="192"/>
      <c r="K168" s="192"/>
      <c r="L168" s="192"/>
      <c r="M168" s="192"/>
      <c r="N168" s="192"/>
      <c r="O168" s="149" t="s">
        <v>80</v>
      </c>
      <c r="P168" s="150"/>
      <c r="Q168" s="10"/>
      <c r="R168" s="152">
        <f>(F53+F32+(F96+F98+F97)*1.05)*1.02</f>
        <v>3804350.5858235704</v>
      </c>
      <c r="S168" s="151"/>
    </row>
    <row r="169" spans="1:20" x14ac:dyDescent="0.2">
      <c r="A169" s="1034"/>
      <c r="B169" s="192"/>
      <c r="C169" s="223"/>
      <c r="D169" s="223"/>
      <c r="E169" s="192"/>
      <c r="F169" s="1043"/>
      <c r="G169" s="192"/>
      <c r="H169" s="272"/>
      <c r="I169" s="192"/>
      <c r="J169" s="192"/>
      <c r="K169" s="192"/>
      <c r="L169" s="192"/>
      <c r="M169" s="192"/>
      <c r="N169" s="192"/>
      <c r="O169" s="149" t="s">
        <v>90</v>
      </c>
      <c r="P169" s="150"/>
      <c r="Q169" s="10"/>
      <c r="R169" s="152">
        <f>(F44+F81)*1.02</f>
        <v>200060.71420092633</v>
      </c>
      <c r="S169" s="151"/>
    </row>
    <row r="170" spans="1:20" x14ac:dyDescent="0.2">
      <c r="A170" s="1034"/>
      <c r="B170" s="192"/>
      <c r="C170" s="224"/>
      <c r="D170" s="223"/>
      <c r="E170" s="192"/>
      <c r="F170" s="1043"/>
      <c r="G170" s="192"/>
      <c r="H170" s="272"/>
      <c r="I170" s="192"/>
      <c r="J170" s="192"/>
      <c r="K170" s="192"/>
      <c r="L170" s="192"/>
      <c r="M170" s="192"/>
      <c r="N170" s="192"/>
      <c r="O170" s="149" t="s">
        <v>91</v>
      </c>
      <c r="P170" s="150"/>
      <c r="Q170" s="10"/>
      <c r="R170" s="152">
        <f>(F85+F86+F87+F88+F89+F93+F94+F95+F105+F107+F111+F112+F136+F137+F144+F145+F108+F109+F141+F142+F143+F106+F110+F138+F139+F127+F128+F129+F130+F131+F132+F102+F103+F140+F104)*1.05*1.02</f>
        <v>6024200.2079908177</v>
      </c>
      <c r="S170" s="151"/>
    </row>
    <row r="171" spans="1:20" x14ac:dyDescent="0.2">
      <c r="A171" s="1034"/>
      <c r="B171" s="192"/>
      <c r="C171" s="224"/>
      <c r="D171" s="223"/>
      <c r="E171" s="192"/>
      <c r="F171" s="1043"/>
      <c r="G171" s="192"/>
      <c r="H171" s="272"/>
      <c r="I171" s="192"/>
      <c r="J171" s="192"/>
      <c r="K171" s="192"/>
      <c r="L171" s="192"/>
      <c r="M171" s="223"/>
      <c r="N171" s="197"/>
      <c r="O171" s="173" t="s">
        <v>334</v>
      </c>
      <c r="P171" s="150"/>
      <c r="Q171" s="10"/>
      <c r="R171" s="153"/>
      <c r="S171" s="151"/>
      <c r="T171" s="154"/>
    </row>
    <row r="172" spans="1:20" x14ac:dyDescent="0.2">
      <c r="A172" s="1034"/>
      <c r="B172" s="192"/>
      <c r="C172" s="224"/>
      <c r="D172" s="223"/>
      <c r="E172" s="192"/>
      <c r="F172" s="1043"/>
      <c r="G172" s="192"/>
      <c r="H172" s="279"/>
      <c r="I172" s="221"/>
      <c r="J172" s="192"/>
      <c r="K172" s="192"/>
      <c r="L172" s="192"/>
      <c r="M172" s="223"/>
      <c r="N172" s="197"/>
      <c r="O172" s="170" t="s">
        <v>93</v>
      </c>
      <c r="P172" s="150"/>
      <c r="Q172" s="10"/>
      <c r="R172" s="153">
        <f>(F58+F125)*1.02</f>
        <v>0</v>
      </c>
      <c r="S172" s="151"/>
      <c r="T172" s="154"/>
    </row>
    <row r="173" spans="1:20" ht="13.5" thickBot="1" x14ac:dyDescent="0.25">
      <c r="B173" s="15"/>
      <c r="C173" s="15" t="s">
        <v>57</v>
      </c>
      <c r="D173" s="15"/>
      <c r="E173" s="15"/>
      <c r="F173" s="15"/>
      <c r="G173" s="15" t="s">
        <v>39</v>
      </c>
      <c r="H173" s="272"/>
      <c r="I173" s="222"/>
      <c r="J173" s="199"/>
      <c r="K173" s="192"/>
      <c r="L173" s="192"/>
      <c r="O173" s="173" t="s">
        <v>112</v>
      </c>
      <c r="P173" s="150"/>
      <c r="Q173" s="10"/>
      <c r="R173" s="153">
        <f>F70</f>
        <v>158523.73714285716</v>
      </c>
      <c r="S173" s="151"/>
      <c r="T173" s="154"/>
    </row>
    <row r="174" spans="1:20" ht="13.5" thickBot="1" x14ac:dyDescent="0.25">
      <c r="A174" s="1027">
        <f>E17</f>
        <v>0</v>
      </c>
      <c r="B174" s="57" t="s">
        <v>42</v>
      </c>
      <c r="C174" s="58">
        <v>1</v>
      </c>
      <c r="D174" s="70">
        <f t="shared" ref="D174:D179" si="34">C174*$A$174</f>
        <v>0</v>
      </c>
      <c r="E174" s="57" t="s">
        <v>54</v>
      </c>
      <c r="F174" s="1030" t="s">
        <v>32</v>
      </c>
      <c r="G174" s="42">
        <f>[10]прайс!K24</f>
        <v>93</v>
      </c>
      <c r="O174" s="1016" t="s">
        <v>94</v>
      </c>
      <c r="P174" s="1017"/>
      <c r="Q174" s="1017"/>
      <c r="R174" s="1018"/>
      <c r="S174" s="53"/>
      <c r="T174" s="8" t="s">
        <v>205</v>
      </c>
    </row>
    <row r="175" spans="1:20" ht="13.5" thickBot="1" x14ac:dyDescent="0.25">
      <c r="A175" s="1028"/>
      <c r="B175" s="41" t="s">
        <v>60</v>
      </c>
      <c r="C175" s="12">
        <v>2</v>
      </c>
      <c r="D175" s="70">
        <f t="shared" si="34"/>
        <v>0</v>
      </c>
      <c r="E175" s="41" t="s">
        <v>54</v>
      </c>
      <c r="F175" s="1031"/>
      <c r="G175" s="42">
        <f>[10]прайс!K37</f>
        <v>61</v>
      </c>
      <c r="H175" s="238">
        <f>CEILING(E16/140,1)</f>
        <v>0</v>
      </c>
      <c r="I175" s="3" t="s">
        <v>56</v>
      </c>
      <c r="O175" s="1040"/>
      <c r="P175" s="1041"/>
      <c r="Q175" s="1041"/>
      <c r="R175" s="1042"/>
      <c r="S175" s="55"/>
      <c r="T175" s="15"/>
    </row>
    <row r="176" spans="1:20" ht="13.5" thickBot="1" x14ac:dyDescent="0.25">
      <c r="A176" s="1028"/>
      <c r="B176" s="41" t="s">
        <v>7</v>
      </c>
      <c r="C176" s="12">
        <v>10</v>
      </c>
      <c r="D176" s="70">
        <f t="shared" si="34"/>
        <v>0</v>
      </c>
      <c r="E176" s="41" t="s">
        <v>43</v>
      </c>
      <c r="F176" s="1031"/>
      <c r="G176" s="15">
        <f>[10]прайс!G28</f>
        <v>0.33</v>
      </c>
      <c r="H176" s="280"/>
      <c r="O176" s="15"/>
      <c r="P176" s="15"/>
    </row>
    <row r="177" spans="1:16" ht="13.5" thickBot="1" x14ac:dyDescent="0.25">
      <c r="A177" s="1028"/>
      <c r="B177" s="41" t="s">
        <v>61</v>
      </c>
      <c r="C177" s="12">
        <v>0.11</v>
      </c>
      <c r="D177" s="70">
        <f t="shared" si="34"/>
        <v>0</v>
      </c>
      <c r="E177" s="41" t="s">
        <v>48</v>
      </c>
      <c r="F177" s="1031"/>
      <c r="G177" s="42">
        <f>[10]прайс!E34</f>
        <v>1741</v>
      </c>
      <c r="H177" s="281"/>
      <c r="O177" s="15"/>
      <c r="P177" s="15"/>
    </row>
    <row r="178" spans="1:16" ht="13.5" thickBot="1" x14ac:dyDescent="0.25">
      <c r="A178" s="1028"/>
      <c r="B178" s="41" t="s">
        <v>62</v>
      </c>
      <c r="C178" s="59">
        <v>2.2000000000000002</v>
      </c>
      <c r="D178" s="70">
        <f t="shared" si="34"/>
        <v>0</v>
      </c>
      <c r="E178" s="41" t="s">
        <v>33</v>
      </c>
      <c r="F178" s="1031"/>
      <c r="G178" s="15">
        <f>IF(I4=1,[10]прайс!J43,IF('[10]типовые рамники до 15м'!I4=2,[10]прайс!B8,0))</f>
        <v>210</v>
      </c>
      <c r="H178" s="236" t="s">
        <v>40</v>
      </c>
      <c r="I178" t="s">
        <v>58</v>
      </c>
      <c r="J178" t="s">
        <v>59</v>
      </c>
      <c r="O178" s="15"/>
      <c r="P178" s="15"/>
    </row>
    <row r="179" spans="1:16" ht="13.5" thickBot="1" x14ac:dyDescent="0.25">
      <c r="A179" s="1029"/>
      <c r="B179" s="61" t="s">
        <v>55</v>
      </c>
      <c r="C179" s="62">
        <v>14</v>
      </c>
      <c r="D179" s="70">
        <f t="shared" si="34"/>
        <v>0</v>
      </c>
      <c r="E179" s="61" t="s">
        <v>43</v>
      </c>
      <c r="F179" s="1032"/>
      <c r="G179" s="42">
        <f>[10]прайс!D17</f>
        <v>2.63</v>
      </c>
      <c r="H179" s="236">
        <f t="shared" ref="H179:H184" si="35">G174*D174</f>
        <v>0</v>
      </c>
      <c r="I179">
        <v>1.56</v>
      </c>
      <c r="J179">
        <f t="shared" ref="J179:J184" si="36">I179*D174</f>
        <v>0</v>
      </c>
      <c r="O179" s="15"/>
      <c r="P179" s="15"/>
    </row>
    <row r="180" spans="1:16" x14ac:dyDescent="0.2">
      <c r="H180" s="236">
        <f t="shared" si="35"/>
        <v>0</v>
      </c>
      <c r="I180">
        <v>1.1499999999999999</v>
      </c>
      <c r="J180">
        <f t="shared" si="36"/>
        <v>0</v>
      </c>
      <c r="O180" s="15"/>
      <c r="P180" s="15"/>
    </row>
    <row r="181" spans="1:16" x14ac:dyDescent="0.2">
      <c r="H181" s="236">
        <f t="shared" si="35"/>
        <v>0</v>
      </c>
      <c r="I181">
        <f>0.18/100</f>
        <v>1.8E-3</v>
      </c>
      <c r="J181">
        <f t="shared" si="36"/>
        <v>0</v>
      </c>
      <c r="O181" s="15"/>
      <c r="P181" s="15"/>
    </row>
    <row r="182" spans="1:16" x14ac:dyDescent="0.2">
      <c r="H182" s="236">
        <f t="shared" si="35"/>
        <v>0</v>
      </c>
      <c r="I182">
        <v>22</v>
      </c>
      <c r="J182">
        <f t="shared" si="36"/>
        <v>0</v>
      </c>
      <c r="O182" s="15"/>
      <c r="P182" s="15"/>
    </row>
    <row r="183" spans="1:16" x14ac:dyDescent="0.2">
      <c r="H183" s="282">
        <f t="shared" si="35"/>
        <v>0</v>
      </c>
      <c r="I183">
        <v>4.4119999999999999</v>
      </c>
      <c r="J183">
        <f t="shared" si="36"/>
        <v>0</v>
      </c>
      <c r="O183" s="15"/>
      <c r="P183" s="15"/>
    </row>
    <row r="184" spans="1:16" x14ac:dyDescent="0.2">
      <c r="H184" s="236">
        <f t="shared" si="35"/>
        <v>0</v>
      </c>
      <c r="I184">
        <f>0.53/100</f>
        <v>5.3E-3</v>
      </c>
      <c r="J184">
        <f t="shared" si="36"/>
        <v>0</v>
      </c>
      <c r="O184" s="15"/>
      <c r="P184" s="15"/>
    </row>
    <row r="185" spans="1:16" x14ac:dyDescent="0.2">
      <c r="H185" s="283">
        <f>SUM(H179:H184)</f>
        <v>0</v>
      </c>
      <c r="J185" s="60">
        <f>SUM(J179:J184)</f>
        <v>0</v>
      </c>
      <c r="O185" s="15"/>
      <c r="P185" s="15"/>
    </row>
    <row r="186" spans="1:16" x14ac:dyDescent="0.2">
      <c r="O186" s="15"/>
      <c r="P186" s="15"/>
    </row>
    <row r="187" spans="1:16" x14ac:dyDescent="0.2">
      <c r="O187" s="15"/>
      <c r="P187" s="15"/>
    </row>
    <row r="188" spans="1:16" x14ac:dyDescent="0.2">
      <c r="H188" s="284">
        <f>E76/1.15*($E$9+FLOOR($E$9/6,1)*0.2)*1.17</f>
        <v>0</v>
      </c>
      <c r="I188" t="s">
        <v>63</v>
      </c>
      <c r="O188" s="15"/>
      <c r="P188" s="15"/>
    </row>
  </sheetData>
  <mergeCells count="41">
    <mergeCell ref="A174:A179"/>
    <mergeCell ref="F174:F179"/>
    <mergeCell ref="P1:S1"/>
    <mergeCell ref="L1:O1"/>
    <mergeCell ref="AF6:AH6"/>
    <mergeCell ref="AB6:AD6"/>
    <mergeCell ref="A168:A172"/>
    <mergeCell ref="A83:G83"/>
    <mergeCell ref="B148:E148"/>
    <mergeCell ref="B149:E149"/>
    <mergeCell ref="O175:R175"/>
    <mergeCell ref="F168:F172"/>
    <mergeCell ref="C82:E82"/>
    <mergeCell ref="A1:B2"/>
    <mergeCell ref="C1:G4"/>
    <mergeCell ref="A3:B4"/>
    <mergeCell ref="O174:R174"/>
    <mergeCell ref="B154:D154"/>
    <mergeCell ref="B155:D155"/>
    <mergeCell ref="B156:D156"/>
    <mergeCell ref="B157:D157"/>
    <mergeCell ref="B158:D158"/>
    <mergeCell ref="B159:D159"/>
    <mergeCell ref="B160:D160"/>
    <mergeCell ref="B162:D162"/>
    <mergeCell ref="B163:D163"/>
    <mergeCell ref="C16:D16"/>
    <mergeCell ref="A18:D18"/>
    <mergeCell ref="H164:I164"/>
    <mergeCell ref="O165:O166"/>
    <mergeCell ref="P165:R165"/>
    <mergeCell ref="P166:R166"/>
    <mergeCell ref="B164:F164"/>
    <mergeCell ref="B165:F165"/>
    <mergeCell ref="A166:G166"/>
    <mergeCell ref="M8:M9"/>
    <mergeCell ref="M10:M11"/>
    <mergeCell ref="M12:M13"/>
    <mergeCell ref="A11:B11"/>
    <mergeCell ref="E6:F6"/>
    <mergeCell ref="D12:F12"/>
  </mergeCells>
  <phoneticPr fontId="3" type="noConversion"/>
  <pageMargins left="0.51181102362204722" right="0.43307086614173229" top="0.31496062992125984" bottom="0.39370078740157483" header="0.19685039370078741" footer="0.19685039370078741"/>
  <pageSetup paperSize="9" scale="85" orientation="portrait" r:id="rId1"/>
  <headerFooter alignWithMargins="0">
    <oddFooter>&amp;LИнженер по расчетам&amp;CСурова Е.А,&amp;R&amp;D</oddFooter>
  </headerFooter>
  <rowBreaks count="1" manualBreakCount="1">
    <brk id="100" max="6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78"/>
  <sheetViews>
    <sheetView topLeftCell="A91" zoomScaleNormal="100" workbookViewId="0">
      <selection activeCell="C93" sqref="C93"/>
    </sheetView>
  </sheetViews>
  <sheetFormatPr defaultRowHeight="12.75" x14ac:dyDescent="0.2"/>
  <cols>
    <col min="1" max="1" width="9.140625" customWidth="1"/>
    <col min="2" max="2" width="28.140625" customWidth="1"/>
    <col min="3" max="3" width="9" customWidth="1"/>
    <col min="4" max="4" width="8.28515625" customWidth="1"/>
    <col min="5" max="5" width="13.140625" customWidth="1"/>
    <col min="6" max="6" width="15.42578125" customWidth="1"/>
    <col min="7" max="7" width="11.85546875" customWidth="1"/>
    <col min="8" max="8" width="14.85546875" style="236" customWidth="1"/>
    <col min="9" max="9" width="17.5703125" customWidth="1"/>
    <col min="10" max="10" width="12.5703125" customWidth="1"/>
    <col min="11" max="11" width="11.140625" bestFit="1" customWidth="1"/>
    <col min="12" max="12" width="11.85546875" bestFit="1" customWidth="1"/>
    <col min="13" max="13" width="15.140625" customWidth="1"/>
    <col min="14" max="14" width="12.42578125" bestFit="1" customWidth="1"/>
    <col min="15" max="15" width="11" bestFit="1" customWidth="1"/>
    <col min="16" max="16" width="13.140625" bestFit="1" customWidth="1"/>
    <col min="17" max="17" width="5.5703125" bestFit="1" customWidth="1"/>
    <col min="18" max="18" width="11.42578125" bestFit="1" customWidth="1"/>
    <col min="19" max="19" width="7.140625" customWidth="1"/>
    <col min="20" max="20" width="11.42578125" bestFit="1" customWidth="1"/>
    <col min="21" max="21" width="5.5703125" bestFit="1" customWidth="1"/>
    <col min="23" max="23" width="8.140625" bestFit="1" customWidth="1"/>
    <col min="24" max="24" width="10.140625" bestFit="1" customWidth="1"/>
    <col min="30" max="30" width="14" customWidth="1"/>
  </cols>
  <sheetData>
    <row r="1" spans="1:35" x14ac:dyDescent="0.2">
      <c r="A1" s="1047"/>
      <c r="B1" s="1051"/>
      <c r="C1" s="1048" t="s">
        <v>13</v>
      </c>
      <c r="D1" s="1048"/>
      <c r="E1" s="1048"/>
      <c r="F1" s="1048"/>
      <c r="G1" s="1048"/>
      <c r="H1" s="285" t="s">
        <v>14</v>
      </c>
      <c r="I1" s="14"/>
      <c r="J1" s="14"/>
      <c r="K1" s="192"/>
      <c r="L1" s="1033"/>
      <c r="M1" s="1033"/>
      <c r="N1" s="1033"/>
      <c r="O1" s="1033"/>
      <c r="P1" s="1033"/>
      <c r="Q1" s="1033"/>
      <c r="R1" s="1033"/>
      <c r="S1" s="1033"/>
      <c r="T1" s="76"/>
    </row>
    <row r="2" spans="1:35" x14ac:dyDescent="0.2">
      <c r="A2" s="1052"/>
      <c r="B2" s="1053"/>
      <c r="C2" s="1048"/>
      <c r="D2" s="1048"/>
      <c r="E2" s="1048"/>
      <c r="F2" s="1048"/>
      <c r="G2" s="1048"/>
      <c r="H2" s="286"/>
      <c r="I2" s="16"/>
      <c r="J2" s="16"/>
      <c r="K2" s="192"/>
      <c r="L2" s="581"/>
      <c r="M2" s="582" t="s">
        <v>303</v>
      </c>
      <c r="N2" s="219" t="s">
        <v>302</v>
      </c>
      <c r="O2" s="192"/>
      <c r="P2" s="194"/>
      <c r="Q2" s="193"/>
      <c r="R2" s="192"/>
      <c r="S2" s="192"/>
      <c r="T2" s="76"/>
    </row>
    <row r="3" spans="1:35" x14ac:dyDescent="0.2">
      <c r="A3" s="1054"/>
      <c r="B3" s="1054"/>
      <c r="C3" s="1048"/>
      <c r="D3" s="1048"/>
      <c r="E3" s="1048"/>
      <c r="F3" s="1048"/>
      <c r="G3" s="1048"/>
      <c r="H3" s="287" t="s">
        <v>15</v>
      </c>
      <c r="I3" s="65">
        <v>2</v>
      </c>
      <c r="J3" s="16"/>
      <c r="K3" s="192"/>
      <c r="L3" s="584"/>
      <c r="M3" s="584"/>
      <c r="N3" s="569"/>
      <c r="O3" s="192"/>
      <c r="P3" s="195"/>
      <c r="Q3" s="193"/>
      <c r="R3" s="196"/>
      <c r="S3" s="192"/>
      <c r="T3" s="373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spans="1:35" x14ac:dyDescent="0.2">
      <c r="A4" s="1054"/>
      <c r="B4" s="1054"/>
      <c r="C4" s="1048"/>
      <c r="D4" s="1048"/>
      <c r="E4" s="1048"/>
      <c r="F4" s="1048"/>
      <c r="G4" s="1048"/>
      <c r="H4" s="287" t="s">
        <v>16</v>
      </c>
      <c r="I4" s="65">
        <v>0</v>
      </c>
      <c r="J4" s="16"/>
      <c r="K4" s="192"/>
      <c r="L4" s="585" t="s">
        <v>306</v>
      </c>
      <c r="M4" s="585" t="s">
        <v>307</v>
      </c>
      <c r="N4" s="569" t="s">
        <v>300</v>
      </c>
      <c r="O4" s="192"/>
      <c r="P4" s="197"/>
      <c r="Q4" s="197"/>
      <c r="R4" s="198"/>
      <c r="S4" s="192"/>
      <c r="T4" s="197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</row>
    <row r="5" spans="1:35" ht="15.75" x14ac:dyDescent="0.25">
      <c r="A5" s="17"/>
      <c r="B5" s="18" t="s">
        <v>180</v>
      </c>
      <c r="C5" s="298">
        <v>3</v>
      </c>
      <c r="D5" s="299">
        <v>2</v>
      </c>
      <c r="E5" s="19"/>
      <c r="F5" s="20" t="s">
        <v>183</v>
      </c>
      <c r="G5">
        <v>10107</v>
      </c>
      <c r="H5" s="286"/>
      <c r="I5" s="16"/>
      <c r="J5" s="16"/>
      <c r="K5" s="192"/>
      <c r="L5" s="219"/>
      <c r="M5" s="219"/>
      <c r="N5" s="219"/>
      <c r="O5" s="192"/>
      <c r="P5" s="192"/>
      <c r="Q5" s="192"/>
      <c r="R5" s="374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</row>
    <row r="6" spans="1:35" ht="15" x14ac:dyDescent="0.2">
      <c r="A6" s="239" t="s">
        <v>181</v>
      </c>
      <c r="B6" s="240" t="s">
        <v>229</v>
      </c>
      <c r="C6" s="19"/>
      <c r="D6" s="21"/>
      <c r="E6" s="1000"/>
      <c r="F6" s="1000"/>
      <c r="G6" s="21"/>
      <c r="H6" s="286" t="s">
        <v>17</v>
      </c>
      <c r="I6" s="16"/>
      <c r="J6" s="16">
        <v>0</v>
      </c>
      <c r="L6" s="3" t="s">
        <v>308</v>
      </c>
      <c r="M6" s="219" t="s">
        <v>309</v>
      </c>
      <c r="N6" s="219" t="s">
        <v>301</v>
      </c>
      <c r="O6" s="192"/>
      <c r="P6" s="192"/>
      <c r="Q6" s="192"/>
      <c r="R6" s="374"/>
      <c r="S6" s="192"/>
      <c r="T6" s="192"/>
      <c r="U6" s="216"/>
      <c r="V6" s="192"/>
      <c r="W6" s="192"/>
      <c r="X6" s="192"/>
      <c r="Y6" s="192"/>
      <c r="Z6" s="192"/>
      <c r="AA6" s="216"/>
      <c r="AB6" s="1004"/>
      <c r="AC6" s="1004"/>
      <c r="AD6" s="1004"/>
      <c r="AE6" s="192"/>
      <c r="AF6" s="1004"/>
      <c r="AG6" s="1004"/>
      <c r="AH6" s="1004"/>
      <c r="AI6" s="192"/>
    </row>
    <row r="7" spans="1:35" x14ac:dyDescent="0.2">
      <c r="A7" s="241" t="s">
        <v>182</v>
      </c>
      <c r="B7" s="240" t="s">
        <v>352</v>
      </c>
      <c r="C7" s="22"/>
      <c r="D7" s="22"/>
      <c r="F7" s="23" t="str">
        <f>IF(I13=1,"альбом","проект")</f>
        <v>альбом</v>
      </c>
      <c r="G7" s="22"/>
      <c r="H7" s="286" t="s">
        <v>18</v>
      </c>
      <c r="I7" s="16"/>
      <c r="J7" s="16">
        <v>1</v>
      </c>
      <c r="L7" s="360"/>
      <c r="M7" s="360"/>
      <c r="N7" s="360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</row>
    <row r="8" spans="1:35" x14ac:dyDescent="0.2">
      <c r="A8" s="18"/>
      <c r="B8" s="20" t="s">
        <v>20</v>
      </c>
      <c r="C8" s="66">
        <v>15</v>
      </c>
      <c r="E8" s="24"/>
      <c r="F8" s="237" t="s">
        <v>178</v>
      </c>
      <c r="G8" s="238">
        <v>3</v>
      </c>
      <c r="H8" s="286" t="s">
        <v>21</v>
      </c>
      <c r="I8" s="16"/>
      <c r="J8" s="16">
        <v>2</v>
      </c>
      <c r="K8" s="192"/>
      <c r="L8" s="360" t="s">
        <v>310</v>
      </c>
      <c r="M8" s="360" t="s">
        <v>311</v>
      </c>
      <c r="N8" s="360" t="s">
        <v>309</v>
      </c>
      <c r="O8" s="192"/>
      <c r="P8" s="192"/>
      <c r="Q8" s="192"/>
      <c r="R8" s="192"/>
      <c r="S8" s="192"/>
      <c r="T8" s="192"/>
      <c r="U8" s="192"/>
      <c r="V8" s="197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</row>
    <row r="9" spans="1:35" x14ac:dyDescent="0.2">
      <c r="A9" s="25"/>
      <c r="B9" s="20" t="s">
        <v>22</v>
      </c>
      <c r="C9" s="66">
        <v>60</v>
      </c>
      <c r="E9" s="26"/>
      <c r="F9" s="237" t="s">
        <v>179</v>
      </c>
      <c r="G9" s="238">
        <v>5</v>
      </c>
      <c r="H9" s="286" t="s">
        <v>23</v>
      </c>
      <c r="I9" s="16"/>
      <c r="J9" s="16">
        <v>3</v>
      </c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7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</row>
    <row r="10" spans="1:35" x14ac:dyDescent="0.2">
      <c r="A10" s="1"/>
      <c r="B10" s="20" t="s">
        <v>24</v>
      </c>
      <c r="C10" s="66">
        <v>6</v>
      </c>
      <c r="E10" s="26"/>
      <c r="F10" s="5"/>
      <c r="H10" s="286" t="s">
        <v>25</v>
      </c>
      <c r="I10" s="16"/>
      <c r="J10" s="16">
        <v>4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7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</row>
    <row r="11" spans="1:35" x14ac:dyDescent="0.2">
      <c r="A11" s="999" t="s">
        <v>26</v>
      </c>
      <c r="B11" s="999"/>
      <c r="C11" s="27">
        <v>6</v>
      </c>
      <c r="D11" s="1"/>
      <c r="E11" s="1"/>
      <c r="F11" s="5"/>
      <c r="H11" s="286" t="s">
        <v>101</v>
      </c>
      <c r="I11" s="242"/>
      <c r="J11" s="16">
        <v>5</v>
      </c>
      <c r="K11" s="192"/>
      <c r="L11" s="192"/>
      <c r="M11" s="221" t="s">
        <v>313</v>
      </c>
      <c r="N11" s="192"/>
      <c r="O11" s="192"/>
      <c r="P11" s="192"/>
      <c r="Q11" s="192"/>
      <c r="R11" s="192"/>
      <c r="S11" s="192"/>
      <c r="T11" s="197"/>
      <c r="U11" s="192"/>
      <c r="V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</row>
    <row r="12" spans="1:35" ht="13.5" thickBot="1" x14ac:dyDescent="0.25">
      <c r="B12" s="20" t="s">
        <v>27</v>
      </c>
      <c r="C12" s="913" t="str">
        <f>IF(I3=0,"нет",IF(I3=1,"оцинкованный профлист",IF(I3=2,"окрашенный профлист",IF(I3=3,"окрашенный профлист, сайдинг","окрашенный профлист, фасадная кассета"))))</f>
        <v>окрашенный профлист</v>
      </c>
      <c r="D12" s="914" t="s">
        <v>371</v>
      </c>
      <c r="E12" s="412"/>
      <c r="F12" s="176"/>
      <c r="H12" s="294" t="s">
        <v>214</v>
      </c>
      <c r="I12" s="295" t="s">
        <v>213</v>
      </c>
      <c r="J12" s="8"/>
      <c r="K12" s="192"/>
      <c r="L12" s="417" t="s">
        <v>312</v>
      </c>
      <c r="M12" s="219" t="str">
        <f>I32</f>
        <v>ТПС 200х2</v>
      </c>
      <c r="N12" s="219" t="str">
        <f>I34</f>
        <v>ТПС 200х65х2</v>
      </c>
      <c r="O12" s="192"/>
      <c r="P12" s="192"/>
      <c r="Q12" s="192"/>
      <c r="R12" s="192"/>
      <c r="S12" s="192"/>
      <c r="T12" s="297"/>
      <c r="U12" s="192"/>
      <c r="V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</row>
    <row r="13" spans="1:35" x14ac:dyDescent="0.2">
      <c r="A13" s="15"/>
      <c r="B13" s="30" t="s">
        <v>28</v>
      </c>
      <c r="C13" s="28" t="str">
        <f>IF(I4=0,"нет",IF(I4=1,"оцинкованный профлист",IF(I4=2,"окрашенный профлист",IF(I4=3,"окрашенный профлист, сайдинг","окрашенный профлист, фасадная панель"))))</f>
        <v>нет</v>
      </c>
      <c r="D13" s="31"/>
      <c r="E13" s="175"/>
      <c r="F13" s="13"/>
      <c r="G13" s="15"/>
      <c r="H13" s="294" t="s">
        <v>215</v>
      </c>
      <c r="I13" s="296">
        <v>1</v>
      </c>
      <c r="J13" s="856" t="s">
        <v>358</v>
      </c>
      <c r="K13" s="192"/>
      <c r="L13" s="219" t="s">
        <v>308</v>
      </c>
      <c r="M13" s="219" t="str">
        <f>I33</f>
        <v>ТПС 200х65х1,5</v>
      </c>
      <c r="N13" s="219" t="str">
        <f>I32</f>
        <v>ТПС 200х2</v>
      </c>
      <c r="O13" s="192"/>
      <c r="P13" s="192"/>
      <c r="Q13" s="192"/>
      <c r="R13" s="192"/>
      <c r="S13" s="192"/>
      <c r="T13" s="192"/>
      <c r="U13" s="192"/>
      <c r="V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</row>
    <row r="14" spans="1:35" s="317" customFormat="1" ht="15" x14ac:dyDescent="0.2">
      <c r="A14" s="316"/>
      <c r="D14" s="30" t="s">
        <v>29</v>
      </c>
      <c r="E14" s="67">
        <v>150</v>
      </c>
      <c r="F14" s="32" t="s">
        <v>30</v>
      </c>
      <c r="G14" s="316"/>
      <c r="H14" s="318"/>
      <c r="I14" s="319"/>
      <c r="J14" s="857">
        <f>15*3.14/180</f>
        <v>0.26166666666666666</v>
      </c>
      <c r="K14" s="297"/>
      <c r="L14" s="583" t="s">
        <v>310</v>
      </c>
      <c r="M14" s="583" t="str">
        <f>I32</f>
        <v>ТПС 200х2</v>
      </c>
      <c r="N14" s="583" t="str">
        <f>I31</f>
        <v>ТПС 200х1,5</v>
      </c>
      <c r="O14" s="355"/>
      <c r="P14" s="354"/>
      <c r="Q14" s="355"/>
      <c r="R14" s="354"/>
      <c r="S14" s="354"/>
      <c r="T14" s="355"/>
      <c r="U14" s="354"/>
      <c r="V14" s="355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</row>
    <row r="15" spans="1:35" s="317" customFormat="1" x14ac:dyDescent="0.2">
      <c r="A15" s="316"/>
      <c r="D15" s="30" t="s">
        <v>31</v>
      </c>
      <c r="E15" s="67">
        <v>100</v>
      </c>
      <c r="F15" s="32" t="s">
        <v>30</v>
      </c>
      <c r="G15" s="316"/>
      <c r="H15" s="271"/>
      <c r="I15" s="319"/>
      <c r="J15" s="857">
        <f>COS(J14)</f>
        <v>0.96596016853839861</v>
      </c>
      <c r="K15" s="297"/>
      <c r="L15" s="352"/>
      <c r="M15" s="354"/>
      <c r="N15" s="354"/>
      <c r="O15" s="355"/>
      <c r="P15" s="354"/>
      <c r="Q15" s="355"/>
      <c r="R15" s="354"/>
      <c r="S15" s="354"/>
      <c r="T15" s="355"/>
      <c r="U15" s="354"/>
      <c r="V15" s="355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</row>
    <row r="16" spans="1:35" s="317" customFormat="1" ht="13.5" thickBot="1" x14ac:dyDescent="0.25">
      <c r="A16" s="316"/>
      <c r="B16" s="33"/>
      <c r="C16" s="1002"/>
      <c r="D16" s="1002"/>
      <c r="E16" s="157"/>
      <c r="F16" s="34"/>
      <c r="G16" s="320"/>
      <c r="H16" s="321"/>
      <c r="I16" s="322" t="s">
        <v>212</v>
      </c>
      <c r="J16" s="858">
        <f>C8/2/J15*2</f>
        <v>15.528590607101957</v>
      </c>
      <c r="K16" s="297"/>
      <c r="L16" s="352"/>
      <c r="M16" s="354"/>
      <c r="N16" s="354" t="s">
        <v>319</v>
      </c>
      <c r="O16" s="355"/>
      <c r="P16" s="354"/>
      <c r="Q16" s="355"/>
      <c r="R16" s="354"/>
      <c r="S16" s="354"/>
      <c r="T16" s="355"/>
      <c r="U16" s="354"/>
      <c r="V16" s="355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</row>
    <row r="17" spans="1:35" s="317" customFormat="1" x14ac:dyDescent="0.2">
      <c r="A17" s="316"/>
      <c r="B17" s="323"/>
      <c r="C17" s="323"/>
      <c r="D17" s="35" t="s">
        <v>32</v>
      </c>
      <c r="E17" s="165">
        <v>0</v>
      </c>
      <c r="F17" s="36" t="s">
        <v>33</v>
      </c>
      <c r="G17" s="323"/>
      <c r="H17" s="324"/>
      <c r="I17" s="293">
        <f>CEILING(C9/C11+1,1)</f>
        <v>11</v>
      </c>
      <c r="J17" s="297"/>
      <c r="K17" s="297"/>
      <c r="L17" s="586"/>
      <c r="M17" s="587" t="s">
        <v>314</v>
      </c>
      <c r="N17" s="588" t="s">
        <v>316</v>
      </c>
      <c r="O17" s="588" t="s">
        <v>318</v>
      </c>
      <c r="P17" s="354"/>
      <c r="Q17" s="355"/>
      <c r="R17" s="351"/>
      <c r="S17" s="352"/>
      <c r="T17" s="353"/>
      <c r="U17" s="352"/>
      <c r="V17" s="353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</row>
    <row r="18" spans="1:35" s="317" customFormat="1" ht="13.5" thickBot="1" x14ac:dyDescent="0.25">
      <c r="A18" s="1003" t="s">
        <v>34</v>
      </c>
      <c r="B18" s="1003"/>
      <c r="C18" s="1003"/>
      <c r="D18" s="1003"/>
      <c r="E18" s="37"/>
      <c r="F18" s="37"/>
      <c r="G18" s="37"/>
      <c r="H18" s="324"/>
      <c r="I18" s="325" t="s">
        <v>130</v>
      </c>
      <c r="J18" s="326" t="s">
        <v>128</v>
      </c>
      <c r="K18" s="348" t="s">
        <v>129</v>
      </c>
      <c r="L18" s="589" t="s">
        <v>306</v>
      </c>
      <c r="M18" s="586" t="s">
        <v>315</v>
      </c>
      <c r="N18" s="590" t="s">
        <v>317</v>
      </c>
      <c r="O18" s="591" t="s">
        <v>317</v>
      </c>
      <c r="P18" s="352"/>
      <c r="Q18" s="353"/>
      <c r="R18" s="352"/>
      <c r="S18" s="356"/>
      <c r="T18" s="353"/>
      <c r="U18" s="356"/>
      <c r="V18" s="353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</row>
    <row r="19" spans="1:35" s="317" customFormat="1" ht="26.25" thickBot="1" x14ac:dyDescent="0.25">
      <c r="A19" s="40" t="s">
        <v>35</v>
      </c>
      <c r="B19" s="38" t="s">
        <v>36</v>
      </c>
      <c r="C19" s="38" t="s">
        <v>37</v>
      </c>
      <c r="D19" s="39" t="s">
        <v>38</v>
      </c>
      <c r="E19" s="40" t="s">
        <v>39</v>
      </c>
      <c r="F19" s="38" t="s">
        <v>40</v>
      </c>
      <c r="G19" s="39" t="s">
        <v>41</v>
      </c>
      <c r="H19" s="269" t="s">
        <v>210</v>
      </c>
      <c r="I19" s="311" t="s">
        <v>127</v>
      </c>
      <c r="J19" s="829">
        <f>[1]Основные!$F$342</f>
        <v>1043.7</v>
      </c>
      <c r="K19" s="348">
        <v>5.9740000000000002</v>
      </c>
      <c r="L19" s="592" t="s">
        <v>308</v>
      </c>
      <c r="M19" s="595" t="s">
        <v>314</v>
      </c>
      <c r="N19" s="594" t="s">
        <v>316</v>
      </c>
      <c r="O19" s="594" t="s">
        <v>316</v>
      </c>
      <c r="P19" s="356"/>
      <c r="Q19" s="353"/>
      <c r="R19" s="352"/>
      <c r="S19" s="356"/>
      <c r="T19" s="353"/>
      <c r="U19" s="356"/>
      <c r="V19" s="353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</row>
    <row r="20" spans="1:35" s="317" customFormat="1" ht="13.5" thickBot="1" x14ac:dyDescent="0.25">
      <c r="A20" s="40">
        <v>1</v>
      </c>
      <c r="B20" s="517" t="s">
        <v>80</v>
      </c>
      <c r="C20" s="38"/>
      <c r="D20" s="39"/>
      <c r="E20" s="518"/>
      <c r="F20" s="38"/>
      <c r="G20" s="519"/>
      <c r="H20" s="376"/>
      <c r="I20" s="311" t="s">
        <v>124</v>
      </c>
      <c r="J20" s="829">
        <f>[1]Основные!$F$343</f>
        <v>1370.25</v>
      </c>
      <c r="K20" s="348">
        <v>7.9130000000000003</v>
      </c>
      <c r="L20" s="593"/>
      <c r="M20" s="593" t="s">
        <v>315</v>
      </c>
      <c r="N20" s="594" t="s">
        <v>317</v>
      </c>
      <c r="O20" s="594" t="s">
        <v>317</v>
      </c>
      <c r="P20" s="352"/>
      <c r="Q20" s="352"/>
      <c r="R20" s="352"/>
      <c r="S20" s="356"/>
      <c r="T20" s="353"/>
      <c r="U20" s="356"/>
      <c r="V20" s="353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</row>
    <row r="21" spans="1:35" s="317" customFormat="1" x14ac:dyDescent="0.2">
      <c r="A21" s="512" t="s">
        <v>184</v>
      </c>
      <c r="B21" s="513" t="str">
        <f>I20</f>
        <v>ПГС-S 300х80х2</v>
      </c>
      <c r="C21" s="514">
        <f>I17*(J16)*2</f>
        <v>341.62899335624309</v>
      </c>
      <c r="D21" s="502" t="s">
        <v>8</v>
      </c>
      <c r="E21" s="515">
        <f>J20</f>
        <v>1370.25</v>
      </c>
      <c r="F21" s="516">
        <f t="shared" ref="F21:F30" si="0">C21*E21</f>
        <v>468117.12814639206</v>
      </c>
      <c r="G21" s="202">
        <f>C21*H21</f>
        <v>2703.3102244279517</v>
      </c>
      <c r="H21" s="328">
        <f>K20</f>
        <v>7.9130000000000003</v>
      </c>
      <c r="I21" s="311" t="s">
        <v>134</v>
      </c>
      <c r="J21" s="829">
        <f>[1]Основные!$F$345</f>
        <v>2020.2</v>
      </c>
      <c r="K21" s="349">
        <v>11.744</v>
      </c>
      <c r="L21" s="586" t="s">
        <v>310</v>
      </c>
      <c r="M21" s="587" t="s">
        <v>314</v>
      </c>
      <c r="N21" s="591" t="s">
        <v>316</v>
      </c>
      <c r="O21" s="591" t="s">
        <v>318</v>
      </c>
      <c r="P21" s="356"/>
      <c r="Q21" s="353"/>
      <c r="R21" s="352"/>
      <c r="S21" s="356"/>
      <c r="T21" s="353"/>
      <c r="U21" s="356"/>
      <c r="V21" s="353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</row>
    <row r="22" spans="1:35" s="317" customFormat="1" x14ac:dyDescent="0.2">
      <c r="A22" s="127" t="s">
        <v>185</v>
      </c>
      <c r="B22" s="413" t="str">
        <f>I20</f>
        <v>ПГС-S 300х80х2</v>
      </c>
      <c r="C22" s="332">
        <f>I17*4*(C10-0.07)</f>
        <v>260.91999999999996</v>
      </c>
      <c r="D22" s="166" t="s">
        <v>8</v>
      </c>
      <c r="E22" s="333">
        <f>J20</f>
        <v>1370.25</v>
      </c>
      <c r="F22" s="291">
        <f>C22*E22</f>
        <v>357525.62999999995</v>
      </c>
      <c r="G22" s="291">
        <f t="shared" ref="G22:G30" si="1">C22*H22</f>
        <v>2064.65996</v>
      </c>
      <c r="H22" s="328">
        <f>K20</f>
        <v>7.9130000000000003</v>
      </c>
      <c r="I22" s="311" t="s">
        <v>232</v>
      </c>
      <c r="J22" s="829">
        <f>[1]Основные!$F$344</f>
        <v>1693.65</v>
      </c>
      <c r="K22" s="348">
        <f>9.668</f>
        <v>9.6679999999999993</v>
      </c>
      <c r="L22" s="586"/>
      <c r="M22" s="586" t="s">
        <v>315</v>
      </c>
      <c r="N22" s="591" t="s">
        <v>317</v>
      </c>
      <c r="O22" s="591" t="s">
        <v>316</v>
      </c>
      <c r="P22" s="356"/>
      <c r="Q22" s="353"/>
      <c r="R22" s="352"/>
      <c r="S22" s="356"/>
      <c r="T22" s="353"/>
      <c r="U22" s="356"/>
      <c r="V22" s="353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</row>
    <row r="23" spans="1:35" s="317" customFormat="1" x14ac:dyDescent="0.2">
      <c r="A23" s="127" t="s">
        <v>186</v>
      </c>
      <c r="B23" s="166" t="str">
        <f>I26</f>
        <v>ПГС 145х70х2</v>
      </c>
      <c r="C23" s="332">
        <f>3*C9+4*C11</f>
        <v>204</v>
      </c>
      <c r="D23" s="166" t="s">
        <v>8</v>
      </c>
      <c r="E23" s="333">
        <f>J26</f>
        <v>833.7</v>
      </c>
      <c r="F23" s="291">
        <f>E23*C23</f>
        <v>170074.80000000002</v>
      </c>
      <c r="G23" s="291">
        <f>H23*C23</f>
        <v>983.28000000000009</v>
      </c>
      <c r="H23" s="328">
        <f>K26</f>
        <v>4.82</v>
      </c>
      <c r="I23" s="334" t="s">
        <v>132</v>
      </c>
      <c r="J23" s="829">
        <f>[1]Основные!$F$294</f>
        <v>532.35</v>
      </c>
      <c r="K23" s="348">
        <v>3.07</v>
      </c>
      <c r="L23" s="352"/>
      <c r="M23" s="352"/>
      <c r="N23" s="356"/>
      <c r="O23" s="353"/>
      <c r="P23" s="356"/>
      <c r="Q23" s="353"/>
      <c r="R23" s="352"/>
      <c r="S23" s="356"/>
      <c r="T23" s="353"/>
      <c r="U23" s="356"/>
      <c r="V23" s="353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</row>
    <row r="24" spans="1:35" s="317" customFormat="1" x14ac:dyDescent="0.2">
      <c r="A24" s="929" t="s">
        <v>187</v>
      </c>
      <c r="B24" s="166" t="s">
        <v>372</v>
      </c>
      <c r="C24" s="332">
        <f>IF(I13=1,8*2*(C9+2*(E15/1000)),9*2*(C9+2*(E15/1000)))</f>
        <v>963.2</v>
      </c>
      <c r="D24" s="166" t="s">
        <v>8</v>
      </c>
      <c r="E24" s="333">
        <f>J34</f>
        <v>882</v>
      </c>
      <c r="F24" s="291">
        <f t="shared" si="0"/>
        <v>849542.4</v>
      </c>
      <c r="G24" s="291">
        <f>C24*H24</f>
        <v>5186.8320000000003</v>
      </c>
      <c r="H24" s="328">
        <v>5.3849999999999998</v>
      </c>
      <c r="I24" s="334" t="s">
        <v>133</v>
      </c>
      <c r="J24" s="829">
        <f>[1]Основные!$F$295</f>
        <v>704.55000000000007</v>
      </c>
      <c r="K24" s="348">
        <v>4.08</v>
      </c>
      <c r="L24" s="890"/>
      <c r="M24" s="890"/>
      <c r="N24" s="890"/>
      <c r="O24" s="890"/>
      <c r="P24" s="890"/>
      <c r="Q24" s="890"/>
      <c r="R24" s="890"/>
      <c r="S24" s="891"/>
      <c r="T24" s="892"/>
      <c r="U24" s="891"/>
      <c r="V24" s="892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</row>
    <row r="25" spans="1:35" s="317" customFormat="1" x14ac:dyDescent="0.2">
      <c r="A25" s="127" t="s">
        <v>188</v>
      </c>
      <c r="B25" s="166" t="s">
        <v>110</v>
      </c>
      <c r="C25" s="332">
        <f>IF(I13=1,0,2*(C9+1))</f>
        <v>0</v>
      </c>
      <c r="D25" s="166" t="s">
        <v>8</v>
      </c>
      <c r="E25" s="333">
        <f>[7]Источник!$F$216</f>
        <v>533</v>
      </c>
      <c r="F25" s="291">
        <f t="shared" si="0"/>
        <v>0</v>
      </c>
      <c r="G25" s="291">
        <f>C25*H25</f>
        <v>0</v>
      </c>
      <c r="H25" s="328">
        <f>K39</f>
        <v>2.5590000000000002</v>
      </c>
      <c r="I25" s="312" t="s">
        <v>125</v>
      </c>
      <c r="J25" s="829">
        <f>[1]Основные!$F$299</f>
        <v>630</v>
      </c>
      <c r="K25" s="348">
        <v>3.64</v>
      </c>
      <c r="L25" s="352"/>
      <c r="M25" s="352"/>
      <c r="N25" s="356"/>
      <c r="O25" s="353"/>
      <c r="P25" s="356"/>
      <c r="Q25" s="353"/>
      <c r="R25" s="352"/>
      <c r="S25" s="356"/>
      <c r="T25" s="353"/>
      <c r="U25" s="356"/>
      <c r="V25" s="353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</row>
    <row r="26" spans="1:35" s="317" customFormat="1" x14ac:dyDescent="0.2">
      <c r="A26" s="127"/>
      <c r="B26" s="166" t="s">
        <v>264</v>
      </c>
      <c r="C26" s="332">
        <f>4*C9</f>
        <v>240</v>
      </c>
      <c r="D26" s="166" t="s">
        <v>8</v>
      </c>
      <c r="E26" s="333">
        <f>J41</f>
        <v>521.85</v>
      </c>
      <c r="F26" s="291">
        <f>E26*C26</f>
        <v>125244</v>
      </c>
      <c r="G26" s="291">
        <f>H26*C26</f>
        <v>672</v>
      </c>
      <c r="H26" s="328">
        <f>K41</f>
        <v>2.8</v>
      </c>
      <c r="I26" s="334" t="s">
        <v>131</v>
      </c>
      <c r="J26" s="829">
        <f>[1]Основные!$F$301</f>
        <v>833.7</v>
      </c>
      <c r="K26" s="348">
        <v>4.82</v>
      </c>
      <c r="L26" s="352"/>
      <c r="M26" s="352"/>
      <c r="N26" s="356"/>
      <c r="O26" s="353"/>
      <c r="P26" s="356"/>
      <c r="Q26" s="353"/>
      <c r="R26" s="352"/>
      <c r="S26" s="356"/>
      <c r="T26" s="353"/>
      <c r="U26" s="356"/>
      <c r="V26" s="353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</row>
    <row r="27" spans="1:35" s="317" customFormat="1" x14ac:dyDescent="0.2">
      <c r="A27" s="127"/>
      <c r="B27" s="166" t="s">
        <v>265</v>
      </c>
      <c r="C27" s="332">
        <f>I17*2*C8*0.05*1.1</f>
        <v>18.150000000000002</v>
      </c>
      <c r="D27" s="166" t="s">
        <v>33</v>
      </c>
      <c r="E27" s="333">
        <f>[1]Основные!$F$40</f>
        <v>1061.3119999999999</v>
      </c>
      <c r="F27" s="291">
        <f>E27*C27</f>
        <v>19262.8128</v>
      </c>
      <c r="G27" s="291">
        <f>H27*C27</f>
        <v>108.9</v>
      </c>
      <c r="H27" s="328">
        <f>6</f>
        <v>6</v>
      </c>
      <c r="I27" s="334"/>
      <c r="J27" s="266"/>
      <c r="K27" s="348"/>
      <c r="L27" s="352"/>
      <c r="M27" s="352"/>
      <c r="N27" s="356"/>
      <c r="O27" s="353"/>
      <c r="P27" s="356"/>
      <c r="Q27" s="353"/>
      <c r="R27" s="352"/>
      <c r="S27" s="356"/>
      <c r="T27" s="353"/>
      <c r="U27" s="356"/>
      <c r="V27" s="353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</row>
    <row r="28" spans="1:35" s="317" customFormat="1" x14ac:dyDescent="0.2">
      <c r="A28" s="127"/>
      <c r="B28" s="166" t="str">
        <f>I43</f>
        <v>ПШ 61х1</v>
      </c>
      <c r="C28" s="332">
        <f>2*(C8+4*C10)*1.1</f>
        <v>85.800000000000011</v>
      </c>
      <c r="D28" s="166" t="s">
        <v>8</v>
      </c>
      <c r="E28" s="333">
        <f>J43</f>
        <v>223</v>
      </c>
      <c r="F28" s="291">
        <f>E28*C28</f>
        <v>19133.400000000001</v>
      </c>
      <c r="G28" s="291">
        <f>H28*C28</f>
        <v>139.85400000000001</v>
      </c>
      <c r="H28" s="328">
        <f>K43</f>
        <v>1.63</v>
      </c>
      <c r="I28" s="334"/>
      <c r="J28" s="266"/>
      <c r="K28" s="348"/>
      <c r="M28" s="352"/>
      <c r="N28" s="356"/>
      <c r="O28" s="353"/>
      <c r="P28" s="356"/>
      <c r="Q28" s="353"/>
      <c r="R28" s="352"/>
      <c r="S28" s="356"/>
      <c r="T28" s="353"/>
      <c r="U28" s="356"/>
      <c r="V28" s="353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</row>
    <row r="29" spans="1:35" s="317" customFormat="1" x14ac:dyDescent="0.2">
      <c r="A29" s="127"/>
      <c r="B29" s="166" t="s">
        <v>79</v>
      </c>
      <c r="C29" s="332">
        <f>I17*(C8+2*C10)/0.6</f>
        <v>495</v>
      </c>
      <c r="D29" s="166" t="s">
        <v>10</v>
      </c>
      <c r="E29" s="140">
        <f>[1]Основные!$F$544</f>
        <v>291</v>
      </c>
      <c r="F29" s="291">
        <f t="shared" si="0"/>
        <v>144045</v>
      </c>
      <c r="G29" s="291">
        <f t="shared" si="1"/>
        <v>693</v>
      </c>
      <c r="H29" s="328">
        <v>1.4</v>
      </c>
      <c r="I29" s="335" t="s">
        <v>123</v>
      </c>
      <c r="J29" s="840">
        <f>[1]Основные!$D$259</f>
        <v>507</v>
      </c>
      <c r="K29" s="348">
        <v>2.86</v>
      </c>
      <c r="L29" s="352"/>
      <c r="M29" s="357"/>
      <c r="N29" s="357"/>
      <c r="O29" s="358"/>
      <c r="P29" s="359"/>
      <c r="Q29" s="358"/>
      <c r="R29" s="352"/>
      <c r="S29" s="356"/>
      <c r="T29" s="353"/>
      <c r="U29" s="356"/>
      <c r="V29" s="353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</row>
    <row r="30" spans="1:35" s="317" customFormat="1" x14ac:dyDescent="0.2">
      <c r="A30" s="127"/>
      <c r="B30" s="166" t="s">
        <v>78</v>
      </c>
      <c r="C30" s="332">
        <f>2*C29</f>
        <v>990</v>
      </c>
      <c r="D30" s="166" t="s">
        <v>10</v>
      </c>
      <c r="E30" s="140">
        <f>[1]Основные!$F$545</f>
        <v>114</v>
      </c>
      <c r="F30" s="291">
        <f t="shared" si="0"/>
        <v>112860</v>
      </c>
      <c r="G30" s="291">
        <f t="shared" si="1"/>
        <v>495</v>
      </c>
      <c r="H30" s="328">
        <v>0.5</v>
      </c>
      <c r="I30" s="336" t="s">
        <v>135</v>
      </c>
      <c r="J30" s="635">
        <f>[1]Основные!$D$265</f>
        <v>570</v>
      </c>
      <c r="K30" s="350">
        <v>3.3380000000000001</v>
      </c>
      <c r="L30" s="352"/>
      <c r="M30" s="352"/>
      <c r="N30" s="356"/>
      <c r="O30" s="353"/>
      <c r="P30" s="356"/>
      <c r="Q30" s="353"/>
      <c r="R30" s="352"/>
      <c r="S30" s="356"/>
      <c r="T30" s="353"/>
      <c r="U30" s="356"/>
      <c r="V30" s="353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</row>
    <row r="31" spans="1:35" s="317" customFormat="1" x14ac:dyDescent="0.2">
      <c r="A31" s="127"/>
      <c r="B31" s="166" t="s">
        <v>72</v>
      </c>
      <c r="C31" s="93">
        <v>0.05</v>
      </c>
      <c r="D31" s="166"/>
      <c r="E31" s="333"/>
      <c r="F31" s="291">
        <f>SUM(F21:F30)*C31</f>
        <v>113290.25854731959</v>
      </c>
      <c r="G31" s="200"/>
      <c r="H31" s="328"/>
      <c r="I31" s="315" t="s">
        <v>136</v>
      </c>
      <c r="J31" s="635">
        <f>[1]Основные!$D$277</f>
        <v>604</v>
      </c>
      <c r="K31" s="350">
        <v>3.4569999999999999</v>
      </c>
      <c r="L31" s="356"/>
      <c r="M31" s="352"/>
      <c r="N31" s="356"/>
      <c r="O31" s="353"/>
      <c r="P31" s="356"/>
      <c r="Q31" s="353"/>
      <c r="R31" s="352"/>
      <c r="S31" s="356"/>
      <c r="T31" s="353"/>
      <c r="U31" s="356"/>
      <c r="V31" s="353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</row>
    <row r="32" spans="1:35" s="317" customFormat="1" ht="13.5" thickBot="1" x14ac:dyDescent="0.25">
      <c r="A32" s="128"/>
      <c r="B32" s="123" t="s">
        <v>81</v>
      </c>
      <c r="C32" s="338"/>
      <c r="D32" s="339"/>
      <c r="E32" s="340"/>
      <c r="F32" s="118">
        <f>SUM(F21:F31)</f>
        <v>2379095.4294937113</v>
      </c>
      <c r="G32" s="201">
        <f>SUM(G21:G31)</f>
        <v>13046.836184427952</v>
      </c>
      <c r="H32" s="328"/>
      <c r="I32" s="336" t="s">
        <v>139</v>
      </c>
      <c r="J32" s="840">
        <f>[1]Основные!$D$278</f>
        <v>779</v>
      </c>
      <c r="K32" s="348">
        <v>4.5289999999999999</v>
      </c>
      <c r="L32" s="356"/>
      <c r="M32" s="352"/>
      <c r="N32" s="356"/>
      <c r="O32" s="353"/>
      <c r="P32" s="356"/>
      <c r="Q32" s="353"/>
      <c r="R32" s="352"/>
      <c r="S32" s="352"/>
      <c r="T32" s="353"/>
      <c r="U32" s="356"/>
      <c r="V32" s="353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</row>
    <row r="33" spans="1:35" ht="13.5" thickBot="1" x14ac:dyDescent="0.25">
      <c r="A33" s="92">
        <v>2</v>
      </c>
      <c r="B33" s="129" t="s">
        <v>82</v>
      </c>
      <c r="C33" s="119"/>
      <c r="D33" s="7"/>
      <c r="E33" s="133"/>
      <c r="F33" s="125"/>
      <c r="G33" s="202"/>
      <c r="H33" s="270"/>
      <c r="I33" s="313" t="s">
        <v>137</v>
      </c>
      <c r="J33" s="841">
        <f>[1]Основные!$D$284</f>
        <v>666</v>
      </c>
      <c r="K33" s="219">
        <v>3.9359999999999999</v>
      </c>
      <c r="L33" s="192"/>
      <c r="M33" s="374"/>
      <c r="N33" s="374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</row>
    <row r="34" spans="1:35" x14ac:dyDescent="0.2">
      <c r="A34" s="120" t="s">
        <v>189</v>
      </c>
      <c r="B34" s="54" t="str">
        <f>I39</f>
        <v>ТПП 150х1,5</v>
      </c>
      <c r="C34" s="345">
        <f>((C10+0.5)/1.2+1)*(C8+C9)*2*1.1</f>
        <v>1058.75</v>
      </c>
      <c r="D34" s="77" t="s">
        <v>8</v>
      </c>
      <c r="E34" s="134">
        <f>J39</f>
        <v>476.70000000000005</v>
      </c>
      <c r="F34" s="43"/>
      <c r="G34" s="384"/>
      <c r="H34" s="375">
        <f>K39</f>
        <v>2.5590000000000002</v>
      </c>
      <c r="I34" s="230" t="s">
        <v>138</v>
      </c>
      <c r="J34" s="841">
        <f>[1]Основные!$D$285</f>
        <v>882</v>
      </c>
      <c r="K34" s="219">
        <v>5.1639999999999997</v>
      </c>
      <c r="L34" s="192"/>
      <c r="M34" s="194"/>
      <c r="N34" s="194"/>
      <c r="O34" s="194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</row>
    <row r="35" spans="1:35" x14ac:dyDescent="0.2">
      <c r="A35" s="121" t="s">
        <v>190</v>
      </c>
      <c r="B35" s="166" t="s">
        <v>121</v>
      </c>
      <c r="C35" s="622">
        <f>(C8+C9)*2/C11*(C10+0.5)*2*1.1+L151*J151/0.6*O151+(J151+K151)*2*2*L151*1.1</f>
        <v>357.50000000000006</v>
      </c>
      <c r="D35" s="166" t="s">
        <v>8</v>
      </c>
      <c r="E35" s="301">
        <f>J41</f>
        <v>521.85</v>
      </c>
      <c r="F35" s="291"/>
      <c r="G35" s="384"/>
      <c r="H35" s="376">
        <f>K41</f>
        <v>2.8</v>
      </c>
      <c r="I35" s="230" t="s">
        <v>140</v>
      </c>
      <c r="J35" s="841">
        <f>[1]Основные!$D$288</f>
        <v>753</v>
      </c>
      <c r="K35" s="219">
        <v>4.4729999999999999</v>
      </c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</row>
    <row r="36" spans="1:35" x14ac:dyDescent="0.2">
      <c r="A36" s="121" t="s">
        <v>357</v>
      </c>
      <c r="B36" s="166" t="s">
        <v>113</v>
      </c>
      <c r="C36" s="85">
        <f>2*(C8+C9)*2</f>
        <v>300</v>
      </c>
      <c r="D36" s="4" t="s">
        <v>8</v>
      </c>
      <c r="E36" s="135">
        <f>J38</f>
        <v>262.5</v>
      </c>
      <c r="F36" s="43">
        <f>E36*C36</f>
        <v>78750</v>
      </c>
      <c r="G36" s="384">
        <f>H36*C36</f>
        <v>518.1</v>
      </c>
      <c r="H36" s="375">
        <f>K38</f>
        <v>1.7270000000000001</v>
      </c>
      <c r="I36" s="230" t="s">
        <v>141</v>
      </c>
      <c r="J36" s="841">
        <f>[1]Основные!$D$289</f>
        <v>997</v>
      </c>
      <c r="K36" s="219">
        <v>5.8</v>
      </c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</row>
    <row r="37" spans="1:35" x14ac:dyDescent="0.2">
      <c r="A37" s="121"/>
      <c r="B37" s="166" t="s">
        <v>115</v>
      </c>
      <c r="C37" s="85">
        <f>IF(I3=J10,C41/0.6,0)</f>
        <v>0</v>
      </c>
      <c r="D37" s="4" t="s">
        <v>8</v>
      </c>
      <c r="E37" s="301">
        <f>J55</f>
        <v>0</v>
      </c>
      <c r="F37" s="43">
        <f t="shared" ref="F37:F39" si="2">C37*E37</f>
        <v>0</v>
      </c>
      <c r="G37" s="384">
        <f t="shared" ref="G37:G39" si="3">C37*H37</f>
        <v>0</v>
      </c>
      <c r="H37" s="375">
        <v>1.4</v>
      </c>
      <c r="I37" s="314" t="s">
        <v>19</v>
      </c>
      <c r="J37" s="831">
        <f>[1]Основные!$F$215</f>
        <v>218.4</v>
      </c>
      <c r="K37" s="219">
        <v>1.4059999999999999</v>
      </c>
      <c r="L37" s="3" t="s">
        <v>245</v>
      </c>
      <c r="M37" s="834">
        <f>[1]Основные!$F$216</f>
        <v>302.40000000000003</v>
      </c>
      <c r="N37" s="3">
        <v>1.69</v>
      </c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</row>
    <row r="38" spans="1:35" x14ac:dyDescent="0.2">
      <c r="A38" s="121"/>
      <c r="B38" s="4" t="s">
        <v>97</v>
      </c>
      <c r="C38" s="82">
        <f>(3*C9+2*C8)/1.9</f>
        <v>110.52631578947368</v>
      </c>
      <c r="D38" s="4" t="s">
        <v>10</v>
      </c>
      <c r="E38" s="136">
        <f>J77</f>
        <v>736</v>
      </c>
      <c r="F38" s="43">
        <f t="shared" si="2"/>
        <v>81347.368421052626</v>
      </c>
      <c r="G38" s="384">
        <f t="shared" si="3"/>
        <v>102.78947368421053</v>
      </c>
      <c r="H38" s="375">
        <f>L77</f>
        <v>0.93</v>
      </c>
      <c r="I38" s="231" t="s">
        <v>113</v>
      </c>
      <c r="J38" s="831">
        <f>[1]Основные!$F$227</f>
        <v>262.5</v>
      </c>
      <c r="K38" s="219">
        <v>1.7270000000000001</v>
      </c>
      <c r="L38" s="3"/>
      <c r="M38" s="3"/>
      <c r="N38" s="3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</row>
    <row r="39" spans="1:35" x14ac:dyDescent="0.2">
      <c r="A39" s="121"/>
      <c r="B39" s="4" t="s">
        <v>247</v>
      </c>
      <c r="C39" s="82">
        <f>4*C10/1.9</f>
        <v>12.631578947368421</v>
      </c>
      <c r="D39" s="4" t="s">
        <v>10</v>
      </c>
      <c r="E39" s="132">
        <f>J80</f>
        <v>919.99999999999989</v>
      </c>
      <c r="F39" s="43">
        <f t="shared" si="2"/>
        <v>11621.052631578947</v>
      </c>
      <c r="G39" s="384">
        <f t="shared" si="3"/>
        <v>29.052631578947366</v>
      </c>
      <c r="H39" s="375">
        <f>L79</f>
        <v>2.2999999999999998</v>
      </c>
      <c r="I39" s="288" t="s">
        <v>211</v>
      </c>
      <c r="J39" s="832">
        <f>[1]Основные!$F$229</f>
        <v>476.70000000000005</v>
      </c>
      <c r="K39" s="289">
        <v>2.5590000000000002</v>
      </c>
      <c r="L39" s="3" t="s">
        <v>246</v>
      </c>
      <c r="M39" s="834">
        <f>[1]Основные!$F$228</f>
        <v>362.25</v>
      </c>
      <c r="N39" s="3">
        <v>2.02</v>
      </c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</row>
    <row r="40" spans="1:35" x14ac:dyDescent="0.2">
      <c r="A40" s="182" t="str">
        <f>IF(I3=2,"нар.окр","нар. оц")</f>
        <v>нар.окр</v>
      </c>
      <c r="B40" s="4" t="str">
        <f>L55</f>
        <v>МП 20 (0,5)</v>
      </c>
      <c r="C40" s="82">
        <f>(C8*2+C9*2)*C10*1.1+C8*3*1.1</f>
        <v>1039.5000000000002</v>
      </c>
      <c r="D40" s="4" t="s">
        <v>8</v>
      </c>
      <c r="E40" s="164">
        <f>M55</f>
        <v>787.74999999999989</v>
      </c>
      <c r="F40" s="43"/>
      <c r="G40" s="384"/>
      <c r="H40" s="375">
        <f>O55</f>
        <v>5.3</v>
      </c>
      <c r="I40" s="231" t="s">
        <v>143</v>
      </c>
      <c r="J40" s="831">
        <f>[1]Основные!$F$239</f>
        <v>318.15000000000003</v>
      </c>
      <c r="K40" s="219">
        <v>2.1179999999999999</v>
      </c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</row>
    <row r="41" spans="1:35" x14ac:dyDescent="0.2">
      <c r="A41" s="121"/>
      <c r="B41" s="4" t="s">
        <v>267</v>
      </c>
      <c r="C41" s="82">
        <f>IF(I3=J10,2*(C8+C9)*C10*1.2+C9*2.5*1.2,0)</f>
        <v>0</v>
      </c>
      <c r="D41" s="4" t="s">
        <v>33</v>
      </c>
      <c r="E41" s="164">
        <f>M60</f>
        <v>1255</v>
      </c>
      <c r="F41" s="43">
        <f t="shared" ref="F41" si="4">C41*E41</f>
        <v>0</v>
      </c>
      <c r="G41" s="384">
        <f t="shared" ref="G41" si="5">C41*H41</f>
        <v>0</v>
      </c>
      <c r="H41" s="375">
        <f>O60</f>
        <v>5</v>
      </c>
      <c r="I41" s="231" t="s">
        <v>121</v>
      </c>
      <c r="J41" s="831">
        <f>[1]Основные!$F$253</f>
        <v>521.85</v>
      </c>
      <c r="K41" s="219">
        <v>2.8</v>
      </c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</row>
    <row r="42" spans="1:35" ht="13.5" thickBot="1" x14ac:dyDescent="0.25">
      <c r="A42" s="492" t="str">
        <f>IF(I4=2,"вн.ок","вн.оц")</f>
        <v>вн.оц</v>
      </c>
      <c r="B42" s="493" t="str">
        <f>L55</f>
        <v>МП 20 (0,5)</v>
      </c>
      <c r="C42" s="491">
        <f>C40</f>
        <v>1039.5000000000002</v>
      </c>
      <c r="D42" s="493" t="s">
        <v>33</v>
      </c>
      <c r="E42" s="494">
        <f>M55</f>
        <v>787.74999999999989</v>
      </c>
      <c r="F42" s="43"/>
      <c r="G42" s="384"/>
      <c r="H42" s="375">
        <f>O55</f>
        <v>5.3</v>
      </c>
      <c r="I42" s="231" t="s">
        <v>142</v>
      </c>
      <c r="J42" s="831">
        <f>[1]Основные!$F$273</f>
        <v>618.45000000000005</v>
      </c>
      <c r="K42" s="219">
        <v>3.09</v>
      </c>
      <c r="L42" s="226" t="s">
        <v>147</v>
      </c>
      <c r="M42" s="227" t="s">
        <v>156</v>
      </c>
      <c r="N42" s="227" t="s">
        <v>157</v>
      </c>
      <c r="O42" s="219" t="s">
        <v>154</v>
      </c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</row>
    <row r="43" spans="1:35" x14ac:dyDescent="0.2">
      <c r="A43" s="120"/>
      <c r="B43" s="54" t="s">
        <v>72</v>
      </c>
      <c r="C43" s="388">
        <v>0.05</v>
      </c>
      <c r="D43" s="54"/>
      <c r="E43" s="134"/>
      <c r="F43" s="381">
        <f>SUM(F34:F42)*C43</f>
        <v>8585.9210526315783</v>
      </c>
      <c r="G43" s="391"/>
      <c r="H43" s="375"/>
      <c r="I43" s="300" t="s">
        <v>219</v>
      </c>
      <c r="J43" s="260">
        <f>[1]Основные!$F$352</f>
        <v>223</v>
      </c>
      <c r="K43" s="219">
        <v>1.63</v>
      </c>
      <c r="L43" s="219" t="s">
        <v>158</v>
      </c>
      <c r="M43" s="260" t="e">
        <f>[1]Основные!$D$29</f>
        <v>#N/A</v>
      </c>
      <c r="N43" s="835" t="e">
        <f>[1]Основные!$D$31</f>
        <v>#N/A</v>
      </c>
      <c r="O43" s="226">
        <v>4.5999999999999996</v>
      </c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</row>
    <row r="44" spans="1:35" ht="13.5" thickBot="1" x14ac:dyDescent="0.25">
      <c r="A44" s="122"/>
      <c r="B44" s="123" t="s">
        <v>83</v>
      </c>
      <c r="C44" s="124"/>
      <c r="D44" s="44"/>
      <c r="E44" s="137"/>
      <c r="F44" s="118">
        <f>SUM(F34:F43)</f>
        <v>180304.34210526315</v>
      </c>
      <c r="G44" s="389">
        <f>SUM(G34:G43)</f>
        <v>649.94210526315794</v>
      </c>
      <c r="H44" s="375"/>
      <c r="I44" s="300" t="s">
        <v>220</v>
      </c>
      <c r="J44" s="260" t="e">
        <f>[1]Основные!$F$350</f>
        <v>#N/A</v>
      </c>
      <c r="K44" s="219">
        <v>0.78</v>
      </c>
      <c r="L44" s="219"/>
      <c r="M44" s="226"/>
      <c r="N44" s="3"/>
      <c r="O44" s="226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</row>
    <row r="45" spans="1:35" ht="13.5" thickBot="1" x14ac:dyDescent="0.25">
      <c r="A45" s="505">
        <v>3</v>
      </c>
      <c r="B45" s="506" t="s">
        <v>235</v>
      </c>
      <c r="C45" s="507"/>
      <c r="D45" s="508"/>
      <c r="E45" s="509"/>
      <c r="F45" s="510"/>
      <c r="G45" s="511"/>
      <c r="H45" s="375"/>
      <c r="I45" s="300" t="s">
        <v>115</v>
      </c>
      <c r="J45" s="833">
        <f>[1]Основные!$F$355</f>
        <v>190</v>
      </c>
      <c r="K45" s="219">
        <v>1.4</v>
      </c>
      <c r="L45" s="219"/>
      <c r="M45" s="226"/>
      <c r="N45" s="3"/>
      <c r="O45" s="226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</row>
    <row r="46" spans="1:35" x14ac:dyDescent="0.2">
      <c r="A46" s="501" t="s">
        <v>237</v>
      </c>
      <c r="B46" s="520" t="str">
        <f>I21</f>
        <v>ПГС-S 300х80х3</v>
      </c>
      <c r="C46" s="503">
        <f>2*C8*I17</f>
        <v>330</v>
      </c>
      <c r="D46" s="9" t="s">
        <v>8</v>
      </c>
      <c r="E46" s="378">
        <f>J21</f>
        <v>2020.2</v>
      </c>
      <c r="F46" s="379"/>
      <c r="G46" s="379"/>
      <c r="H46" s="270">
        <f>K21</f>
        <v>11.744</v>
      </c>
      <c r="I46" s="300"/>
      <c r="J46" s="260"/>
      <c r="K46" s="219"/>
      <c r="L46" s="219"/>
      <c r="M46" s="226"/>
      <c r="N46" s="3"/>
      <c r="O46" s="226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</row>
    <row r="47" spans="1:35" x14ac:dyDescent="0.2">
      <c r="A47" s="414" t="s">
        <v>238</v>
      </c>
      <c r="B47" s="413" t="s">
        <v>268</v>
      </c>
      <c r="C47" s="82">
        <f>(C8/0.9+1)*C9</f>
        <v>1060</v>
      </c>
      <c r="D47" s="4" t="s">
        <v>8</v>
      </c>
      <c r="E47" s="135">
        <f>J19</f>
        <v>1043.7</v>
      </c>
      <c r="F47" s="43"/>
      <c r="G47" s="43"/>
      <c r="H47" s="270">
        <f>K19</f>
        <v>5.9740000000000002</v>
      </c>
      <c r="I47" s="300"/>
      <c r="J47" s="260"/>
      <c r="K47" s="219"/>
      <c r="L47" s="219"/>
      <c r="M47" s="226"/>
      <c r="N47" s="3"/>
      <c r="O47" s="226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</row>
    <row r="48" spans="1:35" x14ac:dyDescent="0.2">
      <c r="A48" s="414" t="s">
        <v>239</v>
      </c>
      <c r="B48" s="363" t="str">
        <f>I20</f>
        <v>ПГС-S 300х80х2</v>
      </c>
      <c r="C48" s="82">
        <f>2*3.5*2*(I17-2)</f>
        <v>126</v>
      </c>
      <c r="D48" s="4" t="s">
        <v>8</v>
      </c>
      <c r="E48" s="135">
        <f>J20</f>
        <v>1370.25</v>
      </c>
      <c r="F48" s="43"/>
      <c r="G48" s="43"/>
      <c r="H48" s="270">
        <f>K20</f>
        <v>7.9130000000000003</v>
      </c>
      <c r="I48" s="300"/>
      <c r="J48" s="260"/>
      <c r="K48" s="219"/>
      <c r="L48" s="219"/>
      <c r="M48" s="226"/>
      <c r="N48" s="3"/>
      <c r="O48" s="226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</row>
    <row r="49" spans="1:35" x14ac:dyDescent="0.2">
      <c r="A49" s="414"/>
      <c r="B49" s="166" t="s">
        <v>79</v>
      </c>
      <c r="C49" s="332">
        <f>(C46+C48)/2/0.6</f>
        <v>380</v>
      </c>
      <c r="D49" s="166" t="s">
        <v>10</v>
      </c>
      <c r="E49" s="140">
        <f>E29</f>
        <v>291</v>
      </c>
      <c r="F49" s="43"/>
      <c r="G49" s="43"/>
      <c r="H49" s="328">
        <v>1.4</v>
      </c>
      <c r="I49" s="300"/>
      <c r="J49" s="260"/>
      <c r="K49" s="219"/>
      <c r="L49" s="219"/>
      <c r="M49" s="226"/>
      <c r="N49" s="3"/>
      <c r="O49" s="226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</row>
    <row r="50" spans="1:35" x14ac:dyDescent="0.2">
      <c r="A50" s="414"/>
      <c r="B50" s="166" t="s">
        <v>78</v>
      </c>
      <c r="C50" s="332">
        <f>2*C49</f>
        <v>760</v>
      </c>
      <c r="D50" s="166" t="s">
        <v>10</v>
      </c>
      <c r="E50" s="140">
        <f>E30</f>
        <v>114</v>
      </c>
      <c r="F50" s="43"/>
      <c r="G50" s="43"/>
      <c r="H50" s="328">
        <v>0.5</v>
      </c>
      <c r="I50" s="300"/>
      <c r="J50" s="260"/>
      <c r="K50" s="219"/>
      <c r="L50" s="219"/>
      <c r="M50" s="226"/>
      <c r="N50" s="3"/>
      <c r="O50" s="226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</row>
    <row r="51" spans="1:35" x14ac:dyDescent="0.2">
      <c r="A51" s="414"/>
      <c r="B51" s="4" t="s">
        <v>45</v>
      </c>
      <c r="C51" s="332">
        <f>8*C52</f>
        <v>660</v>
      </c>
      <c r="D51" s="166" t="s">
        <v>10</v>
      </c>
      <c r="E51" s="140">
        <f>J105</f>
        <v>2.3459999999999996</v>
      </c>
      <c r="F51" s="43"/>
      <c r="G51" s="43"/>
      <c r="H51" s="328">
        <v>4.0000000000000001E-3</v>
      </c>
      <c r="I51" s="300"/>
      <c r="J51" s="260"/>
      <c r="K51" s="219"/>
      <c r="L51" s="219"/>
      <c r="M51" s="226"/>
      <c r="N51" s="3"/>
      <c r="O51" s="226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</row>
    <row r="52" spans="1:35" ht="13.5" thickBot="1" x14ac:dyDescent="0.25">
      <c r="A52" s="496"/>
      <c r="B52" s="493" t="str">
        <f>L64</f>
        <v>С-44  0,7мм</v>
      </c>
      <c r="C52" s="497">
        <f>15*5*1.1</f>
        <v>82.5</v>
      </c>
      <c r="D52" s="493" t="s">
        <v>33</v>
      </c>
      <c r="E52" s="364">
        <f>N64</f>
        <v>924.61149999999986</v>
      </c>
      <c r="F52" s="495"/>
      <c r="G52" s="495"/>
      <c r="H52" s="270">
        <v>6</v>
      </c>
      <c r="I52" s="300"/>
      <c r="J52" s="260"/>
      <c r="K52" s="219"/>
      <c r="L52" s="219"/>
      <c r="M52" s="226"/>
      <c r="N52" s="3"/>
      <c r="O52" s="226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</row>
    <row r="53" spans="1:35" x14ac:dyDescent="0.2">
      <c r="A53" s="120"/>
      <c r="B53" s="54" t="s">
        <v>72</v>
      </c>
      <c r="C53" s="388">
        <v>0.05</v>
      </c>
      <c r="D53" s="54"/>
      <c r="E53" s="134"/>
      <c r="F53" s="381">
        <f>SUM(F46:F52)*C53</f>
        <v>0</v>
      </c>
      <c r="G53" s="391"/>
      <c r="H53" s="375"/>
      <c r="I53" s="300"/>
      <c r="J53" s="260"/>
      <c r="K53" s="219"/>
      <c r="L53" s="219"/>
      <c r="M53" s="226"/>
      <c r="N53" s="3"/>
      <c r="O53" s="226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</row>
    <row r="54" spans="1:35" ht="13.5" thickBot="1" x14ac:dyDescent="0.25">
      <c r="A54" s="498"/>
      <c r="B54" s="485" t="s">
        <v>304</v>
      </c>
      <c r="C54" s="486"/>
      <c r="D54" s="487"/>
      <c r="E54" s="488"/>
      <c r="F54" s="489">
        <f>SUM(F46:F53)</f>
        <v>0</v>
      </c>
      <c r="G54" s="499">
        <f>SUM(G45:G53)</f>
        <v>0</v>
      </c>
      <c r="H54" s="375"/>
      <c r="I54" s="300"/>
      <c r="J54" s="260"/>
      <c r="K54" s="219"/>
      <c r="L54" s="219"/>
      <c r="M54" s="226"/>
      <c r="N54" s="3"/>
      <c r="O54" s="226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</row>
    <row r="55" spans="1:35" ht="13.5" thickBot="1" x14ac:dyDescent="0.25">
      <c r="A55" s="505">
        <v>4</v>
      </c>
      <c r="B55" s="506" t="s">
        <v>93</v>
      </c>
      <c r="C55" s="507"/>
      <c r="D55" s="508"/>
      <c r="E55" s="509"/>
      <c r="F55" s="510"/>
      <c r="G55" s="511"/>
      <c r="H55" s="375"/>
      <c r="I55" s="300"/>
      <c r="J55" s="226"/>
      <c r="L55" s="292" t="s">
        <v>269</v>
      </c>
      <c r="M55" s="836">
        <f>[1]Основные!$F$74</f>
        <v>787.74999999999989</v>
      </c>
      <c r="N55" s="837">
        <f>[1]Основные!$F$75</f>
        <v>590.44449999999995</v>
      </c>
      <c r="O55" s="226">
        <v>5.3</v>
      </c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</row>
    <row r="56" spans="1:35" x14ac:dyDescent="0.2">
      <c r="A56" s="501"/>
      <c r="B56" s="502" t="s">
        <v>19</v>
      </c>
      <c r="C56" s="503">
        <f>IF(E17&gt;0,D164+D165,0)</f>
        <v>0</v>
      </c>
      <c r="D56" s="9" t="s">
        <v>8</v>
      </c>
      <c r="E56" s="378">
        <f>J37</f>
        <v>218.4</v>
      </c>
      <c r="F56" s="379">
        <f>C56*E56</f>
        <v>0</v>
      </c>
      <c r="G56" s="504">
        <f>C56*H56</f>
        <v>0</v>
      </c>
      <c r="H56" s="270">
        <f>K37</f>
        <v>1.4059999999999999</v>
      </c>
      <c r="I56" s="374"/>
      <c r="J56" s="374"/>
      <c r="K56" s="192"/>
      <c r="L56" s="219"/>
      <c r="M56" s="226"/>
      <c r="N56" s="3"/>
      <c r="O56" s="226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</row>
    <row r="57" spans="1:35" ht="13.5" thickBot="1" x14ac:dyDescent="0.25">
      <c r="A57" s="496" t="s">
        <v>221</v>
      </c>
      <c r="B57" s="172" t="str">
        <f>L55</f>
        <v>МП 20 (0,5)</v>
      </c>
      <c r="C57" s="497">
        <f>IF(E17&gt;0,E17*2*1.1,0)</f>
        <v>0</v>
      </c>
      <c r="D57" s="493" t="s">
        <v>8</v>
      </c>
      <c r="E57" s="364">
        <f>M55</f>
        <v>787.74999999999989</v>
      </c>
      <c r="F57" s="495">
        <f>C57*E57</f>
        <v>0</v>
      </c>
      <c r="G57" s="500">
        <f>C57*H57</f>
        <v>0</v>
      </c>
      <c r="H57" s="270">
        <f>O55</f>
        <v>5.3</v>
      </c>
      <c r="I57" s="374"/>
      <c r="J57" s="374"/>
      <c r="K57" s="192"/>
      <c r="L57" s="219" t="s">
        <v>159</v>
      </c>
      <c r="M57" s="833">
        <f>[1]Основные!$F$26</f>
        <v>1</v>
      </c>
      <c r="N57" s="262">
        <f>[1]Основные!$F$23</f>
        <v>555</v>
      </c>
      <c r="O57" s="226">
        <v>4.5999999999999996</v>
      </c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</row>
    <row r="58" spans="1:35" x14ac:dyDescent="0.2">
      <c r="A58" s="120"/>
      <c r="B58" s="54" t="s">
        <v>72</v>
      </c>
      <c r="C58" s="388">
        <v>0.05</v>
      </c>
      <c r="D58" s="54"/>
      <c r="E58" s="134"/>
      <c r="F58" s="381">
        <f>SUM(F56:F57)*C58</f>
        <v>0</v>
      </c>
      <c r="G58" s="382"/>
      <c r="H58" s="375"/>
      <c r="I58" s="374"/>
      <c r="J58" s="374"/>
      <c r="K58" s="192"/>
      <c r="L58" s="219"/>
      <c r="M58" s="226"/>
      <c r="N58" s="3"/>
      <c r="O58" s="226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</row>
    <row r="59" spans="1:35" ht="13.5" thickBot="1" x14ac:dyDescent="0.25">
      <c r="A59" s="122"/>
      <c r="B59" s="123" t="s">
        <v>305</v>
      </c>
      <c r="C59" s="124"/>
      <c r="D59" s="44"/>
      <c r="E59" s="137"/>
      <c r="F59" s="118">
        <f>SUM(F56:F58)</f>
        <v>0</v>
      </c>
      <c r="G59" s="389">
        <f>SUM(G56:G58)</f>
        <v>0</v>
      </c>
      <c r="H59" s="375"/>
      <c r="I59" s="374"/>
      <c r="J59" s="374"/>
      <c r="K59" s="192"/>
      <c r="L59" s="219" t="s">
        <v>1</v>
      </c>
      <c r="M59" s="833">
        <f>[1]Основные!$F$86</f>
        <v>1035</v>
      </c>
      <c r="N59" s="3"/>
      <c r="O59" s="226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</row>
    <row r="60" spans="1:35" ht="13.5" thickBot="1" x14ac:dyDescent="0.25">
      <c r="A60" s="505">
        <v>3</v>
      </c>
      <c r="B60" s="506" t="s">
        <v>112</v>
      </c>
      <c r="C60" s="523"/>
      <c r="D60" s="508"/>
      <c r="E60" s="524" t="s">
        <v>116</v>
      </c>
      <c r="F60" s="510"/>
      <c r="G60" s="511"/>
      <c r="H60" s="375"/>
      <c r="I60" s="374" t="s">
        <v>144</v>
      </c>
      <c r="J60" s="374"/>
      <c r="K60" s="192"/>
      <c r="L60" s="219" t="s">
        <v>145</v>
      </c>
      <c r="M60" s="833">
        <f>[1]Основные!$F$16</f>
        <v>1255</v>
      </c>
      <c r="N60" s="3"/>
      <c r="O60" s="226">
        <v>5</v>
      </c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</row>
    <row r="61" spans="1:35" x14ac:dyDescent="0.2">
      <c r="A61" s="188"/>
      <c r="B61" s="9" t="s">
        <v>2</v>
      </c>
      <c r="C61" s="521">
        <f>C66*C10</f>
        <v>60</v>
      </c>
      <c r="D61" s="9" t="s">
        <v>8</v>
      </c>
      <c r="E61" s="522">
        <f>[1]Основные!$F$142</f>
        <v>840</v>
      </c>
      <c r="F61" s="379">
        <f>E61*C61</f>
        <v>50400</v>
      </c>
      <c r="G61" s="379">
        <f>H61*C61</f>
        <v>90</v>
      </c>
      <c r="H61" s="302">
        <v>1.5</v>
      </c>
      <c r="I61" s="229">
        <f>[1]Основные!$F$130</f>
        <v>585</v>
      </c>
      <c r="J61" s="374"/>
      <c r="K61" s="192"/>
      <c r="L61" s="219" t="s">
        <v>146</v>
      </c>
      <c r="M61" s="260">
        <f>[1]Основные!$F$11</f>
        <v>1868</v>
      </c>
      <c r="N61" s="3"/>
      <c r="O61" s="226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</row>
    <row r="62" spans="1:35" x14ac:dyDescent="0.2">
      <c r="A62" s="182"/>
      <c r="B62" s="4" t="s">
        <v>0</v>
      </c>
      <c r="C62" s="85">
        <f>2*C9</f>
        <v>120</v>
      </c>
      <c r="D62" s="4" t="s">
        <v>8</v>
      </c>
      <c r="E62" s="183">
        <f>[1]Основные!$F$141</f>
        <v>635</v>
      </c>
      <c r="F62" s="379">
        <f t="shared" ref="F62:F69" si="6">E62*C62</f>
        <v>76200</v>
      </c>
      <c r="G62" s="379">
        <f t="shared" ref="G62:G69" si="7">H62*C62</f>
        <v>180</v>
      </c>
      <c r="H62" s="302">
        <v>1.5</v>
      </c>
      <c r="I62" s="229">
        <f>[1]Основные!$F$129</f>
        <v>466</v>
      </c>
      <c r="J62" s="374"/>
      <c r="K62" s="192"/>
      <c r="L62" s="292" t="s">
        <v>160</v>
      </c>
      <c r="M62" s="833">
        <f>[1]Основные!$F$80</f>
        <v>868.24999999999989</v>
      </c>
      <c r="N62" s="834">
        <f>[1]Основные!$F$81</f>
        <v>648.53100000000006</v>
      </c>
      <c r="O62" s="226">
        <v>5.3</v>
      </c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</row>
    <row r="63" spans="1:35" x14ac:dyDescent="0.2">
      <c r="A63" s="182"/>
      <c r="B63" s="166" t="s">
        <v>4</v>
      </c>
      <c r="C63" s="85">
        <f>C61/2</f>
        <v>30</v>
      </c>
      <c r="D63" s="4" t="s">
        <v>10</v>
      </c>
      <c r="E63" s="183">
        <f>[1]Основные!$F$144</f>
        <v>413</v>
      </c>
      <c r="F63" s="379">
        <f t="shared" si="6"/>
        <v>12390</v>
      </c>
      <c r="G63" s="379">
        <f t="shared" si="7"/>
        <v>15</v>
      </c>
      <c r="H63" s="302">
        <v>0.5</v>
      </c>
      <c r="I63" s="229">
        <f>[1]Основные!$F$132</f>
        <v>351</v>
      </c>
      <c r="J63" s="374"/>
      <c r="K63" s="192"/>
      <c r="L63" s="219"/>
      <c r="M63" s="226"/>
      <c r="N63" s="3"/>
      <c r="O63" s="226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</row>
    <row r="64" spans="1:35" x14ac:dyDescent="0.2">
      <c r="A64" s="182"/>
      <c r="B64" s="4" t="s">
        <v>3</v>
      </c>
      <c r="C64" s="85">
        <f>C62/0.7</f>
        <v>171.42857142857144</v>
      </c>
      <c r="D64" s="4" t="s">
        <v>10</v>
      </c>
      <c r="E64" s="183">
        <f>[1]Основные!$F$144</f>
        <v>413</v>
      </c>
      <c r="F64" s="379">
        <f t="shared" si="6"/>
        <v>70800</v>
      </c>
      <c r="G64" s="379">
        <f t="shared" si="7"/>
        <v>85.714285714285722</v>
      </c>
      <c r="H64" s="302">
        <v>0.5</v>
      </c>
      <c r="I64" s="229">
        <f>[1]Основные!$F$132</f>
        <v>351</v>
      </c>
      <c r="J64" s="374"/>
      <c r="K64" s="192"/>
      <c r="L64" s="219" t="s">
        <v>161</v>
      </c>
      <c r="M64" s="836">
        <f>[1]Основные!$F$83</f>
        <v>1265</v>
      </c>
      <c r="N64" s="837">
        <f>[1]Основные!$F$84</f>
        <v>924.61149999999986</v>
      </c>
      <c r="O64" s="226">
        <v>7.4</v>
      </c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</row>
    <row r="65" spans="1:35" x14ac:dyDescent="0.2">
      <c r="A65" s="182"/>
      <c r="B65" s="4" t="s">
        <v>5</v>
      </c>
      <c r="C65" s="85">
        <f>4</f>
        <v>4</v>
      </c>
      <c r="D65" s="4" t="s">
        <v>10</v>
      </c>
      <c r="E65" s="183">
        <f>[1]Основные!$F$145</f>
        <v>146</v>
      </c>
      <c r="F65" s="379">
        <f t="shared" si="6"/>
        <v>584</v>
      </c>
      <c r="G65" s="379">
        <f t="shared" si="7"/>
        <v>2</v>
      </c>
      <c r="H65" s="302">
        <v>0.5</v>
      </c>
      <c r="I65" s="229">
        <f>[1]Основные!$F$134</f>
        <v>129</v>
      </c>
      <c r="J65" s="374"/>
      <c r="K65" s="192"/>
      <c r="L65" s="219"/>
      <c r="M65" s="226"/>
      <c r="N65" s="3"/>
      <c r="O65" s="226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</row>
    <row r="66" spans="1:35" x14ac:dyDescent="0.2">
      <c r="A66" s="182"/>
      <c r="B66" s="4" t="s">
        <v>117</v>
      </c>
      <c r="C66" s="85">
        <f>CEILING(C8*C9/100,2)</f>
        <v>10</v>
      </c>
      <c r="D66" s="4" t="s">
        <v>10</v>
      </c>
      <c r="E66" s="183">
        <f>[1]Основные!$F$143</f>
        <v>495</v>
      </c>
      <c r="F66" s="379">
        <f t="shared" si="6"/>
        <v>4950</v>
      </c>
      <c r="G66" s="379">
        <f t="shared" si="7"/>
        <v>5</v>
      </c>
      <c r="H66" s="302">
        <v>0.5</v>
      </c>
      <c r="I66" s="220">
        <f>[1]Основные!$F$131</f>
        <v>463</v>
      </c>
      <c r="J66" s="374"/>
      <c r="K66" s="192"/>
      <c r="L66" s="219" t="s">
        <v>162</v>
      </c>
      <c r="M66" s="226">
        <f>[7]Источник!$G$56</f>
        <v>0</v>
      </c>
      <c r="N66" s="3">
        <f>[7]Источник!$G$52</f>
        <v>0</v>
      </c>
      <c r="O66" s="226">
        <v>8.8000000000000007</v>
      </c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</row>
    <row r="67" spans="1:35" x14ac:dyDescent="0.2">
      <c r="A67" s="182"/>
      <c r="B67" s="4" t="s">
        <v>118</v>
      </c>
      <c r="C67" s="85">
        <f>2*C66</f>
        <v>20</v>
      </c>
      <c r="D67" s="4" t="s">
        <v>10</v>
      </c>
      <c r="E67" s="183">
        <f>[1]Основные!$F$143</f>
        <v>495</v>
      </c>
      <c r="F67" s="379">
        <f t="shared" si="6"/>
        <v>9900</v>
      </c>
      <c r="G67" s="379">
        <f t="shared" si="7"/>
        <v>10</v>
      </c>
      <c r="H67" s="302">
        <v>0.5</v>
      </c>
      <c r="I67" s="220">
        <f>[1]Основные!$F$131</f>
        <v>463</v>
      </c>
      <c r="J67" s="374"/>
      <c r="K67" s="192"/>
      <c r="L67" s="219"/>
      <c r="M67" s="226"/>
      <c r="N67" s="3"/>
      <c r="O67" s="226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</row>
    <row r="68" spans="1:35" x14ac:dyDescent="0.2">
      <c r="A68" s="182"/>
      <c r="B68" s="4" t="s">
        <v>119</v>
      </c>
      <c r="C68" s="85">
        <f>C62/5</f>
        <v>24</v>
      </c>
      <c r="D68" s="4" t="s">
        <v>10</v>
      </c>
      <c r="E68" s="183">
        <f>[1]Основные!$F$148</f>
        <v>309</v>
      </c>
      <c r="F68" s="379">
        <f t="shared" si="6"/>
        <v>7416</v>
      </c>
      <c r="G68" s="379">
        <f t="shared" si="7"/>
        <v>12</v>
      </c>
      <c r="H68" s="302">
        <v>0.5</v>
      </c>
      <c r="I68" s="220">
        <f>[1]Основные!$F$133</f>
        <v>64</v>
      </c>
      <c r="J68" s="374"/>
      <c r="K68" s="192"/>
      <c r="L68" s="219" t="s">
        <v>163</v>
      </c>
      <c r="M68" s="226">
        <f>[7]Источник!$G$69</f>
        <v>0</v>
      </c>
      <c r="N68" s="3"/>
      <c r="O68" s="226">
        <v>7.4</v>
      </c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</row>
    <row r="69" spans="1:35" ht="13.5" thickBot="1" x14ac:dyDescent="0.25">
      <c r="A69" s="184"/>
      <c r="B69" s="61" t="s">
        <v>6</v>
      </c>
      <c r="C69" s="185">
        <f>C66</f>
        <v>10</v>
      </c>
      <c r="D69" s="44" t="s">
        <v>10</v>
      </c>
      <c r="E69" s="186">
        <f>[1]Основные!$F$146</f>
        <v>408</v>
      </c>
      <c r="F69" s="379">
        <f t="shared" si="6"/>
        <v>4080</v>
      </c>
      <c r="G69" s="379">
        <f t="shared" si="7"/>
        <v>5</v>
      </c>
      <c r="H69" s="302">
        <v>0.5</v>
      </c>
      <c r="I69" s="229">
        <f>[1]Основные!$F$135</f>
        <v>352</v>
      </c>
      <c r="J69" s="374"/>
      <c r="K69" s="192"/>
      <c r="L69" s="219"/>
      <c r="M69" s="226"/>
      <c r="N69" s="3"/>
      <c r="O69" s="226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</row>
    <row r="70" spans="1:35" x14ac:dyDescent="0.2">
      <c r="A70" s="525"/>
      <c r="B70" s="54" t="s">
        <v>72</v>
      </c>
      <c r="C70" s="526">
        <v>0.05</v>
      </c>
      <c r="D70" s="54"/>
      <c r="E70" s="527"/>
      <c r="F70" s="528">
        <f>SUM(F61:F69)*C70</f>
        <v>11836</v>
      </c>
      <c r="G70" s="529"/>
      <c r="H70" s="375"/>
      <c r="I70" s="374"/>
      <c r="J70" s="374"/>
      <c r="K70" s="192"/>
      <c r="L70" s="192"/>
      <c r="M70" s="374"/>
      <c r="N70" s="374"/>
      <c r="O70" s="374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</row>
    <row r="71" spans="1:35" ht="13.5" thickBot="1" x14ac:dyDescent="0.25">
      <c r="A71" s="184"/>
      <c r="B71" s="123" t="s">
        <v>120</v>
      </c>
      <c r="C71" s="530"/>
      <c r="D71" s="44"/>
      <c r="E71" s="531"/>
      <c r="F71" s="118">
        <f>SUM(F61:F70)</f>
        <v>248556</v>
      </c>
      <c r="G71" s="389">
        <f>SUM(G61:G70)</f>
        <v>404.71428571428572</v>
      </c>
      <c r="H71" s="375"/>
      <c r="I71" s="374"/>
      <c r="J71" s="374"/>
      <c r="K71" s="192"/>
      <c r="L71" s="192"/>
      <c r="M71" s="374"/>
      <c r="N71" s="374"/>
      <c r="O71" s="374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</row>
    <row r="72" spans="1:35" ht="13.5" thickBot="1" x14ac:dyDescent="0.25">
      <c r="A72" s="106">
        <v>3</v>
      </c>
      <c r="B72" s="129" t="s">
        <v>84</v>
      </c>
      <c r="C72" s="119"/>
      <c r="D72" s="6"/>
      <c r="E72" s="138"/>
      <c r="F72" s="6"/>
      <c r="G72" s="207"/>
      <c r="H72" s="270"/>
      <c r="I72" s="194"/>
      <c r="J72" s="194"/>
      <c r="K72" s="192"/>
      <c r="L72" s="192"/>
      <c r="M72" s="194"/>
      <c r="N72" s="194"/>
      <c r="O72" s="194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217"/>
      <c r="AA72" s="192"/>
      <c r="AB72" s="192"/>
      <c r="AC72" s="192"/>
      <c r="AD72" s="192"/>
      <c r="AE72" s="192"/>
      <c r="AF72" s="192"/>
      <c r="AG72" s="192"/>
      <c r="AH72" s="192"/>
      <c r="AI72" s="192"/>
    </row>
    <row r="73" spans="1:35" x14ac:dyDescent="0.2">
      <c r="A73" s="114"/>
      <c r="B73" s="54" t="s">
        <v>222</v>
      </c>
      <c r="C73" s="115">
        <f>C9*0.5*1.11</f>
        <v>33.300000000000004</v>
      </c>
      <c r="D73" s="54" t="s">
        <v>33</v>
      </c>
      <c r="E73" s="141">
        <f>[1]Основные!$F$39</f>
        <v>810.15199999999982</v>
      </c>
      <c r="F73" s="381">
        <f t="shared" ref="F73:F74" si="8">C73*E73</f>
        <v>26978.061599999997</v>
      </c>
      <c r="G73" s="416">
        <f>C73*H73</f>
        <v>233.10000000000002</v>
      </c>
      <c r="H73" s="270">
        <v>7</v>
      </c>
      <c r="M73" s="194"/>
      <c r="N73" s="194"/>
      <c r="O73" s="194"/>
      <c r="P73" s="212"/>
      <c r="Q73" s="192"/>
      <c r="R73" s="192"/>
      <c r="S73" s="192"/>
      <c r="T73" s="192"/>
      <c r="U73" s="192"/>
      <c r="V73" s="192"/>
      <c r="W73" s="192"/>
      <c r="X73" s="192"/>
      <c r="Y73" s="192"/>
      <c r="Z73" s="217"/>
      <c r="AA73" s="192"/>
      <c r="AB73" s="192"/>
      <c r="AC73" s="192"/>
      <c r="AD73" s="192"/>
      <c r="AE73" s="192"/>
      <c r="AF73" s="192"/>
      <c r="AG73" s="192"/>
      <c r="AH73" s="192"/>
      <c r="AI73" s="192"/>
    </row>
    <row r="74" spans="1:35" x14ac:dyDescent="0.2">
      <c r="A74" s="116"/>
      <c r="B74" s="4" t="s">
        <v>95</v>
      </c>
      <c r="C74" s="82">
        <f>CEILING(C9/1.9,1)</f>
        <v>32</v>
      </c>
      <c r="D74" s="4" t="s">
        <v>10</v>
      </c>
      <c r="E74" s="132">
        <f>IF(I3=1,K75,J75)</f>
        <v>1903.2499999999998</v>
      </c>
      <c r="F74" s="43">
        <f t="shared" si="8"/>
        <v>60903.999999999993</v>
      </c>
      <c r="G74" s="200">
        <f>C74*H74</f>
        <v>52.48</v>
      </c>
      <c r="H74" s="270">
        <f>L75</f>
        <v>1.64</v>
      </c>
      <c r="I74" s="245" t="s">
        <v>147</v>
      </c>
      <c r="J74" s="243" t="s">
        <v>206</v>
      </c>
      <c r="K74" s="228" t="s">
        <v>207</v>
      </c>
      <c r="L74" s="244" t="s">
        <v>155</v>
      </c>
      <c r="M74" s="374"/>
      <c r="N74" s="374"/>
      <c r="O74" s="194"/>
      <c r="P74" s="212"/>
      <c r="Q74" s="192"/>
      <c r="R74" s="192"/>
      <c r="S74" s="192"/>
      <c r="T74" s="192"/>
      <c r="U74" s="192"/>
      <c r="V74" s="192"/>
      <c r="W74" s="192"/>
      <c r="X74" s="192"/>
      <c r="Y74" s="192"/>
      <c r="Z74" s="217"/>
      <c r="AA74" s="192"/>
      <c r="AB74" s="192"/>
      <c r="AC74" s="192"/>
      <c r="AD74" s="192"/>
      <c r="AE74" s="192"/>
      <c r="AF74" s="192"/>
      <c r="AG74" s="192"/>
      <c r="AH74" s="192"/>
      <c r="AI74" s="192"/>
    </row>
    <row r="75" spans="1:35" x14ac:dyDescent="0.2">
      <c r="A75" s="116"/>
      <c r="B75" s="4" t="s">
        <v>96</v>
      </c>
      <c r="C75" s="131">
        <f>CEILING(2*C8/1.8,1)</f>
        <v>17</v>
      </c>
      <c r="D75" s="4" t="s">
        <v>10</v>
      </c>
      <c r="E75" s="132">
        <f>IF(I3=1,K76,J76)</f>
        <v>919.99999999999989</v>
      </c>
      <c r="F75" s="43">
        <f>C75*E75</f>
        <v>15639.999999999998</v>
      </c>
      <c r="G75" s="200">
        <f t="shared" ref="G75" si="9">C75*H75</f>
        <v>17.510000000000002</v>
      </c>
      <c r="H75" s="270">
        <f>L76</f>
        <v>1.03</v>
      </c>
      <c r="I75" s="232" t="s">
        <v>148</v>
      </c>
      <c r="J75" s="263">
        <f>[1]Основные!$F$110</f>
        <v>1903.2499999999998</v>
      </c>
      <c r="K75" s="264">
        <f>[1]Основные!$F$111</f>
        <v>1575.4999999999998</v>
      </c>
      <c r="L75" s="219">
        <v>1.64</v>
      </c>
      <c r="M75" s="194"/>
      <c r="N75" s="194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</row>
    <row r="76" spans="1:35" x14ac:dyDescent="0.2">
      <c r="A76" s="182" t="str">
        <f>IF(I4=2,"вн.ок","вн.оц")</f>
        <v>вн.оц</v>
      </c>
      <c r="B76" s="4" t="str">
        <f>L55</f>
        <v>МП 20 (0,5)</v>
      </c>
      <c r="C76" s="82">
        <f>C8*C9*1.1</f>
        <v>990.00000000000011</v>
      </c>
      <c r="D76" s="4" t="s">
        <v>33</v>
      </c>
      <c r="E76" s="164">
        <f>M55</f>
        <v>787.74999999999989</v>
      </c>
      <c r="F76" s="43"/>
      <c r="G76" s="200"/>
      <c r="H76" s="273">
        <f>O55</f>
        <v>5.3</v>
      </c>
      <c r="I76" s="232" t="s">
        <v>270</v>
      </c>
      <c r="J76" s="263">
        <f>[1]Основные!$F$113</f>
        <v>919.99999999999989</v>
      </c>
      <c r="K76" s="264">
        <f>[1]Основные!$F$114</f>
        <v>747.49999999999989</v>
      </c>
      <c r="L76" s="219">
        <v>1.03</v>
      </c>
      <c r="M76" s="225"/>
      <c r="N76" s="225"/>
      <c r="O76" s="197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</row>
    <row r="77" spans="1:35" x14ac:dyDescent="0.2">
      <c r="A77" s="182" t="str">
        <f>IF(I3=2,"нар.ок","нар.оц")</f>
        <v>нар.ок</v>
      </c>
      <c r="B77" s="4" t="str">
        <f>L64</f>
        <v>С-44  0,7мм</v>
      </c>
      <c r="C77" s="82">
        <f>(C8+0.6)*(C9+1)*1.1</f>
        <v>1046.7600000000002</v>
      </c>
      <c r="D77" s="4" t="s">
        <v>33</v>
      </c>
      <c r="E77" s="164">
        <f>M64</f>
        <v>1265</v>
      </c>
      <c r="F77" s="43"/>
      <c r="G77" s="200"/>
      <c r="H77" s="270">
        <f>O64</f>
        <v>7.4</v>
      </c>
      <c r="I77" s="232" t="s">
        <v>150</v>
      </c>
      <c r="J77" s="265">
        <f>[1]Основные!$F$100</f>
        <v>736</v>
      </c>
      <c r="K77" s="265" t="e">
        <f>[1]Основные!$F$102</f>
        <v>#N/A</v>
      </c>
      <c r="L77" s="219">
        <v>0.93</v>
      </c>
      <c r="M77" s="194"/>
      <c r="N77" s="194"/>
      <c r="O77" s="194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</row>
    <row r="78" spans="1:35" x14ac:dyDescent="0.2">
      <c r="A78" s="103"/>
      <c r="B78" s="4" t="s">
        <v>111</v>
      </c>
      <c r="C78" s="82">
        <f>IF(I13=1,0,2*C9/1.4)</f>
        <v>0</v>
      </c>
      <c r="D78" s="4" t="s">
        <v>10</v>
      </c>
      <c r="E78" s="132">
        <f>[1]Основные!$F$152</f>
        <v>2071</v>
      </c>
      <c r="F78" s="43">
        <f t="shared" ref="F78" si="10">C78*E78</f>
        <v>0</v>
      </c>
      <c r="G78" s="200">
        <f t="shared" ref="G78" si="11">C78*H78</f>
        <v>0</v>
      </c>
      <c r="H78" s="270">
        <v>4</v>
      </c>
      <c r="I78" s="233" t="s">
        <v>151</v>
      </c>
      <c r="J78" s="265">
        <f>[1]Основные!$F$100</f>
        <v>736</v>
      </c>
      <c r="K78" s="266"/>
      <c r="L78" s="219">
        <v>0.93</v>
      </c>
      <c r="M78" s="194"/>
      <c r="N78" s="194"/>
      <c r="O78" s="194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</row>
    <row r="79" spans="1:35" ht="13.5" thickBot="1" x14ac:dyDescent="0.25">
      <c r="A79" s="532"/>
      <c r="B79" s="493" t="s">
        <v>103</v>
      </c>
      <c r="C79" s="497">
        <f>2*C74</f>
        <v>64</v>
      </c>
      <c r="D79" s="493" t="s">
        <v>10</v>
      </c>
      <c r="E79" s="533">
        <f>[1]Основные!$F$173</f>
        <v>612</v>
      </c>
      <c r="F79" s="43">
        <f t="shared" ref="F79" si="12">C79*E79</f>
        <v>39168</v>
      </c>
      <c r="G79" s="200">
        <f t="shared" ref="G79" si="13">C79*H79</f>
        <v>0</v>
      </c>
      <c r="H79" s="270"/>
      <c r="I79" s="232" t="s">
        <v>152</v>
      </c>
      <c r="J79" s="263">
        <f>J80</f>
        <v>919.99999999999989</v>
      </c>
      <c r="K79" s="265">
        <f>[1]Основные!$F$107</f>
        <v>747.49999999999989</v>
      </c>
      <c r="L79" s="219">
        <v>2.2999999999999998</v>
      </c>
      <c r="M79" s="194"/>
      <c r="N79" s="194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</row>
    <row r="80" spans="1:35" x14ac:dyDescent="0.2">
      <c r="A80" s="111"/>
      <c r="B80" s="54" t="s">
        <v>72</v>
      </c>
      <c r="C80" s="388">
        <v>0.05</v>
      </c>
      <c r="D80" s="63"/>
      <c r="E80" s="63"/>
      <c r="F80" s="535">
        <f>SUM(F73:F79)*C80</f>
        <v>7134.5030799999995</v>
      </c>
      <c r="G80" s="536"/>
      <c r="H80" s="375"/>
      <c r="I80" s="232" t="s">
        <v>153</v>
      </c>
      <c r="J80" s="263">
        <f>[1]Основные!$F$103</f>
        <v>919.99999999999989</v>
      </c>
      <c r="K80" s="265">
        <f>[1]Основные!$F$104</f>
        <v>747.49999999999989</v>
      </c>
      <c r="L80" s="219">
        <v>2.2999999999999998</v>
      </c>
      <c r="M80" s="194"/>
      <c r="N80" s="194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216"/>
      <c r="AF80" s="192"/>
      <c r="AG80" s="192"/>
      <c r="AH80" s="192"/>
      <c r="AI80" s="192"/>
    </row>
    <row r="81" spans="1:35" ht="13.5" thickBot="1" x14ac:dyDescent="0.25">
      <c r="A81" s="79"/>
      <c r="B81" s="123" t="s">
        <v>85</v>
      </c>
      <c r="C81" s="64"/>
      <c r="D81" s="64"/>
      <c r="E81" s="64"/>
      <c r="F81" s="537">
        <f>SUM(F73:F80)</f>
        <v>149824.56467999998</v>
      </c>
      <c r="G81" s="538">
        <f>SUM(G73:G80)</f>
        <v>303.09000000000003</v>
      </c>
      <c r="H81" s="375"/>
      <c r="I81" s="194"/>
      <c r="J81" s="192"/>
      <c r="K81" s="192"/>
      <c r="L81" s="192"/>
      <c r="M81" s="194"/>
      <c r="N81" s="194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</row>
    <row r="82" spans="1:35" ht="13.5" thickBot="1" x14ac:dyDescent="0.25">
      <c r="A82" s="534"/>
      <c r="B82" s="487"/>
      <c r="C82" s="1050" t="s">
        <v>46</v>
      </c>
      <c r="D82" s="1050"/>
      <c r="E82" s="1050"/>
      <c r="F82" s="489">
        <f>F32+F44+F81+F59+F71+F54</f>
        <v>2957780.3362789741</v>
      </c>
      <c r="G82" s="490">
        <f>G32+G44+G81+G59+G71+G54</f>
        <v>14404.582575405397</v>
      </c>
      <c r="H82" s="270"/>
      <c r="I82" s="374"/>
      <c r="J82" s="374"/>
      <c r="K82" s="192"/>
      <c r="L82" s="192"/>
      <c r="M82" s="374"/>
      <c r="N82" s="374"/>
      <c r="O82" s="374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</row>
    <row r="83" spans="1:35" ht="13.5" thickBot="1" x14ac:dyDescent="0.25">
      <c r="A83" s="1035" t="s">
        <v>47</v>
      </c>
      <c r="B83" s="1036"/>
      <c r="C83" s="1036"/>
      <c r="D83" s="1036"/>
      <c r="E83" s="1036"/>
      <c r="F83" s="1036"/>
      <c r="G83" s="1036"/>
      <c r="H83" s="270"/>
      <c r="I83" s="194"/>
      <c r="J83" s="192"/>
      <c r="K83" s="212"/>
      <c r="L83" s="192"/>
      <c r="M83" s="194"/>
      <c r="N83" s="194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</row>
    <row r="84" spans="1:35" ht="13.5" thickBot="1" x14ac:dyDescent="0.25">
      <c r="A84" s="101">
        <v>1</v>
      </c>
      <c r="B84" s="86" t="s">
        <v>80</v>
      </c>
      <c r="C84" s="86"/>
      <c r="D84" s="86"/>
      <c r="E84" s="86"/>
      <c r="F84" s="86"/>
      <c r="G84" s="86"/>
      <c r="H84" s="270"/>
      <c r="I84" s="235" t="s">
        <v>164</v>
      </c>
      <c r="J84" s="219" t="s">
        <v>208</v>
      </c>
      <c r="K84" s="212"/>
      <c r="L84" s="192"/>
      <c r="M84" s="417" t="s">
        <v>224</v>
      </c>
      <c r="N84" s="374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</row>
    <row r="85" spans="1:35" x14ac:dyDescent="0.2">
      <c r="A85" s="102"/>
      <c r="B85" s="77" t="s">
        <v>44</v>
      </c>
      <c r="C85" s="81">
        <f>K90*614</f>
        <v>6754</v>
      </c>
      <c r="D85" s="54" t="s">
        <v>10</v>
      </c>
      <c r="E85" s="96">
        <f>[1]Основные!$F$430</f>
        <v>1.6214999999999997</v>
      </c>
      <c r="F85" s="100">
        <f>C85*E85</f>
        <v>10951.610999999999</v>
      </c>
      <c r="G85" s="304">
        <f>C85*H85</f>
        <v>29.042200000000001</v>
      </c>
      <c r="H85" s="270">
        <v>4.3E-3</v>
      </c>
      <c r="I85" s="226" t="s">
        <v>175</v>
      </c>
      <c r="J85" s="219">
        <f>9.6/1000</f>
        <v>9.5999999999999992E-3</v>
      </c>
      <c r="K85" s="212"/>
      <c r="L85" s="192"/>
      <c r="M85" s="417">
        <f>C9</f>
        <v>60</v>
      </c>
      <c r="N85" s="194"/>
      <c r="O85" s="192"/>
      <c r="P85" s="418" t="s">
        <v>176</v>
      </c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</row>
    <row r="86" spans="1:35" x14ac:dyDescent="0.2">
      <c r="A86" s="103"/>
      <c r="B86" s="4" t="s">
        <v>77</v>
      </c>
      <c r="C86" s="11">
        <f>(C9+C8)*2/0.5+1</f>
        <v>301</v>
      </c>
      <c r="D86" s="4" t="s">
        <v>10</v>
      </c>
      <c r="E86" s="142">
        <f>[1]Основные!$F$427</f>
        <v>4.1284999999999998</v>
      </c>
      <c r="F86" s="99">
        <f>C86*E86</f>
        <v>1242.6785</v>
      </c>
      <c r="G86" s="305">
        <f>H86*C86</f>
        <v>1.4447999999999999</v>
      </c>
      <c r="H86" s="270">
        <v>4.7999999999999996E-3</v>
      </c>
      <c r="I86" s="226" t="s">
        <v>165</v>
      </c>
      <c r="J86" s="219">
        <f>14.57/1000</f>
        <v>1.457E-2</v>
      </c>
      <c r="K86" s="212" t="s">
        <v>194</v>
      </c>
      <c r="L86" s="192"/>
      <c r="M86" s="417" t="s">
        <v>271</v>
      </c>
      <c r="N86" s="194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</row>
    <row r="87" spans="1:35" x14ac:dyDescent="0.2">
      <c r="A87" s="103"/>
      <c r="B87" s="3" t="s">
        <v>76</v>
      </c>
      <c r="C87" s="83">
        <f>16*K90</f>
        <v>176</v>
      </c>
      <c r="D87" s="4" t="s">
        <v>10</v>
      </c>
      <c r="E87" s="142">
        <f>[1]Перекупные!$F$54</f>
        <v>12.879999999999999</v>
      </c>
      <c r="F87" s="99">
        <f t="shared" ref="F87:F98" si="14">C87*E87</f>
        <v>2266.8799999999997</v>
      </c>
      <c r="G87" s="305">
        <f t="shared" ref="G87:G95" si="15">H87*C87</f>
        <v>8.8000000000000007</v>
      </c>
      <c r="H87" s="270">
        <v>0.05</v>
      </c>
      <c r="I87" s="419" t="s">
        <v>166</v>
      </c>
      <c r="J87" s="219">
        <f>0.02433</f>
        <v>2.4330000000000001E-2</v>
      </c>
      <c r="K87" s="219">
        <v>0.29799999999999999</v>
      </c>
      <c r="L87" s="192" t="s">
        <v>9</v>
      </c>
      <c r="M87" s="417">
        <f>C8</f>
        <v>15</v>
      </c>
      <c r="N87" s="374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</row>
    <row r="88" spans="1:35" x14ac:dyDescent="0.2">
      <c r="A88" s="103"/>
      <c r="B88" s="4" t="s">
        <v>11</v>
      </c>
      <c r="C88" s="82">
        <f>C87</f>
        <v>176</v>
      </c>
      <c r="D88" s="4" t="s">
        <v>10</v>
      </c>
      <c r="E88" s="142">
        <f>[1]Перекупные!$F$55</f>
        <v>4.2549999999999999</v>
      </c>
      <c r="F88" s="99">
        <f t="shared" si="14"/>
        <v>748.88</v>
      </c>
      <c r="G88" s="305">
        <f t="shared" si="15"/>
        <v>2.8159999999999998</v>
      </c>
      <c r="H88" s="270">
        <v>1.6E-2</v>
      </c>
      <c r="I88" s="226" t="s">
        <v>279</v>
      </c>
      <c r="J88" s="219">
        <v>2.7470000000000001E-2</v>
      </c>
      <c r="K88" s="192"/>
      <c r="L88" s="192"/>
      <c r="M88" s="417" t="s">
        <v>217</v>
      </c>
      <c r="N88" s="374"/>
      <c r="O88" s="192"/>
      <c r="P88" s="234">
        <f>SQRT(O90*O90+P91*P91)</f>
        <v>6.7082039324993694</v>
      </c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</row>
    <row r="89" spans="1:35" x14ac:dyDescent="0.2">
      <c r="A89" s="103"/>
      <c r="B89" s="4" t="s">
        <v>12</v>
      </c>
      <c r="C89" s="82">
        <f>C87</f>
        <v>176</v>
      </c>
      <c r="D89" s="4" t="s">
        <v>10</v>
      </c>
      <c r="E89" s="142">
        <f>[1]Перекупные!$F$56</f>
        <v>1.0349999999999999</v>
      </c>
      <c r="F89" s="99">
        <f t="shared" si="14"/>
        <v>182.16</v>
      </c>
      <c r="G89" s="305">
        <f t="shared" si="15"/>
        <v>0.88</v>
      </c>
      <c r="H89" s="270">
        <v>5.0000000000000001E-3</v>
      </c>
      <c r="I89" s="235" t="s">
        <v>167</v>
      </c>
      <c r="J89" s="226"/>
      <c r="K89" s="221" t="s">
        <v>193</v>
      </c>
      <c r="L89" s="192"/>
      <c r="M89" s="417">
        <f>C11</f>
        <v>6</v>
      </c>
      <c r="N89" s="374"/>
      <c r="O89" s="374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</row>
    <row r="90" spans="1:35" x14ac:dyDescent="0.2">
      <c r="A90" s="103"/>
      <c r="B90" s="4"/>
      <c r="C90" s="82"/>
      <c r="D90" s="4"/>
      <c r="E90" s="142"/>
      <c r="F90" s="99"/>
      <c r="G90" s="305"/>
      <c r="H90" s="270">
        <v>0.19</v>
      </c>
      <c r="I90" s="419" t="s">
        <v>169</v>
      </c>
      <c r="J90" s="219">
        <f>4.81/1000</f>
        <v>4.81E-3</v>
      </c>
      <c r="K90" s="292">
        <f>I17</f>
        <v>11</v>
      </c>
      <c r="L90" s="192" t="s">
        <v>43</v>
      </c>
      <c r="M90" s="417" t="s">
        <v>216</v>
      </c>
      <c r="N90" s="374"/>
      <c r="O90" s="374">
        <v>3</v>
      </c>
      <c r="P90" s="21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</row>
    <row r="91" spans="1:35" x14ac:dyDescent="0.2">
      <c r="A91" s="103"/>
      <c r="B91" s="4"/>
      <c r="C91" s="83"/>
      <c r="D91" s="4"/>
      <c r="E91" s="142"/>
      <c r="F91" s="99"/>
      <c r="G91" s="305"/>
      <c r="H91" s="270">
        <v>7.0999999999999994E-2</v>
      </c>
      <c r="I91" s="226" t="s">
        <v>168</v>
      </c>
      <c r="J91" s="219">
        <f>5.8/1000</f>
        <v>5.7999999999999996E-3</v>
      </c>
      <c r="K91" s="192"/>
      <c r="L91" s="192"/>
      <c r="M91" s="417">
        <f>C10</f>
        <v>6</v>
      </c>
      <c r="N91" s="374"/>
      <c r="O91" s="192"/>
      <c r="P91" s="374">
        <f>C11</f>
        <v>6</v>
      </c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</row>
    <row r="92" spans="1:35" x14ac:dyDescent="0.2">
      <c r="A92" s="103"/>
      <c r="B92" s="4"/>
      <c r="C92" s="83"/>
      <c r="D92" s="4"/>
      <c r="E92" s="142"/>
      <c r="F92" s="99"/>
      <c r="G92" s="305"/>
      <c r="H92" s="270">
        <v>1.6E-2</v>
      </c>
      <c r="I92" s="226" t="s">
        <v>173</v>
      </c>
      <c r="J92" s="219">
        <f>7.4/1000</f>
        <v>7.4000000000000003E-3</v>
      </c>
      <c r="N92" s="374"/>
      <c r="O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</row>
    <row r="93" spans="1:35" x14ac:dyDescent="0.2">
      <c r="A93" s="103"/>
      <c r="B93" s="4" t="s">
        <v>74</v>
      </c>
      <c r="C93" s="82">
        <f>K90*M96</f>
        <v>5456</v>
      </c>
      <c r="D93" s="4" t="s">
        <v>10</v>
      </c>
      <c r="E93" s="142">
        <f>[1]Перекупные!$F$62</f>
        <v>30.015000000000001</v>
      </c>
      <c r="F93" s="99">
        <f t="shared" si="14"/>
        <v>163761.84</v>
      </c>
      <c r="G93" s="305">
        <f t="shared" si="15"/>
        <v>654.72</v>
      </c>
      <c r="H93" s="270">
        <v>0.12</v>
      </c>
      <c r="I93" s="226" t="s">
        <v>170</v>
      </c>
      <c r="J93" s="219">
        <f>8.4/1000</f>
        <v>8.4000000000000012E-3</v>
      </c>
      <c r="M93" s="374"/>
      <c r="N93" s="374"/>
      <c r="O93" s="374">
        <v>4.5</v>
      </c>
      <c r="P93" s="234">
        <f>SQRT(O93*O93+P96*P96)</f>
        <v>7.5</v>
      </c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</row>
    <row r="94" spans="1:35" x14ac:dyDescent="0.2">
      <c r="A94" s="103"/>
      <c r="B94" s="4" t="s">
        <v>75</v>
      </c>
      <c r="C94" s="82">
        <f>C93</f>
        <v>5456</v>
      </c>
      <c r="D94" s="4" t="s">
        <v>10</v>
      </c>
      <c r="E94" s="142">
        <f>[1]Перекупные!$F$63</f>
        <v>10.637499999999999</v>
      </c>
      <c r="F94" s="99">
        <f t="shared" si="14"/>
        <v>58038.2</v>
      </c>
      <c r="G94" s="305">
        <f t="shared" si="15"/>
        <v>201.87199999999999</v>
      </c>
      <c r="H94" s="270">
        <v>3.6999999999999998E-2</v>
      </c>
      <c r="I94" s="420" t="s">
        <v>171</v>
      </c>
      <c r="J94" s="219">
        <f>10.79/1000</f>
        <v>1.0789999999999999E-2</v>
      </c>
      <c r="K94" s="221" t="s">
        <v>192</v>
      </c>
      <c r="L94" s="192"/>
      <c r="M94" s="374"/>
      <c r="N94" s="246" t="s">
        <v>350</v>
      </c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</row>
    <row r="95" spans="1:35" x14ac:dyDescent="0.2">
      <c r="A95" s="103"/>
      <c r="B95" s="4" t="s">
        <v>272</v>
      </c>
      <c r="C95" s="82">
        <f>C93</f>
        <v>5456</v>
      </c>
      <c r="D95" s="4" t="s">
        <v>10</v>
      </c>
      <c r="E95" s="142">
        <f>[1]Перекупные!$F$64</f>
        <v>2.9899999999999998</v>
      </c>
      <c r="F95" s="99">
        <f t="shared" si="14"/>
        <v>16313.439999999999</v>
      </c>
      <c r="G95" s="305">
        <f t="shared" si="15"/>
        <v>60.015999999999998</v>
      </c>
      <c r="H95" s="270">
        <v>1.0999999999999999E-2</v>
      </c>
      <c r="I95" s="226" t="s">
        <v>172</v>
      </c>
      <c r="J95" s="219">
        <f>11.89/1000</f>
        <v>1.1890000000000001E-2</v>
      </c>
      <c r="K95" s="297">
        <v>0</v>
      </c>
      <c r="L95" s="192" t="s">
        <v>43</v>
      </c>
      <c r="M95" s="374"/>
      <c r="N95" s="374">
        <v>3</v>
      </c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</row>
    <row r="96" spans="1:35" x14ac:dyDescent="0.2">
      <c r="A96" s="103"/>
      <c r="B96" s="4" t="s">
        <v>88</v>
      </c>
      <c r="C96" s="930">
        <f>(4*(M91+0.5)*J87+0.3*1+J85*K95*M85)*1.05+L148*J85</f>
        <v>0.979209</v>
      </c>
      <c r="D96" s="4" t="s">
        <v>9</v>
      </c>
      <c r="E96" s="142">
        <v>129600</v>
      </c>
      <c r="F96" s="99">
        <f t="shared" si="14"/>
        <v>126905.48639999999</v>
      </c>
      <c r="G96" s="305">
        <f>H96*C96</f>
        <v>979.20899999999995</v>
      </c>
      <c r="H96" s="270">
        <v>1000</v>
      </c>
      <c r="I96" s="226" t="s">
        <v>174</v>
      </c>
      <c r="J96" s="219">
        <f>15.5/1000</f>
        <v>1.55E-2</v>
      </c>
      <c r="K96" s="192"/>
      <c r="L96" s="809" t="s">
        <v>368</v>
      </c>
      <c r="M96" s="884">
        <f>IF(K95=0,(344+20+(C9/C11+1)*4*N95),(344+20+(C9/C11+1)*4*K95))</f>
        <v>496</v>
      </c>
      <c r="N96" s="374"/>
      <c r="O96" s="192"/>
      <c r="P96" s="374">
        <f>C11</f>
        <v>6</v>
      </c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</row>
    <row r="97" spans="1:35" ht="13.5" thickBot="1" x14ac:dyDescent="0.25">
      <c r="A97" s="307">
        <f>C96+C97+C98</f>
        <v>10.27644128692447</v>
      </c>
      <c r="B97" s="4" t="s">
        <v>106</v>
      </c>
      <c r="C97" s="303">
        <f>((K90-2)*(M87+2)*2*J90+(2*3*2)*P93*J94+(2*3*2)*P88*J97+(4*2)*P100*J97)*1.1</f>
        <v>5.8553322869244706</v>
      </c>
      <c r="D97" s="4" t="s">
        <v>9</v>
      </c>
      <c r="E97" s="142">
        <v>132000</v>
      </c>
      <c r="F97" s="99">
        <f t="shared" si="14"/>
        <v>772903.86187403009</v>
      </c>
      <c r="G97" s="305">
        <f>H97*C97</f>
        <v>5855.3322869244703</v>
      </c>
      <c r="H97" s="270">
        <v>1000</v>
      </c>
      <c r="I97" s="420" t="s">
        <v>209</v>
      </c>
      <c r="J97" s="796">
        <f>19.41/1000</f>
        <v>1.941E-2</v>
      </c>
      <c r="K97" s="192"/>
      <c r="L97" s="192"/>
      <c r="M97" s="374"/>
      <c r="N97" s="374"/>
      <c r="O97" s="421"/>
      <c r="P97" s="421"/>
      <c r="Q97" s="421"/>
      <c r="R97" s="421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</row>
    <row r="98" spans="1:35" ht="13.5" thickBot="1" x14ac:dyDescent="0.25">
      <c r="A98" s="532"/>
      <c r="B98" s="493" t="s">
        <v>107</v>
      </c>
      <c r="C98" s="539">
        <f>K87*K90*1.05</f>
        <v>3.4419</v>
      </c>
      <c r="D98" s="540" t="s">
        <v>9</v>
      </c>
      <c r="E98" s="541">
        <v>132960</v>
      </c>
      <c r="F98" s="542">
        <f t="shared" si="14"/>
        <v>457635.02399999998</v>
      </c>
      <c r="G98" s="543">
        <f>H98*C98</f>
        <v>3441.9</v>
      </c>
      <c r="H98" s="270">
        <v>1000</v>
      </c>
      <c r="I98" s="374"/>
      <c r="J98" s="873">
        <f>[1]Перекупные!$F$6</f>
        <v>167900</v>
      </c>
      <c r="K98" s="873">
        <f>[1]Перекупные!$F$12</f>
        <v>179400</v>
      </c>
      <c r="L98" s="192"/>
      <c r="M98" s="374"/>
      <c r="N98" s="374"/>
      <c r="O98" s="192"/>
      <c r="P98" s="418" t="s">
        <v>177</v>
      </c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</row>
    <row r="99" spans="1:35" x14ac:dyDescent="0.2">
      <c r="A99" s="111"/>
      <c r="B99" s="544" t="s">
        <v>72</v>
      </c>
      <c r="C99" s="545">
        <v>0.05</v>
      </c>
      <c r="D99" s="63"/>
      <c r="E99" s="546"/>
      <c r="F99" s="547">
        <f>SUM(F85:F98)*C99</f>
        <v>80547.503088701516</v>
      </c>
      <c r="G99" s="536"/>
      <c r="H99" s="375"/>
      <c r="I99" s="374">
        <f>A97/C8/C9</f>
        <v>1.1418268096582746E-2</v>
      </c>
      <c r="J99" s="873">
        <f>[1]Перекупные!$F$7</f>
        <v>172500</v>
      </c>
      <c r="K99" s="873">
        <f>[1]Перекупные!$F$13</f>
        <v>183430</v>
      </c>
      <c r="L99" s="192"/>
      <c r="M99" s="374"/>
      <c r="N99" s="374"/>
      <c r="O99" s="192"/>
      <c r="P99" s="218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</row>
    <row r="100" spans="1:35" ht="13.5" thickBot="1" x14ac:dyDescent="0.25">
      <c r="A100" s="79"/>
      <c r="B100" s="123" t="s">
        <v>81</v>
      </c>
      <c r="C100" s="64"/>
      <c r="D100" s="64"/>
      <c r="E100" s="104"/>
      <c r="F100" s="105">
        <f>SUM(F85:F99)</f>
        <v>1691497.5648627316</v>
      </c>
      <c r="G100" s="548">
        <f>SUM(G85:G99)</f>
        <v>11236.03228692447</v>
      </c>
      <c r="H100" s="375"/>
      <c r="I100" s="374"/>
      <c r="J100" s="873">
        <f>[1]Перекупные!$F$4</f>
        <v>164890</v>
      </c>
      <c r="K100" s="874">
        <f>[1]Перекупные!$F$10</f>
        <v>173650</v>
      </c>
      <c r="L100" s="192"/>
      <c r="M100" s="374"/>
      <c r="N100" s="374"/>
      <c r="O100" s="192">
        <f>C10</f>
        <v>6</v>
      </c>
      <c r="P100" s="234">
        <f>SQRT(O100*O100+P102*P102)</f>
        <v>8.4852813742385695</v>
      </c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</row>
    <row r="101" spans="1:35" ht="13.5" thickBot="1" x14ac:dyDescent="0.25">
      <c r="A101" s="401">
        <v>2</v>
      </c>
      <c r="B101" s="402" t="s">
        <v>86</v>
      </c>
      <c r="C101" s="403"/>
      <c r="D101" s="403"/>
      <c r="E101" s="404"/>
      <c r="F101" s="405"/>
      <c r="G101" s="406"/>
      <c r="H101" s="375"/>
      <c r="I101" s="865">
        <f>C11</f>
        <v>6</v>
      </c>
      <c r="J101" s="872" t="s">
        <v>361</v>
      </c>
      <c r="K101" s="192"/>
      <c r="L101" s="192"/>
      <c r="M101" s="374"/>
      <c r="N101" s="374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</row>
    <row r="102" spans="1:35" x14ac:dyDescent="0.2">
      <c r="A102" s="399"/>
      <c r="B102" s="577" t="str">
        <f>L113</f>
        <v>СП 100</v>
      </c>
      <c r="C102" s="578">
        <f>(2*(C8+C9)*(C10+0.5)+C8*2)*1.05</f>
        <v>1055.25</v>
      </c>
      <c r="D102" s="579" t="s">
        <v>33</v>
      </c>
      <c r="E102" s="580">
        <f>M113</f>
        <v>4185.5</v>
      </c>
      <c r="F102" s="174">
        <f>E102*C102</f>
        <v>4416748.875</v>
      </c>
      <c r="G102" s="516">
        <f>H102*C102</f>
        <v>21210.525000000001</v>
      </c>
      <c r="H102" s="375">
        <f>O113</f>
        <v>20.100000000000001</v>
      </c>
      <c r="I102" s="226"/>
      <c r="J102" s="244" t="s">
        <v>196</v>
      </c>
      <c r="K102" s="244" t="s">
        <v>195</v>
      </c>
      <c r="L102" s="192"/>
      <c r="M102" s="374"/>
      <c r="N102" s="374"/>
      <c r="O102" s="192"/>
      <c r="P102" s="374">
        <f>C11</f>
        <v>6</v>
      </c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</row>
    <row r="103" spans="1:35" x14ac:dyDescent="0.2">
      <c r="A103" s="393"/>
      <c r="B103" s="568" t="str">
        <f>L119</f>
        <v>с\з 5,5х140</v>
      </c>
      <c r="C103" s="11">
        <f>C102/I101*6*1.1</f>
        <v>1160.7750000000001</v>
      </c>
      <c r="D103" s="4" t="s">
        <v>10</v>
      </c>
      <c r="E103" s="142">
        <f>M119</f>
        <v>51.9</v>
      </c>
      <c r="F103" s="99">
        <f>E103*C103</f>
        <v>60244.222500000003</v>
      </c>
      <c r="G103" s="291">
        <f>H103*C103</f>
        <v>34.823250000000002</v>
      </c>
      <c r="H103" s="375">
        <v>0.03</v>
      </c>
      <c r="I103" s="226"/>
      <c r="J103" s="484"/>
      <c r="K103" s="484"/>
      <c r="L103" s="192"/>
      <c r="M103" s="469"/>
      <c r="N103" s="469"/>
      <c r="O103" s="192"/>
      <c r="P103" s="469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</row>
    <row r="104" spans="1:35" x14ac:dyDescent="0.2">
      <c r="A104" s="875"/>
      <c r="B104" s="577" t="s">
        <v>362</v>
      </c>
      <c r="C104" s="85">
        <f>C102/I101*(I101+1)*1.1*2</f>
        <v>2708.4750000000004</v>
      </c>
      <c r="D104" s="3" t="s">
        <v>363</v>
      </c>
      <c r="E104" s="168">
        <f>[1]Перекупные!$F$85</f>
        <v>63.249999999999993</v>
      </c>
      <c r="F104" s="400">
        <f>C104*E104</f>
        <v>171311.04375000001</v>
      </c>
      <c r="G104" s="305">
        <f>C104*H104</f>
        <v>0</v>
      </c>
      <c r="H104" s="862"/>
      <c r="I104" s="226"/>
      <c r="J104" s="484"/>
      <c r="K104" s="484"/>
      <c r="L104" s="192"/>
      <c r="M104" s="870"/>
      <c r="N104" s="870"/>
      <c r="O104" s="192"/>
      <c r="P104" s="870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</row>
    <row r="105" spans="1:35" x14ac:dyDescent="0.2">
      <c r="A105" s="424"/>
      <c r="B105" s="9" t="s">
        <v>108</v>
      </c>
      <c r="C105" s="425">
        <f>IF(G9=4,K90*(12.5+2*C10)*0.2,0)</f>
        <v>0</v>
      </c>
      <c r="D105" s="9" t="s">
        <v>33</v>
      </c>
      <c r="E105" s="426">
        <f>[1]Основные!$F$38</f>
        <v>1786.4</v>
      </c>
      <c r="F105" s="99">
        <f t="shared" ref="F105" si="16">C105*E105</f>
        <v>0</v>
      </c>
      <c r="G105" s="291">
        <f t="shared" ref="G105" si="17">C105*H105</f>
        <v>0</v>
      </c>
      <c r="H105" s="270">
        <v>14</v>
      </c>
      <c r="I105" s="4" t="s">
        <v>45</v>
      </c>
      <c r="J105" s="267">
        <f>[1]Основные!$F$425</f>
        <v>2.3459999999999996</v>
      </c>
      <c r="K105" s="267">
        <f>[1]Основные!$F$426</f>
        <v>1.8974999999999997</v>
      </c>
      <c r="L105" s="192"/>
      <c r="M105" s="374"/>
      <c r="N105" s="374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</row>
    <row r="106" spans="1:35" x14ac:dyDescent="0.2">
      <c r="A106" s="103"/>
      <c r="B106" s="470" t="s">
        <v>101</v>
      </c>
      <c r="C106" s="84">
        <f>(C8+C9)*2*C10</f>
        <v>900</v>
      </c>
      <c r="D106" s="80" t="s">
        <v>33</v>
      </c>
      <c r="E106" s="143">
        <f>[1]Перекупные!$F$25</f>
        <v>280.59999999999997</v>
      </c>
      <c r="F106" s="99"/>
      <c r="G106" s="291"/>
      <c r="H106" s="270">
        <v>10</v>
      </c>
      <c r="I106" s="213"/>
      <c r="J106" s="244">
        <v>5</v>
      </c>
      <c r="K106" s="268" t="s">
        <v>197</v>
      </c>
      <c r="L106" s="244">
        <v>2</v>
      </c>
      <c r="M106" s="192"/>
      <c r="N106" s="213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</row>
    <row r="107" spans="1:35" x14ac:dyDescent="0.2">
      <c r="A107" s="103"/>
      <c r="B107" s="471" t="s">
        <v>102</v>
      </c>
      <c r="C107" s="84">
        <f>20*C106</f>
        <v>18000</v>
      </c>
      <c r="D107" s="80" t="s">
        <v>10</v>
      </c>
      <c r="E107" s="143">
        <f>[1]Перекупные!$F$29</f>
        <v>0.91999999999999993</v>
      </c>
      <c r="F107" s="99"/>
      <c r="G107" s="291"/>
      <c r="H107" s="270">
        <v>3.0000000000000001E-3</v>
      </c>
      <c r="I107" s="12" t="s">
        <v>89</v>
      </c>
      <c r="J107" s="258">
        <f>[1]Основные!$F$158</f>
        <v>3450</v>
      </c>
      <c r="K107" s="258">
        <f>[1]Основные!$F$162</f>
        <v>4150</v>
      </c>
      <c r="L107" s="258">
        <f>[1]Основные!$F$160</f>
        <v>4650</v>
      </c>
      <c r="M107" s="192"/>
      <c r="N107" s="213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</row>
    <row r="108" spans="1:35" x14ac:dyDescent="0.2">
      <c r="B108" s="819" t="s">
        <v>223</v>
      </c>
      <c r="C108" s="84">
        <f>C106/0.6</f>
        <v>1500</v>
      </c>
      <c r="D108" s="80" t="s">
        <v>8</v>
      </c>
      <c r="E108" s="143">
        <f>[1]Перекупные!$F$79</f>
        <v>241.5</v>
      </c>
      <c r="F108" s="99"/>
      <c r="G108" s="291"/>
      <c r="H108" s="270">
        <v>0.7</v>
      </c>
      <c r="I108" s="213"/>
      <c r="J108" s="427">
        <f>[1]Основные!$F$161</f>
        <v>4140</v>
      </c>
      <c r="K108" s="192"/>
      <c r="L108" s="192"/>
      <c r="M108" s="192"/>
      <c r="N108" s="213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</row>
    <row r="109" spans="1:35" s="317" customFormat="1" x14ac:dyDescent="0.2">
      <c r="A109" s="466"/>
      <c r="B109" s="166" t="s">
        <v>45</v>
      </c>
      <c r="C109" s="656">
        <f>8*(C40+C42)</f>
        <v>16632.000000000004</v>
      </c>
      <c r="D109" s="363" t="s">
        <v>10</v>
      </c>
      <c r="E109" s="916">
        <f>J105</f>
        <v>2.3459999999999996</v>
      </c>
      <c r="F109" s="657"/>
      <c r="G109" s="291"/>
      <c r="H109" s="328">
        <f>H130</f>
        <v>2E-3</v>
      </c>
      <c r="I109" s="669"/>
      <c r="J109" s="920"/>
      <c r="K109" s="297"/>
      <c r="L109" s="297"/>
      <c r="M109" s="297"/>
      <c r="N109" s="669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</row>
    <row r="110" spans="1:35" s="317" customFormat="1" x14ac:dyDescent="0.2">
      <c r="A110" s="466"/>
      <c r="B110" s="166" t="s">
        <v>241</v>
      </c>
      <c r="C110" s="668">
        <f>E15/1000*((C8*2+C9*2)*(C10+0.5)+C8*2.5)*1.05</f>
        <v>106.3125</v>
      </c>
      <c r="D110" s="363" t="s">
        <v>48</v>
      </c>
      <c r="E110" s="916">
        <f>J108</f>
        <v>4140</v>
      </c>
      <c r="F110" s="657"/>
      <c r="G110" s="291"/>
      <c r="H110" s="328">
        <v>20</v>
      </c>
      <c r="I110" s="669"/>
      <c r="J110" s="920"/>
      <c r="K110" s="297"/>
      <c r="L110" s="297"/>
      <c r="M110" s="297"/>
      <c r="N110" s="669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</row>
    <row r="111" spans="1:35" s="317" customFormat="1" x14ac:dyDescent="0.2">
      <c r="A111" s="921"/>
      <c r="B111" s="520" t="s">
        <v>104</v>
      </c>
      <c r="C111" s="672">
        <f>(C8+C9)*2*(C10+0.5)*1.25</f>
        <v>1218.75</v>
      </c>
      <c r="D111" s="363" t="s">
        <v>33</v>
      </c>
      <c r="E111" s="917">
        <f>[1]Основные!$F$169</f>
        <v>42</v>
      </c>
      <c r="F111" s="657"/>
      <c r="G111" s="291"/>
      <c r="H111" s="328">
        <v>0.2</v>
      </c>
      <c r="I111" s="669"/>
      <c r="J111" s="297"/>
      <c r="K111" s="297"/>
      <c r="L111" s="466"/>
      <c r="M111" s="325" t="s">
        <v>82</v>
      </c>
      <c r="N111" s="325" t="s">
        <v>84</v>
      </c>
      <c r="O111" s="266" t="s">
        <v>255</v>
      </c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</row>
    <row r="112" spans="1:35" s="317" customFormat="1" ht="13.5" thickBot="1" x14ac:dyDescent="0.25">
      <c r="A112" s="922"/>
      <c r="B112" s="747" t="s">
        <v>105</v>
      </c>
      <c r="C112" s="918">
        <f>C111</f>
        <v>1218.75</v>
      </c>
      <c r="D112" s="747" t="s">
        <v>33</v>
      </c>
      <c r="E112" s="919">
        <f>[1]Основные!$F$168</f>
        <v>89.14</v>
      </c>
      <c r="F112" s="657"/>
      <c r="G112" s="291"/>
      <c r="H112" s="328">
        <v>0.2</v>
      </c>
      <c r="I112" s="669"/>
      <c r="J112" s="297"/>
      <c r="K112" s="297"/>
      <c r="L112" s="923" t="s">
        <v>249</v>
      </c>
      <c r="M112" s="325">
        <f>[1]СП!$B$4</f>
        <v>4048.0000000000005</v>
      </c>
      <c r="N112" s="266">
        <f>[1]СП!$C$4</f>
        <v>2920</v>
      </c>
      <c r="O112" s="266">
        <f>[1]СП!$D$4</f>
        <v>18.2</v>
      </c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</row>
    <row r="113" spans="1:35" s="317" customFormat="1" x14ac:dyDescent="0.2">
      <c r="A113" s="676"/>
      <c r="B113" s="171" t="s">
        <v>72</v>
      </c>
      <c r="C113" s="545">
        <v>0.05</v>
      </c>
      <c r="D113" s="677"/>
      <c r="E113" s="924"/>
      <c r="F113" s="925">
        <f>SUM(F102:F112)*C113</f>
        <v>232415.20706250003</v>
      </c>
      <c r="G113" s="926"/>
      <c r="H113" s="376"/>
      <c r="I113" s="669"/>
      <c r="J113" s="297"/>
      <c r="K113" s="297"/>
      <c r="L113" s="923" t="s">
        <v>250</v>
      </c>
      <c r="M113" s="325">
        <f>[1]СП!$B$5</f>
        <v>4185.5</v>
      </c>
      <c r="N113" s="266">
        <f>[1]СП!$C$5</f>
        <v>4471.5</v>
      </c>
      <c r="O113" s="266">
        <f>[1]СП!$D$5</f>
        <v>20.100000000000001</v>
      </c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</row>
    <row r="114" spans="1:35" ht="13.5" thickBot="1" x14ac:dyDescent="0.25">
      <c r="A114" s="79"/>
      <c r="B114" s="123" t="s">
        <v>87</v>
      </c>
      <c r="C114" s="64"/>
      <c r="D114" s="64"/>
      <c r="E114" s="104"/>
      <c r="F114" s="105">
        <f>SUM(F102:F113)</f>
        <v>4880719.3483124999</v>
      </c>
      <c r="G114" s="548">
        <f>SUM(G103:G113)</f>
        <v>34.823250000000002</v>
      </c>
      <c r="H114" s="375"/>
      <c r="I114" s="226" t="s">
        <v>198</v>
      </c>
      <c r="J114" s="219">
        <f>[1]Перекупные!$F$25</f>
        <v>280.59999999999997</v>
      </c>
      <c r="K114" s="192"/>
      <c r="L114" s="791" t="s">
        <v>251</v>
      </c>
      <c r="M114" s="792">
        <f>[1]СП!$B$7</f>
        <v>4746.5</v>
      </c>
      <c r="N114" s="793">
        <f>[1]СП!$C$7</f>
        <v>4983</v>
      </c>
      <c r="O114" s="793">
        <f>[1]СП!$D$7</f>
        <v>24.85</v>
      </c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</row>
    <row r="115" spans="1:35" ht="13.5" thickBot="1" x14ac:dyDescent="0.25">
      <c r="A115" s="401">
        <v>3</v>
      </c>
      <c r="B115" s="506" t="s">
        <v>93</v>
      </c>
      <c r="C115" s="403"/>
      <c r="D115" s="403"/>
      <c r="E115" s="404"/>
      <c r="F115" s="557"/>
      <c r="G115" s="558"/>
      <c r="H115" s="375"/>
      <c r="I115" s="226" t="s">
        <v>355</v>
      </c>
      <c r="J115" s="219">
        <f>[1]Перекупные!$F$27</f>
        <v>169.43333333333331</v>
      </c>
      <c r="K115" s="192"/>
      <c r="L115" s="396" t="s">
        <v>252</v>
      </c>
      <c r="M115" s="397">
        <f>[1]СП!$B$6</f>
        <v>4449.5</v>
      </c>
      <c r="N115" s="219">
        <f>[1]СП!$C$6</f>
        <v>4730</v>
      </c>
      <c r="O115" s="219">
        <f>[1]СП!$D$6</f>
        <v>22</v>
      </c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</row>
    <row r="116" spans="1:35" x14ac:dyDescent="0.2">
      <c r="A116" s="399"/>
      <c r="B116" s="554" t="s">
        <v>7</v>
      </c>
      <c r="C116" s="399">
        <f>D166</f>
        <v>0</v>
      </c>
      <c r="D116" s="399" t="s">
        <v>10</v>
      </c>
      <c r="E116" s="522">
        <f>[1]Основные!$F$428</f>
        <v>0.60949999999999993</v>
      </c>
      <c r="F116" s="555">
        <f>C116*E116</f>
        <v>0</v>
      </c>
      <c r="G116" s="556">
        <f>C116*H116</f>
        <v>0</v>
      </c>
      <c r="H116" s="270">
        <v>2E-3</v>
      </c>
      <c r="I116" s="226" t="s">
        <v>200</v>
      </c>
      <c r="J116" s="219">
        <f>[1]Перекупные!$F$23</f>
        <v>337.71666666666664</v>
      </c>
      <c r="K116" s="192"/>
      <c r="L116" s="791" t="s">
        <v>253</v>
      </c>
      <c r="M116" s="794">
        <f>[1]СП!$B$9</f>
        <v>5137</v>
      </c>
      <c r="N116" s="793">
        <f>[1]СП!$C$9</f>
        <v>5417.5</v>
      </c>
      <c r="O116" s="793">
        <f>[1]СП!$D$9</f>
        <v>29.6</v>
      </c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</row>
    <row r="117" spans="1:35" x14ac:dyDescent="0.2">
      <c r="A117" s="3"/>
      <c r="B117" s="41" t="s">
        <v>61</v>
      </c>
      <c r="C117" s="3">
        <f>D167</f>
        <v>0</v>
      </c>
      <c r="D117" s="3" t="s">
        <v>48</v>
      </c>
      <c r="E117" s="168">
        <f>E102</f>
        <v>4185.5</v>
      </c>
      <c r="F117" s="163">
        <f t="shared" ref="F117:F118" si="18">C117*E117</f>
        <v>0</v>
      </c>
      <c r="G117" s="309">
        <f t="shared" ref="G117:G118" si="19">C117*H117</f>
        <v>0</v>
      </c>
      <c r="H117" s="270">
        <v>30</v>
      </c>
      <c r="I117" s="374"/>
      <c r="J117" s="192"/>
      <c r="K117" s="192"/>
      <c r="L117" s="396" t="s">
        <v>254</v>
      </c>
      <c r="M117" s="397">
        <f>[1]СП!$I$11</f>
        <v>6682.5000000000009</v>
      </c>
      <c r="N117" s="219">
        <f>[1]СП!$K$11</f>
        <v>6979.5000000000009</v>
      </c>
      <c r="O117" s="219">
        <f>[1]СП!$L$11</f>
        <v>36.85</v>
      </c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</row>
    <row r="118" spans="1:35" x14ac:dyDescent="0.2">
      <c r="A118" s="3"/>
      <c r="B118" s="167" t="str">
        <f>I105</f>
        <v>Саморез 4,8x20</v>
      </c>
      <c r="C118" s="3">
        <f>8*C57</f>
        <v>0</v>
      </c>
      <c r="D118" s="3" t="s">
        <v>10</v>
      </c>
      <c r="E118" s="168">
        <f>J105</f>
        <v>2.3459999999999996</v>
      </c>
      <c r="F118" s="163">
        <f t="shared" si="18"/>
        <v>0</v>
      </c>
      <c r="G118" s="309">
        <f t="shared" si="19"/>
        <v>0</v>
      </c>
      <c r="H118" s="270">
        <f>0.005</f>
        <v>5.0000000000000001E-3</v>
      </c>
      <c r="I118" s="374"/>
      <c r="J118" s="192"/>
      <c r="K118" s="192"/>
      <c r="L118" s="219" t="s">
        <v>256</v>
      </c>
      <c r="M118" s="833">
        <f>[1]СП!$B$19</f>
        <v>43.1</v>
      </c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</row>
    <row r="119" spans="1:35" x14ac:dyDescent="0.2">
      <c r="A119" s="3"/>
      <c r="B119" s="570" t="str">
        <f>L113</f>
        <v>СП 100</v>
      </c>
      <c r="C119" s="85">
        <f>E17</f>
        <v>0</v>
      </c>
      <c r="D119" s="3" t="s">
        <v>33</v>
      </c>
      <c r="E119" s="168">
        <f>M113</f>
        <v>4185.5</v>
      </c>
      <c r="F119" s="163"/>
      <c r="G119" s="309"/>
      <c r="H119" s="270">
        <f>O113</f>
        <v>20.100000000000001</v>
      </c>
      <c r="I119" s="469"/>
      <c r="J119" s="192"/>
      <c r="K119" s="192"/>
      <c r="L119" s="219" t="s">
        <v>257</v>
      </c>
      <c r="M119" s="833">
        <f>[1]СП!$B$20</f>
        <v>51.9</v>
      </c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</row>
    <row r="120" spans="1:35" x14ac:dyDescent="0.2">
      <c r="A120" s="3"/>
      <c r="B120" s="570" t="str">
        <f>L122</f>
        <v>с\з 5,5х160</v>
      </c>
      <c r="C120" s="3">
        <f>C119/6*6*1.1</f>
        <v>0</v>
      </c>
      <c r="D120" s="3" t="s">
        <v>10</v>
      </c>
      <c r="E120" s="168">
        <f>M122</f>
        <v>71.099999999999994</v>
      </c>
      <c r="F120" s="163"/>
      <c r="G120" s="309"/>
      <c r="H120" s="270">
        <f>0.005</f>
        <v>5.0000000000000001E-3</v>
      </c>
      <c r="I120" s="469"/>
      <c r="J120" s="192"/>
      <c r="K120" s="192"/>
      <c r="L120" s="793" t="s">
        <v>258</v>
      </c>
      <c r="M120" s="846">
        <f>[1]СП!$B$22</f>
        <v>94.8</v>
      </c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</row>
    <row r="121" spans="1:35" x14ac:dyDescent="0.2">
      <c r="A121" s="3"/>
      <c r="B121" s="577" t="s">
        <v>362</v>
      </c>
      <c r="C121" s="85">
        <f>C119/I101*7*1.1</f>
        <v>0</v>
      </c>
      <c r="D121" s="3" t="s">
        <v>363</v>
      </c>
      <c r="E121" s="168">
        <f>[1]Перекупные!$F$85</f>
        <v>63.249999999999993</v>
      </c>
      <c r="F121" s="400">
        <f>C121*E121</f>
        <v>0</v>
      </c>
      <c r="G121" s="305">
        <f>C121*H121</f>
        <v>0</v>
      </c>
      <c r="H121" s="862"/>
      <c r="I121" s="870"/>
      <c r="J121" s="192"/>
      <c r="K121" s="192"/>
      <c r="L121" s="793"/>
      <c r="M121" s="846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</row>
    <row r="122" spans="1:35" x14ac:dyDescent="0.2">
      <c r="A122" s="3"/>
      <c r="B122" s="167" t="s">
        <v>101</v>
      </c>
      <c r="C122" s="3">
        <f>E17*2</f>
        <v>0</v>
      </c>
      <c r="D122" s="3" t="s">
        <v>33</v>
      </c>
      <c r="E122" s="168">
        <f>E106</f>
        <v>280.59999999999997</v>
      </c>
      <c r="F122" s="163"/>
      <c r="G122" s="309"/>
      <c r="H122" s="270">
        <v>10</v>
      </c>
      <c r="I122" s="374"/>
      <c r="J122" s="192"/>
      <c r="K122" s="192"/>
      <c r="L122" s="219" t="s">
        <v>259</v>
      </c>
      <c r="M122" s="833">
        <f>[1]СП!$B$21</f>
        <v>71.099999999999994</v>
      </c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</row>
    <row r="123" spans="1:35" ht="13.5" thickBot="1" x14ac:dyDescent="0.25">
      <c r="A123" s="365"/>
      <c r="B123" s="167" t="s">
        <v>102</v>
      </c>
      <c r="C123" s="365">
        <f>C122*20</f>
        <v>0</v>
      </c>
      <c r="D123" s="365" t="s">
        <v>10</v>
      </c>
      <c r="E123" s="559">
        <f>[1]Перекупные!$F$29</f>
        <v>0.91999999999999993</v>
      </c>
      <c r="F123" s="560"/>
      <c r="G123" s="561"/>
      <c r="H123" s="270">
        <v>3.0000000000000001E-3</v>
      </c>
      <c r="I123" s="374"/>
      <c r="J123" s="192"/>
      <c r="K123" s="192"/>
      <c r="L123" s="793" t="s">
        <v>260</v>
      </c>
      <c r="M123" s="846">
        <f>[1]СП!$B$23</f>
        <v>145.69999999999999</v>
      </c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</row>
    <row r="124" spans="1:35" x14ac:dyDescent="0.2">
      <c r="A124" s="111"/>
      <c r="B124" s="544" t="s">
        <v>72</v>
      </c>
      <c r="C124" s="545">
        <v>0.05</v>
      </c>
      <c r="D124" s="63"/>
      <c r="E124" s="546"/>
      <c r="F124" s="562">
        <f>SUM(F116:F123)*C124</f>
        <v>0</v>
      </c>
      <c r="G124" s="563"/>
      <c r="H124" s="375"/>
      <c r="I124" s="374"/>
      <c r="J124" s="192"/>
      <c r="K124" s="192"/>
      <c r="L124" s="219" t="s">
        <v>261</v>
      </c>
      <c r="M124" s="833">
        <f>[1]СП!$B$24</f>
        <v>188.9</v>
      </c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</row>
    <row r="125" spans="1:35" ht="13.5" thickBot="1" x14ac:dyDescent="0.25">
      <c r="A125" s="79"/>
      <c r="B125" s="123" t="s">
        <v>100</v>
      </c>
      <c r="C125" s="64"/>
      <c r="D125" s="64"/>
      <c r="E125" s="104"/>
      <c r="F125" s="105">
        <f>SUM(F116:F124)</f>
        <v>0</v>
      </c>
      <c r="G125" s="548">
        <f>SUM(G116:G124)</f>
        <v>0</v>
      </c>
      <c r="H125" s="375"/>
      <c r="I125" s="374"/>
      <c r="J125" s="192"/>
      <c r="K125" s="192"/>
      <c r="L125" s="219"/>
      <c r="M125" s="397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</row>
    <row r="126" spans="1:35" ht="13.5" thickBot="1" x14ac:dyDescent="0.25">
      <c r="A126" s="571">
        <v>3</v>
      </c>
      <c r="B126" s="576" t="s">
        <v>84</v>
      </c>
      <c r="C126" s="403"/>
      <c r="D126" s="403"/>
      <c r="E126" s="404"/>
      <c r="F126" s="405"/>
      <c r="G126" s="406"/>
      <c r="H126" s="375"/>
      <c r="I126" s="374"/>
      <c r="J126" s="192"/>
      <c r="K126" s="192"/>
      <c r="L126" s="219"/>
      <c r="M126" s="397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</row>
    <row r="127" spans="1:35" x14ac:dyDescent="0.2">
      <c r="A127" s="111"/>
      <c r="B127" s="572" t="str">
        <f>L116</f>
        <v>СП 200</v>
      </c>
      <c r="C127" s="573">
        <f>C8*C9*1.1</f>
        <v>990.00000000000011</v>
      </c>
      <c r="D127" s="6" t="s">
        <v>33</v>
      </c>
      <c r="E127" s="574">
        <f>N116</f>
        <v>5417.5</v>
      </c>
      <c r="F127" s="108">
        <f>E127*C127</f>
        <v>5363325.0000000009</v>
      </c>
      <c r="G127" s="575">
        <f>H127*C127</f>
        <v>29304.000000000004</v>
      </c>
      <c r="H127" s="270">
        <f>O116</f>
        <v>29.6</v>
      </c>
      <c r="I127" s="374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</row>
    <row r="128" spans="1:35" x14ac:dyDescent="0.2">
      <c r="A128" s="78"/>
      <c r="B128" s="568" t="str">
        <f>L123</f>
        <v>с\з 5,5х240</v>
      </c>
      <c r="C128" s="11">
        <f>I128*C9*4*1.1</f>
        <v>2112</v>
      </c>
      <c r="D128" s="3" t="s">
        <v>10</v>
      </c>
      <c r="E128" s="146">
        <f>M123</f>
        <v>145.69999999999999</v>
      </c>
      <c r="F128" s="98">
        <f>C128*E128</f>
        <v>307718.39999999997</v>
      </c>
      <c r="G128" s="915">
        <f>C128*H128</f>
        <v>63.36</v>
      </c>
      <c r="H128" s="375">
        <f>H103</f>
        <v>0.03</v>
      </c>
      <c r="I128" s="296">
        <v>8</v>
      </c>
      <c r="J128" s="809" t="s">
        <v>360</v>
      </c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</row>
    <row r="129" spans="1:35" x14ac:dyDescent="0.2">
      <c r="A129" s="78"/>
      <c r="B129" s="577" t="s">
        <v>362</v>
      </c>
      <c r="C129" s="85">
        <f>C9/1*J16*1.1*2</f>
        <v>2049.7739601374587</v>
      </c>
      <c r="D129" s="3" t="s">
        <v>363</v>
      </c>
      <c r="E129" s="168">
        <f>[1]Перекупные!$F$85</f>
        <v>63.249999999999993</v>
      </c>
      <c r="F129" s="400">
        <f>C129*E129</f>
        <v>129648.20297869424</v>
      </c>
      <c r="G129" s="305">
        <f>C129*H129</f>
        <v>0</v>
      </c>
      <c r="H129" s="862"/>
      <c r="I129" s="296"/>
      <c r="J129" s="809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</row>
    <row r="130" spans="1:35" s="317" customFormat="1" x14ac:dyDescent="0.2">
      <c r="A130" s="649"/>
      <c r="B130" s="166" t="s">
        <v>45</v>
      </c>
      <c r="C130" s="668">
        <f>8*(C76+C77)</f>
        <v>16294.080000000002</v>
      </c>
      <c r="D130" s="466" t="s">
        <v>10</v>
      </c>
      <c r="E130" s="674">
        <f>J105</f>
        <v>2.3459999999999996</v>
      </c>
      <c r="F130" s="661"/>
      <c r="G130" s="680"/>
      <c r="H130" s="328">
        <f>H116</f>
        <v>2E-3</v>
      </c>
      <c r="I130" s="888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  <c r="AH130" s="297"/>
      <c r="AI130" s="297"/>
    </row>
    <row r="131" spans="1:35" s="317" customFormat="1" x14ac:dyDescent="0.2">
      <c r="A131" s="649"/>
      <c r="B131" s="670" t="s">
        <v>241</v>
      </c>
      <c r="C131" s="668">
        <f>I138*E14/1000*1.05</f>
        <v>141.75</v>
      </c>
      <c r="D131" s="466" t="s">
        <v>48</v>
      </c>
      <c r="E131" s="674">
        <f>J107</f>
        <v>3450</v>
      </c>
      <c r="F131" s="661"/>
      <c r="G131" s="680"/>
      <c r="H131" s="328">
        <v>20</v>
      </c>
      <c r="I131" s="888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  <c r="AH131" s="297"/>
      <c r="AI131" s="297"/>
    </row>
    <row r="132" spans="1:35" s="317" customFormat="1" x14ac:dyDescent="0.2">
      <c r="A132" s="649"/>
      <c r="B132" s="670" t="s">
        <v>109</v>
      </c>
      <c r="C132" s="668">
        <f>2.5*(C8+0.5+2*C10)*K90</f>
        <v>756.25</v>
      </c>
      <c r="D132" s="466" t="s">
        <v>33</v>
      </c>
      <c r="E132" s="674">
        <f>E122</f>
        <v>280.59999999999997</v>
      </c>
      <c r="F132" s="661"/>
      <c r="G132" s="680"/>
      <c r="H132" s="328">
        <v>10</v>
      </c>
      <c r="I132" s="888"/>
      <c r="J132" s="297"/>
      <c r="K132" s="297"/>
      <c r="L132" s="297"/>
      <c r="M132" s="297"/>
      <c r="N132" s="297"/>
      <c r="O132" s="297"/>
      <c r="P132" s="316"/>
    </row>
    <row r="133" spans="1:35" s="317" customFormat="1" x14ac:dyDescent="0.2">
      <c r="A133" s="649"/>
      <c r="B133" s="670" t="s">
        <v>102</v>
      </c>
      <c r="C133" s="668">
        <f>30*C132</f>
        <v>22687.5</v>
      </c>
      <c r="D133" s="466" t="s">
        <v>33</v>
      </c>
      <c r="E133" s="674">
        <f>E123</f>
        <v>0.91999999999999993</v>
      </c>
      <c r="F133" s="661"/>
      <c r="G133" s="680"/>
      <c r="H133" s="328">
        <f>H107</f>
        <v>3.0000000000000001E-3</v>
      </c>
      <c r="I133" s="888"/>
      <c r="J133" s="297"/>
      <c r="K133" s="297"/>
      <c r="L133" s="297"/>
      <c r="M133" s="297"/>
      <c r="N133" s="297"/>
      <c r="O133" s="297"/>
      <c r="P133" s="316"/>
    </row>
    <row r="134" spans="1:35" s="317" customFormat="1" x14ac:dyDescent="0.2">
      <c r="A134" s="649"/>
      <c r="B134" s="166" t="s">
        <v>122</v>
      </c>
      <c r="C134" s="668">
        <f>C24</f>
        <v>963.2</v>
      </c>
      <c r="D134" s="466" t="s">
        <v>8</v>
      </c>
      <c r="E134" s="674">
        <f>[1]Перекупные!$F$18</f>
        <v>69</v>
      </c>
      <c r="F134" s="661"/>
      <c r="G134" s="680"/>
      <c r="H134" s="328"/>
      <c r="I134" s="888"/>
      <c r="J134" s="297"/>
      <c r="K134" s="297"/>
      <c r="L134" s="297"/>
      <c r="M134" s="297"/>
      <c r="N134" s="297"/>
      <c r="O134" s="297"/>
      <c r="P134" s="316"/>
    </row>
    <row r="135" spans="1:35" s="317" customFormat="1" x14ac:dyDescent="0.2">
      <c r="A135" s="649"/>
      <c r="B135" s="520" t="s">
        <v>104</v>
      </c>
      <c r="C135" s="672">
        <f>C8*(C9)*1.25</f>
        <v>1125</v>
      </c>
      <c r="D135" s="466" t="s">
        <v>33</v>
      </c>
      <c r="E135" s="674">
        <f>E111</f>
        <v>42</v>
      </c>
      <c r="F135" s="661"/>
      <c r="G135" s="680"/>
      <c r="H135" s="328">
        <v>0.2</v>
      </c>
      <c r="I135" s="888"/>
      <c r="J135" s="297"/>
      <c r="K135" s="297"/>
      <c r="L135" s="297"/>
      <c r="M135" s="297"/>
      <c r="N135" s="297"/>
      <c r="O135" s="297"/>
      <c r="P135" s="316"/>
    </row>
    <row r="136" spans="1:35" s="317" customFormat="1" ht="13.5" thickBot="1" x14ac:dyDescent="0.25">
      <c r="A136" s="922"/>
      <c r="B136" s="747" t="s">
        <v>105</v>
      </c>
      <c r="C136" s="918">
        <f>C8*C9*1.25</f>
        <v>1125</v>
      </c>
      <c r="D136" s="747" t="s">
        <v>33</v>
      </c>
      <c r="E136" s="919">
        <f>E112</f>
        <v>89.14</v>
      </c>
      <c r="F136" s="927"/>
      <c r="G136" s="928"/>
      <c r="H136" s="328">
        <v>0.2</v>
      </c>
      <c r="I136" s="888"/>
      <c r="J136" s="297"/>
      <c r="K136" s="297"/>
      <c r="L136" s="297"/>
      <c r="M136" s="297"/>
      <c r="N136" s="297"/>
      <c r="O136" s="297"/>
      <c r="P136" s="316"/>
    </row>
    <row r="137" spans="1:35" x14ac:dyDescent="0.2">
      <c r="A137" s="111"/>
      <c r="B137" s="544" t="s">
        <v>72</v>
      </c>
      <c r="C137" s="545">
        <v>0.05</v>
      </c>
      <c r="D137" s="63"/>
      <c r="E137" s="546"/>
      <c r="F137" s="552">
        <f>SUM(F127:F136)*C137</f>
        <v>290034.58014893479</v>
      </c>
      <c r="G137" s="566"/>
      <c r="H137" s="375"/>
      <c r="I137" s="246" t="s">
        <v>201</v>
      </c>
      <c r="J137" s="192"/>
      <c r="K137" s="192"/>
      <c r="L137" s="192"/>
      <c r="M137" s="192"/>
      <c r="N137" s="192"/>
      <c r="O137" s="192"/>
      <c r="P137" s="15"/>
    </row>
    <row r="138" spans="1:35" ht="13.5" thickBot="1" x14ac:dyDescent="0.25">
      <c r="A138" s="79"/>
      <c r="B138" s="123" t="s">
        <v>85</v>
      </c>
      <c r="C138" s="64"/>
      <c r="D138" s="64"/>
      <c r="E138" s="185"/>
      <c r="F138" s="105">
        <f>SUM(F127:F137)</f>
        <v>6090726.1831276296</v>
      </c>
      <c r="G138" s="389">
        <f>SUM(G127:G137)</f>
        <v>29367.360000000004</v>
      </c>
      <c r="H138" s="375"/>
      <c r="I138" s="374">
        <f>C8*C9</f>
        <v>900</v>
      </c>
      <c r="J138" s="192" t="s">
        <v>202</v>
      </c>
      <c r="K138" s="192"/>
      <c r="L138" s="192"/>
      <c r="M138" s="192"/>
      <c r="N138" s="192"/>
      <c r="O138" s="192"/>
      <c r="P138" s="15"/>
    </row>
    <row r="139" spans="1:35" ht="13.5" thickBot="1" x14ac:dyDescent="0.25">
      <c r="A139" s="564"/>
      <c r="B139" s="1055" t="s">
        <v>49</v>
      </c>
      <c r="C139" s="1055"/>
      <c r="D139" s="1055"/>
      <c r="E139" s="1055"/>
      <c r="F139" s="567">
        <f>F138+F114+F100+F125</f>
        <v>12662943.096302861</v>
      </c>
      <c r="G139" s="565">
        <f>G100+G114+G138+G125</f>
        <v>40638.215536924472</v>
      </c>
      <c r="H139" s="270"/>
      <c r="I139" s="192"/>
      <c r="J139" s="192"/>
      <c r="K139" s="192"/>
      <c r="L139" s="192"/>
      <c r="M139" s="192"/>
      <c r="N139" s="192"/>
      <c r="O139" s="192"/>
      <c r="P139" s="15"/>
    </row>
    <row r="140" spans="1:35" x14ac:dyDescent="0.2">
      <c r="A140" s="428"/>
      <c r="B140" s="1056" t="s">
        <v>73</v>
      </c>
      <c r="C140" s="1056"/>
      <c r="D140" s="1056"/>
      <c r="E140" s="1056"/>
      <c r="F140" s="429">
        <f>F82+F139</f>
        <v>15620723.432581834</v>
      </c>
      <c r="G140" s="430"/>
      <c r="H140" s="275"/>
      <c r="I140" s="214"/>
      <c r="J140" s="197"/>
      <c r="K140" s="197"/>
      <c r="L140" s="192"/>
      <c r="M140" s="197"/>
      <c r="N140" s="197"/>
      <c r="O140" s="197"/>
      <c r="P140" s="46"/>
      <c r="Q140" s="46"/>
      <c r="R140" s="46"/>
    </row>
    <row r="141" spans="1:35" x14ac:dyDescent="0.2">
      <c r="A141" s="431"/>
      <c r="B141" s="432" t="s">
        <v>98</v>
      </c>
      <c r="C141" s="432"/>
      <c r="D141" s="432"/>
      <c r="E141" s="433">
        <v>0.02</v>
      </c>
      <c r="F141" s="434">
        <f>F140*E141</f>
        <v>312414.46865163668</v>
      </c>
      <c r="G141" s="435"/>
      <c r="H141" s="275"/>
      <c r="I141" s="214"/>
      <c r="J141" s="197"/>
      <c r="K141" s="197"/>
      <c r="L141" s="192"/>
      <c r="M141" s="197"/>
      <c r="N141" s="197"/>
      <c r="O141" s="197"/>
      <c r="P141" s="46"/>
      <c r="Q141" s="46"/>
      <c r="R141" s="46"/>
    </row>
    <row r="142" spans="1:35" ht="13.5" thickBot="1" x14ac:dyDescent="0.25">
      <c r="A142" s="436"/>
      <c r="B142" s="437" t="s">
        <v>99</v>
      </c>
      <c r="C142" s="437"/>
      <c r="D142" s="437"/>
      <c r="E142" s="437"/>
      <c r="F142" s="438">
        <f>SUM(F140:F141)</f>
        <v>15933137.901233472</v>
      </c>
      <c r="G142" s="439"/>
      <c r="H142" s="440"/>
      <c r="I142" s="214"/>
      <c r="J142" s="197"/>
      <c r="K142" s="197"/>
      <c r="L142" s="192"/>
      <c r="M142" s="197"/>
      <c r="N142" s="197"/>
      <c r="O142" s="197"/>
      <c r="P142" s="46"/>
      <c r="Q142" s="46"/>
      <c r="R142" s="46"/>
    </row>
    <row r="143" spans="1:35" ht="13.5" thickBot="1" x14ac:dyDescent="0.25">
      <c r="A143" s="441"/>
      <c r="C143" s="442"/>
      <c r="D143" s="443" t="s">
        <v>273</v>
      </c>
      <c r="E143" s="444">
        <f>F140/I138</f>
        <v>17356.35936953537</v>
      </c>
      <c r="F143" s="445" t="s">
        <v>274</v>
      </c>
      <c r="G143" s="446">
        <f>(G139+G82)/I138</f>
        <v>61.158664569255407</v>
      </c>
      <c r="H143" s="275"/>
      <c r="I143" s="214"/>
      <c r="J143" s="197"/>
      <c r="K143" s="197"/>
      <c r="L143" s="197"/>
      <c r="M143" s="197"/>
      <c r="N143" s="197"/>
      <c r="O143" s="197"/>
      <c r="P143" s="46"/>
      <c r="Q143" s="46"/>
      <c r="R143" s="46"/>
    </row>
    <row r="144" spans="1:35" ht="13.5" thickBot="1" x14ac:dyDescent="0.25">
      <c r="A144" s="8"/>
      <c r="B144" s="48"/>
      <c r="C144" s="49"/>
      <c r="D144" s="49"/>
      <c r="E144" s="49"/>
      <c r="F144" s="50"/>
      <c r="G144" s="51"/>
      <c r="H144" s="276"/>
      <c r="I144" s="47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1:19" x14ac:dyDescent="0.2">
      <c r="A145" s="15"/>
      <c r="B145" s="1005" t="s">
        <v>50</v>
      </c>
      <c r="C145" s="1007" t="str">
        <f>F7</f>
        <v>альбом</v>
      </c>
      <c r="D145" s="1008"/>
      <c r="E145" s="1009"/>
      <c r="F145" s="147"/>
      <c r="G145" s="8"/>
      <c r="H145" s="277"/>
      <c r="I145" s="71"/>
      <c r="J145" s="46"/>
      <c r="K145" s="46"/>
      <c r="L145" s="46"/>
      <c r="M145" s="46"/>
      <c r="N145" s="46"/>
      <c r="O145" s="46"/>
      <c r="P145" s="46"/>
      <c r="Q145" s="46"/>
      <c r="R145" s="46"/>
    </row>
    <row r="146" spans="1:19" ht="13.5" thickBot="1" x14ac:dyDescent="0.25">
      <c r="A146" s="52"/>
      <c r="B146" s="1006"/>
      <c r="C146" s="1010" t="s">
        <v>351</v>
      </c>
      <c r="D146" s="1011"/>
      <c r="E146" s="1012"/>
      <c r="F146" s="148"/>
      <c r="G146" s="8" t="s">
        <v>71</v>
      </c>
      <c r="O146" s="192"/>
      <c r="P146" s="192"/>
      <c r="Q146" s="192"/>
    </row>
    <row r="147" spans="1:19" ht="13.5" thickBot="1" x14ac:dyDescent="0.25">
      <c r="A147" s="52"/>
      <c r="B147" s="170" t="s">
        <v>114</v>
      </c>
      <c r="C147" s="150"/>
      <c r="D147" s="10"/>
      <c r="E147" s="10"/>
      <c r="F147" s="151">
        <f>M151*N151+M152*N152+M153*N153</f>
        <v>2078170.0000000002</v>
      </c>
      <c r="H147" s="236" t="s">
        <v>275</v>
      </c>
      <c r="O147" s="192"/>
      <c r="P147" s="192"/>
      <c r="Q147" s="192"/>
    </row>
    <row r="148" spans="1:19" ht="13.5" thickBot="1" x14ac:dyDescent="0.25">
      <c r="A148" s="52"/>
      <c r="B148" s="149" t="s">
        <v>80</v>
      </c>
      <c r="C148" s="150"/>
      <c r="D148" s="10"/>
      <c r="E148" s="152">
        <f>(F32+(F96+F98+F97)*1.05)*1.02</f>
        <v>3880500.2607890721</v>
      </c>
      <c r="F148" s="151"/>
      <c r="H148" s="447">
        <f>E148+E149+E150+E151+E152+E153*1.02</f>
        <v>15933137.901233474</v>
      </c>
      <c r="L148">
        <f>(J151+K151)*2*L151*1.2</f>
        <v>0</v>
      </c>
      <c r="O148" s="192"/>
      <c r="P148" s="192"/>
      <c r="Q148" s="192"/>
    </row>
    <row r="149" spans="1:19" x14ac:dyDescent="0.2">
      <c r="A149" s="8"/>
      <c r="B149" s="149" t="s">
        <v>90</v>
      </c>
      <c r="C149" s="150"/>
      <c r="D149" s="10"/>
      <c r="E149" s="152">
        <f>(F44+F81)*1.02</f>
        <v>336731.48492096836</v>
      </c>
      <c r="F149" s="151"/>
      <c r="J149" t="s">
        <v>65</v>
      </c>
      <c r="O149" s="192"/>
      <c r="P149" s="192"/>
      <c r="Q149" s="192"/>
    </row>
    <row r="150" spans="1:19" x14ac:dyDescent="0.2">
      <c r="B150" s="149" t="s">
        <v>91</v>
      </c>
      <c r="C150" s="150"/>
      <c r="D150" s="10"/>
      <c r="E150" s="152">
        <f>(F85+F86+F87+F88+F89+F90+F91+F92+F93+F94+F95+F103+F102+F111+F112+F128+F127+F135+F136+F106+F107+F132+F133+F134+F105+F130+F131+F108+F109+F110+F129+F104)*1.05*1.02</f>
        <v>11462379.035523435</v>
      </c>
      <c r="F150" s="151"/>
      <c r="H150" s="278"/>
      <c r="I150" s="12"/>
      <c r="J150" s="4" t="s">
        <v>66</v>
      </c>
      <c r="K150" s="254" t="s">
        <v>67</v>
      </c>
      <c r="L150" s="3" t="s">
        <v>69</v>
      </c>
      <c r="M150" s="12" t="s">
        <v>68</v>
      </c>
      <c r="N150" s="4" t="s">
        <v>70</v>
      </c>
      <c r="O150" s="192" t="s">
        <v>218</v>
      </c>
      <c r="P150" s="192"/>
      <c r="Q150" s="192"/>
      <c r="R150" s="8"/>
    </row>
    <row r="151" spans="1:19" x14ac:dyDescent="0.2">
      <c r="B151" s="173" t="s">
        <v>276</v>
      </c>
      <c r="C151" s="150"/>
      <c r="D151" s="10"/>
      <c r="E151" s="153">
        <f>F54*1.02</f>
        <v>0</v>
      </c>
      <c r="F151" s="151"/>
      <c r="G151" s="154"/>
      <c r="H151" s="278"/>
      <c r="I151" s="12" t="s">
        <v>51</v>
      </c>
      <c r="J151" s="68">
        <v>14</v>
      </c>
      <c r="K151" s="69">
        <v>1</v>
      </c>
      <c r="L151" s="68">
        <v>0</v>
      </c>
      <c r="M151" s="69">
        <f>J151*K151*L151</f>
        <v>0</v>
      </c>
      <c r="N151" s="11">
        <f>[1]Перекупные!$F$72</f>
        <v>5914.2857142857138</v>
      </c>
      <c r="O151" s="192">
        <v>5</v>
      </c>
      <c r="P151" s="192"/>
      <c r="Q151" s="192"/>
      <c r="R151" s="8"/>
    </row>
    <row r="152" spans="1:19" x14ac:dyDescent="0.2">
      <c r="B152" s="170" t="s">
        <v>93</v>
      </c>
      <c r="C152" s="150"/>
      <c r="D152" s="10"/>
      <c r="E152" s="153">
        <f>(F59+F125)*1.02</f>
        <v>0</v>
      </c>
      <c r="F152" s="151"/>
      <c r="G152" s="154"/>
      <c r="H152" s="278"/>
      <c r="I152" s="12" t="s">
        <v>53</v>
      </c>
      <c r="J152" s="68">
        <v>1.1000000000000001</v>
      </c>
      <c r="K152" s="69">
        <v>2.1</v>
      </c>
      <c r="L152" s="68">
        <v>0</v>
      </c>
      <c r="M152" s="69">
        <f>J152*K152*L152</f>
        <v>0</v>
      </c>
      <c r="N152" s="11">
        <f>[1]Перекупные!$F$71</f>
        <v>26164.02116402116</v>
      </c>
      <c r="O152" s="192"/>
      <c r="P152" s="192"/>
      <c r="Q152" s="192"/>
      <c r="R152" s="8"/>
    </row>
    <row r="153" spans="1:19" x14ac:dyDescent="0.2">
      <c r="B153" s="173" t="s">
        <v>112</v>
      </c>
      <c r="C153" s="150"/>
      <c r="D153" s="10"/>
      <c r="E153" s="153">
        <f>F71</f>
        <v>248556</v>
      </c>
      <c r="F153" s="151"/>
      <c r="G153" s="154"/>
      <c r="H153" s="278"/>
      <c r="I153" s="255" t="s">
        <v>52</v>
      </c>
      <c r="J153" s="256">
        <f>5.2*5.2+3.5*4.5*2</f>
        <v>58.540000000000006</v>
      </c>
      <c r="K153" s="257">
        <v>1</v>
      </c>
      <c r="L153" s="256">
        <v>1</v>
      </c>
      <c r="M153" s="69">
        <f>J153*K153*L153</f>
        <v>58.540000000000006</v>
      </c>
      <c r="N153" s="11">
        <v>35500</v>
      </c>
      <c r="O153" s="192"/>
      <c r="P153" s="192"/>
      <c r="Q153" s="192"/>
      <c r="R153" s="8"/>
    </row>
    <row r="154" spans="1:19" x14ac:dyDescent="0.2">
      <c r="B154" s="1016" t="s">
        <v>94</v>
      </c>
      <c r="C154" s="1017"/>
      <c r="D154" s="1017"/>
      <c r="E154" s="1018"/>
      <c r="F154" s="53"/>
      <c r="G154" s="8" t="s">
        <v>205</v>
      </c>
      <c r="H154" s="1004"/>
      <c r="I154" s="1004"/>
      <c r="J154" s="192"/>
      <c r="K154" s="192"/>
      <c r="L154" s="8"/>
      <c r="M154" s="8"/>
      <c r="N154" s="8"/>
      <c r="O154" s="8"/>
      <c r="P154" s="8"/>
      <c r="Q154" s="8"/>
      <c r="R154" s="8"/>
    </row>
    <row r="155" spans="1:19" ht="13.5" thickBot="1" x14ac:dyDescent="0.25">
      <c r="B155" s="1040"/>
      <c r="C155" s="1041"/>
      <c r="D155" s="1041"/>
      <c r="E155" s="1042"/>
      <c r="F155" s="55"/>
      <c r="G155" s="15"/>
      <c r="H155" s="272"/>
      <c r="I155" s="192"/>
      <c r="J155" s="192"/>
      <c r="K155" s="192"/>
      <c r="O155" s="15"/>
      <c r="P155" s="15"/>
    </row>
    <row r="156" spans="1:19" x14ac:dyDescent="0.2">
      <c r="B156" s="718" t="s">
        <v>263</v>
      </c>
      <c r="G156" s="56"/>
      <c r="H156" s="272"/>
      <c r="I156" s="192"/>
      <c r="J156" s="192"/>
      <c r="K156" s="192"/>
      <c r="O156" s="15"/>
      <c r="P156" s="15"/>
    </row>
    <row r="157" spans="1:19" x14ac:dyDescent="0.2">
      <c r="G157" s="56"/>
      <c r="H157" s="272"/>
      <c r="I157" s="192"/>
      <c r="J157" s="192"/>
      <c r="K157" s="192"/>
      <c r="O157" s="15"/>
      <c r="P157" s="15"/>
    </row>
    <row r="158" spans="1:19" x14ac:dyDescent="0.2">
      <c r="A158" s="1034"/>
      <c r="B158" s="192"/>
      <c r="C158" s="224"/>
      <c r="D158" s="223"/>
      <c r="E158" s="192"/>
      <c r="F158" s="1043"/>
      <c r="G158" s="192"/>
      <c r="H158" s="27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</row>
    <row r="159" spans="1:19" x14ac:dyDescent="0.2">
      <c r="A159" s="1034"/>
      <c r="B159" s="192"/>
      <c r="C159" s="223"/>
      <c r="D159" s="223"/>
      <c r="E159" s="192"/>
      <c r="F159" s="1043"/>
      <c r="G159" s="192"/>
      <c r="H159" s="27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</row>
    <row r="160" spans="1:19" x14ac:dyDescent="0.2">
      <c r="A160" s="1034"/>
      <c r="B160" s="192"/>
      <c r="C160" s="224"/>
      <c r="D160" s="223"/>
      <c r="E160" s="192"/>
      <c r="F160" s="1043"/>
      <c r="G160" s="192"/>
      <c r="H160" s="27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</row>
    <row r="161" spans="1:19" x14ac:dyDescent="0.2">
      <c r="A161" s="1034"/>
      <c r="B161" s="192"/>
      <c r="C161" s="224"/>
      <c r="D161" s="223"/>
      <c r="E161" s="192"/>
      <c r="F161" s="1043"/>
      <c r="G161" s="192"/>
      <c r="H161" s="272"/>
      <c r="I161" s="192"/>
      <c r="J161" s="192"/>
      <c r="K161" s="192"/>
      <c r="L161" s="192"/>
      <c r="M161" s="223"/>
      <c r="N161" s="197"/>
      <c r="O161" s="197"/>
      <c r="P161" s="197"/>
      <c r="Q161" s="197"/>
      <c r="R161" s="197"/>
      <c r="S161" s="192"/>
    </row>
    <row r="162" spans="1:19" x14ac:dyDescent="0.2">
      <c r="A162" s="1034"/>
      <c r="B162" s="192"/>
      <c r="C162" s="224"/>
      <c r="D162" s="223"/>
      <c r="E162" s="192"/>
      <c r="F162" s="1043"/>
      <c r="G162" s="192"/>
      <c r="H162" s="279"/>
      <c r="I162" s="221"/>
      <c r="J162" s="192"/>
      <c r="K162" s="192"/>
      <c r="L162" s="192"/>
      <c r="M162" s="223"/>
      <c r="N162" s="197"/>
      <c r="O162" s="197"/>
      <c r="P162" s="197"/>
      <c r="Q162" s="197"/>
      <c r="R162" s="197"/>
      <c r="S162" s="192"/>
    </row>
    <row r="163" spans="1:19" ht="13.5" thickBot="1" x14ac:dyDescent="0.25">
      <c r="B163" s="15"/>
      <c r="C163" s="15" t="s">
        <v>57</v>
      </c>
      <c r="D163" s="15"/>
      <c r="E163" s="15"/>
      <c r="F163" s="15"/>
      <c r="G163" s="15" t="s">
        <v>39</v>
      </c>
      <c r="H163" s="272"/>
      <c r="I163" s="222"/>
      <c r="J163" s="374"/>
      <c r="K163" s="192"/>
      <c r="L163" s="192"/>
      <c r="O163" s="15"/>
      <c r="P163" s="15"/>
    </row>
    <row r="164" spans="1:19" ht="13.5" thickBot="1" x14ac:dyDescent="0.25">
      <c r="A164" s="1027">
        <f>E17</f>
        <v>0</v>
      </c>
      <c r="B164" s="57" t="s">
        <v>42</v>
      </c>
      <c r="C164" s="58">
        <v>1</v>
      </c>
      <c r="D164" s="70">
        <f t="shared" ref="D164:D169" si="20">C164*$A$164</f>
        <v>0</v>
      </c>
      <c r="E164" s="57" t="s">
        <v>54</v>
      </c>
      <c r="F164" s="1030" t="s">
        <v>32</v>
      </c>
      <c r="G164" s="42">
        <f>[10]прайс!K24</f>
        <v>93</v>
      </c>
      <c r="O164" s="15"/>
      <c r="P164" s="15"/>
    </row>
    <row r="165" spans="1:19" ht="13.5" thickBot="1" x14ac:dyDescent="0.25">
      <c r="A165" s="1028"/>
      <c r="B165" s="41" t="s">
        <v>60</v>
      </c>
      <c r="C165" s="12">
        <v>2</v>
      </c>
      <c r="D165" s="70">
        <f t="shared" si="20"/>
        <v>0</v>
      </c>
      <c r="E165" s="41" t="s">
        <v>54</v>
      </c>
      <c r="F165" s="1031"/>
      <c r="G165" s="42">
        <f>[10]прайс!K37</f>
        <v>61</v>
      </c>
      <c r="H165" s="238">
        <f>CEILING(E16/140,1)</f>
        <v>0</v>
      </c>
      <c r="I165" s="3" t="s">
        <v>56</v>
      </c>
      <c r="O165" s="15"/>
      <c r="P165" s="15"/>
    </row>
    <row r="166" spans="1:19" ht="13.5" thickBot="1" x14ac:dyDescent="0.25">
      <c r="A166" s="1028"/>
      <c r="B166" s="41" t="s">
        <v>7</v>
      </c>
      <c r="C166" s="12">
        <v>10</v>
      </c>
      <c r="D166" s="70">
        <f t="shared" si="20"/>
        <v>0</v>
      </c>
      <c r="E166" s="41" t="s">
        <v>43</v>
      </c>
      <c r="F166" s="1031"/>
      <c r="G166" s="15">
        <f>[10]прайс!G28</f>
        <v>0.33</v>
      </c>
      <c r="H166" s="280"/>
      <c r="O166" s="15"/>
      <c r="P166" s="15"/>
    </row>
    <row r="167" spans="1:19" ht="13.5" thickBot="1" x14ac:dyDescent="0.25">
      <c r="A167" s="1028"/>
      <c r="B167" s="41" t="s">
        <v>61</v>
      </c>
      <c r="C167" s="12">
        <v>0.11</v>
      </c>
      <c r="D167" s="70">
        <f t="shared" si="20"/>
        <v>0</v>
      </c>
      <c r="E167" s="41" t="s">
        <v>48</v>
      </c>
      <c r="F167" s="1031"/>
      <c r="G167" s="42">
        <f>[10]прайс!E34</f>
        <v>1741</v>
      </c>
      <c r="H167" s="281"/>
      <c r="O167" s="15"/>
      <c r="P167" s="15"/>
    </row>
    <row r="168" spans="1:19" ht="13.5" thickBot="1" x14ac:dyDescent="0.25">
      <c r="A168" s="1028"/>
      <c r="B168" s="41" t="s">
        <v>62</v>
      </c>
      <c r="C168" s="59">
        <v>2.2000000000000002</v>
      </c>
      <c r="D168" s="70">
        <f t="shared" si="20"/>
        <v>0</v>
      </c>
      <c r="E168" s="41" t="s">
        <v>33</v>
      </c>
      <c r="F168" s="1031"/>
      <c r="G168" s="15">
        <f>IF(I4=1,[10]прайс!J43,IF('[10]типовые рамники до 15м'!I4=2,[10]прайс!B8,0))</f>
        <v>210</v>
      </c>
      <c r="H168" s="236" t="s">
        <v>40</v>
      </c>
      <c r="I168" t="s">
        <v>58</v>
      </c>
      <c r="J168" t="s">
        <v>59</v>
      </c>
      <c r="O168" s="15"/>
      <c r="P168" s="15"/>
    </row>
    <row r="169" spans="1:19" ht="13.5" thickBot="1" x14ac:dyDescent="0.25">
      <c r="A169" s="1029"/>
      <c r="B169" s="61" t="s">
        <v>55</v>
      </c>
      <c r="C169" s="62">
        <v>14</v>
      </c>
      <c r="D169" s="70">
        <f t="shared" si="20"/>
        <v>0</v>
      </c>
      <c r="E169" s="61" t="s">
        <v>43</v>
      </c>
      <c r="F169" s="1032"/>
      <c r="G169" s="42">
        <f>[10]прайс!D17</f>
        <v>2.63</v>
      </c>
      <c r="H169" s="236">
        <f t="shared" ref="H169:H174" si="21">G164*D164</f>
        <v>0</v>
      </c>
      <c r="I169">
        <v>1.56</v>
      </c>
      <c r="J169">
        <f t="shared" ref="J169:J174" si="22">I169*D164</f>
        <v>0</v>
      </c>
      <c r="O169" s="15"/>
      <c r="P169" s="15"/>
    </row>
    <row r="170" spans="1:19" x14ac:dyDescent="0.2">
      <c r="H170" s="236">
        <f t="shared" si="21"/>
        <v>0</v>
      </c>
      <c r="I170">
        <v>1.1499999999999999</v>
      </c>
      <c r="J170">
        <f t="shared" si="22"/>
        <v>0</v>
      </c>
      <c r="O170" s="15"/>
      <c r="P170" s="15"/>
    </row>
    <row r="171" spans="1:19" x14ac:dyDescent="0.2">
      <c r="H171" s="236">
        <f t="shared" si="21"/>
        <v>0</v>
      </c>
      <c r="I171">
        <f>0.18/100</f>
        <v>1.8E-3</v>
      </c>
      <c r="J171">
        <f t="shared" si="22"/>
        <v>0</v>
      </c>
      <c r="O171" s="15"/>
      <c r="P171" s="15"/>
    </row>
    <row r="172" spans="1:19" x14ac:dyDescent="0.2">
      <c r="H172" s="236">
        <f t="shared" si="21"/>
        <v>0</v>
      </c>
      <c r="I172">
        <v>22</v>
      </c>
      <c r="J172">
        <f t="shared" si="22"/>
        <v>0</v>
      </c>
      <c r="O172" s="15"/>
      <c r="P172" s="15"/>
    </row>
    <row r="173" spans="1:19" x14ac:dyDescent="0.2">
      <c r="H173" s="282">
        <f t="shared" si="21"/>
        <v>0</v>
      </c>
      <c r="I173">
        <v>4.4119999999999999</v>
      </c>
      <c r="J173">
        <f t="shared" si="22"/>
        <v>0</v>
      </c>
      <c r="O173" s="15"/>
      <c r="P173" s="15"/>
    </row>
    <row r="174" spans="1:19" x14ac:dyDescent="0.2">
      <c r="H174" s="236">
        <f t="shared" si="21"/>
        <v>0</v>
      </c>
      <c r="I174">
        <f>0.53/100</f>
        <v>5.3E-3</v>
      </c>
      <c r="J174">
        <f t="shared" si="22"/>
        <v>0</v>
      </c>
      <c r="O174" s="15"/>
      <c r="P174" s="15"/>
    </row>
    <row r="175" spans="1:19" x14ac:dyDescent="0.2">
      <c r="H175" s="283">
        <f>SUM(H169:H174)</f>
        <v>0</v>
      </c>
      <c r="J175" s="60">
        <f>SUM(J169:J174)</f>
        <v>0</v>
      </c>
      <c r="O175" s="15"/>
      <c r="P175" s="15"/>
    </row>
    <row r="176" spans="1:19" x14ac:dyDescent="0.2">
      <c r="O176" s="15"/>
      <c r="P176" s="15"/>
    </row>
    <row r="177" spans="8:16" x14ac:dyDescent="0.2">
      <c r="O177" s="15"/>
      <c r="P177" s="15"/>
    </row>
    <row r="178" spans="8:16" x14ac:dyDescent="0.2">
      <c r="H178" s="284">
        <f>E76/1.15*($E$9+FLOOR($E$9/6,1)*0.2)*1.17</f>
        <v>0</v>
      </c>
      <c r="I178" t="s">
        <v>63</v>
      </c>
      <c r="O178" s="15"/>
      <c r="P178" s="15"/>
    </row>
  </sheetData>
  <mergeCells count="25">
    <mergeCell ref="H154:I154"/>
    <mergeCell ref="B155:E155"/>
    <mergeCell ref="A158:A162"/>
    <mergeCell ref="F158:F162"/>
    <mergeCell ref="A164:A169"/>
    <mergeCell ref="F164:F169"/>
    <mergeCell ref="B154:E154"/>
    <mergeCell ref="A83:G83"/>
    <mergeCell ref="B139:E139"/>
    <mergeCell ref="B140:E140"/>
    <mergeCell ref="B145:B146"/>
    <mergeCell ref="C145:E145"/>
    <mergeCell ref="C146:E146"/>
    <mergeCell ref="AB6:AD6"/>
    <mergeCell ref="AF6:AH6"/>
    <mergeCell ref="A11:B11"/>
    <mergeCell ref="C16:D16"/>
    <mergeCell ref="A18:D18"/>
    <mergeCell ref="C82:E82"/>
    <mergeCell ref="A1:B2"/>
    <mergeCell ref="C1:G4"/>
    <mergeCell ref="L1:O1"/>
    <mergeCell ref="P1:S1"/>
    <mergeCell ref="A3:B4"/>
    <mergeCell ref="E6:F6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  <headerFooter>
    <oddFooter>&amp;LИнженер по расчетам&amp;CАрхиреева И.А.&amp;R&amp;D</oddFooter>
  </headerFooter>
  <rowBreaks count="1" manualBreakCount="1">
    <brk id="82" max="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80"/>
  <sheetViews>
    <sheetView topLeftCell="A67" zoomScaleNormal="100" workbookViewId="0">
      <selection activeCell="C85" sqref="C85"/>
    </sheetView>
  </sheetViews>
  <sheetFormatPr defaultRowHeight="12.75" x14ac:dyDescent="0.2"/>
  <cols>
    <col min="1" max="1" width="9.140625" customWidth="1"/>
    <col min="2" max="2" width="28.140625" customWidth="1"/>
    <col min="3" max="3" width="9" customWidth="1"/>
    <col min="4" max="4" width="8.28515625" customWidth="1"/>
    <col min="5" max="5" width="13.140625" customWidth="1"/>
    <col min="6" max="6" width="15.42578125" customWidth="1"/>
    <col min="7" max="7" width="11.85546875" customWidth="1"/>
    <col min="8" max="8" width="14.85546875" style="236" customWidth="1"/>
    <col min="9" max="9" width="17.5703125" customWidth="1"/>
    <col min="10" max="10" width="12.5703125" customWidth="1"/>
    <col min="11" max="11" width="11.140625" bestFit="1" customWidth="1"/>
    <col min="12" max="12" width="16.5703125" customWidth="1"/>
    <col min="13" max="13" width="13.28515625" bestFit="1" customWidth="1"/>
    <col min="14" max="14" width="14.7109375" customWidth="1"/>
    <col min="15" max="15" width="11" bestFit="1" customWidth="1"/>
    <col min="16" max="16" width="13.140625" bestFit="1" customWidth="1"/>
    <col min="17" max="17" width="5.5703125" bestFit="1" customWidth="1"/>
    <col min="18" max="18" width="11.42578125" bestFit="1" customWidth="1"/>
    <col min="19" max="19" width="7.140625" customWidth="1"/>
    <col min="20" max="20" width="11.42578125" bestFit="1" customWidth="1"/>
    <col min="21" max="21" width="5.5703125" bestFit="1" customWidth="1"/>
    <col min="23" max="23" width="8.140625" bestFit="1" customWidth="1"/>
    <col min="24" max="24" width="10.140625" bestFit="1" customWidth="1"/>
    <col min="30" max="30" width="14" customWidth="1"/>
  </cols>
  <sheetData>
    <row r="1" spans="1:35" x14ac:dyDescent="0.2">
      <c r="A1" s="1047"/>
      <c r="B1" s="1047"/>
      <c r="C1" s="1048" t="s">
        <v>13</v>
      </c>
      <c r="D1" s="1048"/>
      <c r="E1" s="1048"/>
      <c r="F1" s="1048"/>
      <c r="G1" s="1048"/>
      <c r="H1" s="285" t="s">
        <v>14</v>
      </c>
      <c r="I1" s="14"/>
      <c r="J1" s="14"/>
      <c r="K1" s="192"/>
      <c r="L1" s="1033"/>
      <c r="M1" s="1033"/>
      <c r="N1" s="1033"/>
      <c r="O1" s="1033"/>
      <c r="P1" s="1033"/>
      <c r="Q1" s="1033"/>
      <c r="R1" s="1033"/>
      <c r="S1" s="1033"/>
      <c r="T1" s="76"/>
    </row>
    <row r="2" spans="1:35" x14ac:dyDescent="0.2">
      <c r="A2" s="1047"/>
      <c r="B2" s="1047"/>
      <c r="C2" s="1048"/>
      <c r="D2" s="1048"/>
      <c r="E2" s="1048"/>
      <c r="F2" s="1048"/>
      <c r="G2" s="1048"/>
      <c r="H2" s="286"/>
      <c r="I2" s="16"/>
      <c r="J2" s="16"/>
      <c r="K2" s="192"/>
      <c r="L2" s="193"/>
      <c r="M2" s="193"/>
      <c r="N2" s="192"/>
      <c r="O2" s="192"/>
      <c r="P2" s="194"/>
      <c r="Q2" s="193"/>
      <c r="R2" s="192"/>
      <c r="S2" s="192"/>
      <c r="T2" s="76"/>
    </row>
    <row r="3" spans="1:35" x14ac:dyDescent="0.2">
      <c r="A3" s="1049" t="s">
        <v>64</v>
      </c>
      <c r="B3" s="1049"/>
      <c r="C3" s="1048"/>
      <c r="D3" s="1048"/>
      <c r="E3" s="1048"/>
      <c r="F3" s="1048"/>
      <c r="G3" s="1048"/>
      <c r="H3" s="287" t="s">
        <v>15</v>
      </c>
      <c r="I3" s="65">
        <v>2</v>
      </c>
      <c r="J3" s="16"/>
      <c r="K3" s="192"/>
      <c r="L3" s="193"/>
      <c r="M3" s="193"/>
      <c r="N3" s="192"/>
      <c r="O3" s="192"/>
      <c r="P3" s="195"/>
      <c r="Q3" s="193"/>
      <c r="R3" s="196"/>
      <c r="S3" s="192"/>
      <c r="T3" s="411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spans="1:35" x14ac:dyDescent="0.2">
      <c r="A4" s="1049"/>
      <c r="B4" s="1049"/>
      <c r="C4" s="1048"/>
      <c r="D4" s="1048"/>
      <c r="E4" s="1048"/>
      <c r="F4" s="1048"/>
      <c r="G4" s="1048"/>
      <c r="H4" s="287" t="s">
        <v>16</v>
      </c>
      <c r="I4" s="65">
        <v>0</v>
      </c>
      <c r="J4" s="16"/>
      <c r="K4" s="192"/>
      <c r="L4" s="197"/>
      <c r="M4" s="197"/>
      <c r="N4" s="192"/>
      <c r="O4" s="192"/>
      <c r="P4" s="197"/>
      <c r="Q4" s="197"/>
      <c r="R4" s="198"/>
      <c r="S4" s="192"/>
      <c r="T4" s="197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</row>
    <row r="5" spans="1:35" ht="15.75" x14ac:dyDescent="0.25">
      <c r="A5" s="17"/>
      <c r="B5" s="18" t="s">
        <v>180</v>
      </c>
      <c r="C5" s="298">
        <v>3</v>
      </c>
      <c r="D5" s="299">
        <v>2</v>
      </c>
      <c r="E5" s="19"/>
      <c r="F5" s="20" t="s">
        <v>183</v>
      </c>
      <c r="G5" s="448">
        <v>11388</v>
      </c>
      <c r="H5" s="286"/>
      <c r="I5" s="16"/>
      <c r="J5" s="16"/>
      <c r="K5" s="192"/>
      <c r="L5" s="192"/>
      <c r="M5" s="192"/>
      <c r="N5" s="192"/>
      <c r="O5" s="192"/>
      <c r="P5" s="192"/>
      <c r="Q5" s="192"/>
      <c r="R5" s="410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</row>
    <row r="6" spans="1:35" ht="15" x14ac:dyDescent="0.2">
      <c r="A6" s="239" t="s">
        <v>181</v>
      </c>
      <c r="B6" s="240" t="s">
        <v>229</v>
      </c>
      <c r="C6" s="19"/>
      <c r="D6" s="21"/>
      <c r="E6" s="1000"/>
      <c r="F6" s="1000"/>
      <c r="G6" s="21"/>
      <c r="H6" s="286" t="s">
        <v>17</v>
      </c>
      <c r="I6" s="16"/>
      <c r="J6" s="16">
        <v>0</v>
      </c>
      <c r="M6" s="192"/>
      <c r="N6" s="192"/>
      <c r="O6" s="192"/>
      <c r="P6" s="192"/>
      <c r="Q6" s="192"/>
      <c r="R6" s="410"/>
      <c r="S6" s="192"/>
      <c r="T6" s="192"/>
      <c r="U6" s="216"/>
      <c r="V6" s="192"/>
      <c r="W6" s="192"/>
      <c r="X6" s="192"/>
      <c r="Y6" s="192"/>
      <c r="Z6" s="192"/>
      <c r="AA6" s="216"/>
      <c r="AB6" s="1004"/>
      <c r="AC6" s="1004"/>
      <c r="AD6" s="1004"/>
      <c r="AE6" s="192"/>
      <c r="AF6" s="1004"/>
      <c r="AG6" s="1004"/>
      <c r="AH6" s="1004"/>
      <c r="AI6" s="192"/>
    </row>
    <row r="7" spans="1:35" x14ac:dyDescent="0.2">
      <c r="A7" s="241" t="s">
        <v>182</v>
      </c>
      <c r="B7" s="240" t="s">
        <v>352</v>
      </c>
      <c r="C7" s="22"/>
      <c r="D7" s="22"/>
      <c r="F7" s="23" t="str">
        <f>IF(I13=1,"альбом","проект")</f>
        <v>альбом</v>
      </c>
      <c r="G7" s="22"/>
      <c r="H7" s="286" t="s">
        <v>18</v>
      </c>
      <c r="I7" s="16"/>
      <c r="J7" s="16">
        <v>1</v>
      </c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</row>
    <row r="8" spans="1:35" x14ac:dyDescent="0.2">
      <c r="A8" s="18"/>
      <c r="B8" s="20" t="s">
        <v>20</v>
      </c>
      <c r="C8" s="66">
        <v>18</v>
      </c>
      <c r="E8" s="24"/>
      <c r="F8" s="237" t="s">
        <v>178</v>
      </c>
      <c r="G8" s="238">
        <v>3</v>
      </c>
      <c r="H8" s="286" t="s">
        <v>21</v>
      </c>
      <c r="I8" s="16"/>
      <c r="J8" s="16">
        <v>2</v>
      </c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7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</row>
    <row r="9" spans="1:35" x14ac:dyDescent="0.2">
      <c r="A9" s="25"/>
      <c r="B9" s="20" t="s">
        <v>22</v>
      </c>
      <c r="C9" s="66">
        <v>60</v>
      </c>
      <c r="E9" s="26"/>
      <c r="F9" s="237" t="s">
        <v>179</v>
      </c>
      <c r="G9" s="238">
        <v>5</v>
      </c>
      <c r="H9" s="286" t="s">
        <v>23</v>
      </c>
      <c r="I9" s="16"/>
      <c r="J9" s="16">
        <v>3</v>
      </c>
      <c r="K9" s="192"/>
      <c r="L9" s="192"/>
      <c r="M9" s="1033"/>
      <c r="N9" s="1033"/>
      <c r="O9" s="1033"/>
      <c r="P9" s="1033"/>
      <c r="Q9" s="192"/>
      <c r="R9" s="192"/>
      <c r="S9" s="192"/>
      <c r="T9" s="192"/>
      <c r="U9" s="192"/>
      <c r="V9" s="197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</row>
    <row r="10" spans="1:35" x14ac:dyDescent="0.2">
      <c r="A10" s="1"/>
      <c r="B10" s="20" t="s">
        <v>24</v>
      </c>
      <c r="C10" s="66">
        <v>6</v>
      </c>
      <c r="E10" s="26"/>
      <c r="F10" s="5"/>
      <c r="H10" s="286" t="s">
        <v>25</v>
      </c>
      <c r="I10" s="16"/>
      <c r="J10" s="16">
        <v>4</v>
      </c>
      <c r="K10" s="192"/>
      <c r="L10" s="192"/>
      <c r="M10" s="581"/>
      <c r="N10" s="582" t="s">
        <v>303</v>
      </c>
      <c r="O10" s="219" t="s">
        <v>302</v>
      </c>
      <c r="P10" s="192"/>
      <c r="Q10" s="192"/>
      <c r="R10" s="192"/>
      <c r="S10" s="192"/>
      <c r="T10" s="192"/>
      <c r="U10" s="192"/>
      <c r="V10" s="197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</row>
    <row r="11" spans="1:35" x14ac:dyDescent="0.2">
      <c r="A11" s="999" t="s">
        <v>26</v>
      </c>
      <c r="B11" s="999"/>
      <c r="C11" s="27">
        <v>6</v>
      </c>
      <c r="D11" s="1"/>
      <c r="E11" s="1"/>
      <c r="F11" s="5"/>
      <c r="H11" s="286" t="s">
        <v>101</v>
      </c>
      <c r="I11" s="242"/>
      <c r="J11" s="16">
        <v>5</v>
      </c>
      <c r="K11" s="192"/>
      <c r="L11" s="192"/>
      <c r="M11" s="584"/>
      <c r="N11" s="584"/>
      <c r="O11" s="569"/>
      <c r="P11" s="192"/>
      <c r="Q11" s="192"/>
      <c r="R11" s="192"/>
      <c r="S11" s="192"/>
      <c r="T11" s="197"/>
      <c r="U11" s="192"/>
      <c r="V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</row>
    <row r="12" spans="1:35" ht="13.5" thickBot="1" x14ac:dyDescent="0.25">
      <c r="B12" s="20" t="s">
        <v>27</v>
      </c>
      <c r="C12" s="913" t="str">
        <f>IF(I3=0,"нет",IF(I3=1,"оцинкованный профлист",IF(I3=2,"окрашенный профлист",IF(I3=3,"окрашенный профлист, сайдинг","окрашенный профлист, фасадная кассета"))))</f>
        <v>окрашенный профлист</v>
      </c>
      <c r="D12" s="29" t="s">
        <v>371</v>
      </c>
      <c r="F12" s="176"/>
      <c r="H12" s="294" t="s">
        <v>214</v>
      </c>
      <c r="I12" s="295" t="s">
        <v>213</v>
      </c>
      <c r="J12" s="8"/>
      <c r="K12" s="192"/>
      <c r="L12" s="192"/>
      <c r="M12" s="585" t="s">
        <v>306</v>
      </c>
      <c r="N12" s="585" t="s">
        <v>329</v>
      </c>
      <c r="O12" s="569" t="s">
        <v>301</v>
      </c>
      <c r="P12" s="192"/>
      <c r="Q12" s="192"/>
      <c r="R12" s="192"/>
      <c r="S12" s="192"/>
      <c r="T12" s="297"/>
      <c r="U12" s="192"/>
      <c r="V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</row>
    <row r="13" spans="1:35" x14ac:dyDescent="0.2">
      <c r="A13" s="15"/>
      <c r="B13" s="30" t="s">
        <v>28</v>
      </c>
      <c r="C13" s="28" t="str">
        <f>IF(I4=0,"нет",IF(I4=1,"оцинкованный профлист",IF(I4=2,"окрашенный профлист",IF(I4=3,"окрашенный профлист, сайдинг","окрашенный профлист, фасадная панель"))))</f>
        <v>нет</v>
      </c>
      <c r="D13" s="31"/>
      <c r="E13" s="175"/>
      <c r="F13" s="13"/>
      <c r="G13" s="15"/>
      <c r="H13" s="294" t="s">
        <v>215</v>
      </c>
      <c r="I13" s="296">
        <v>1</v>
      </c>
      <c r="J13" s="856" t="s">
        <v>358</v>
      </c>
      <c r="K13" s="192"/>
      <c r="L13" s="192"/>
      <c r="M13" s="219"/>
      <c r="N13" s="219"/>
      <c r="O13" s="219"/>
      <c r="P13" s="192"/>
      <c r="Q13" s="192"/>
      <c r="R13" s="192"/>
      <c r="S13" s="192"/>
      <c r="T13" s="192"/>
      <c r="U13" s="192"/>
      <c r="V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</row>
    <row r="14" spans="1:35" ht="17.25" x14ac:dyDescent="0.3">
      <c r="A14" s="15"/>
      <c r="D14" s="30" t="s">
        <v>29</v>
      </c>
      <c r="E14" s="67">
        <v>200</v>
      </c>
      <c r="F14" s="32" t="s">
        <v>30</v>
      </c>
      <c r="G14" s="15"/>
      <c r="H14" s="449"/>
      <c r="I14" s="8"/>
      <c r="J14" s="857">
        <f>15*3.14/180</f>
        <v>0.26166666666666666</v>
      </c>
      <c r="K14" s="192"/>
      <c r="L14" s="450"/>
      <c r="M14" s="3" t="s">
        <v>308</v>
      </c>
      <c r="N14" s="219" t="s">
        <v>330</v>
      </c>
      <c r="O14" s="219" t="s">
        <v>309</v>
      </c>
      <c r="P14" s="192"/>
      <c r="Q14" s="452"/>
      <c r="R14" s="451"/>
      <c r="S14" s="451"/>
      <c r="T14" s="452"/>
      <c r="U14" s="451"/>
      <c r="V14" s="452"/>
      <c r="Y14" s="197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</row>
    <row r="15" spans="1:35" ht="17.25" x14ac:dyDescent="0.3">
      <c r="A15" s="15"/>
      <c r="D15" s="30" t="s">
        <v>31</v>
      </c>
      <c r="E15" s="67">
        <v>150</v>
      </c>
      <c r="F15" s="32" t="s">
        <v>30</v>
      </c>
      <c r="G15" s="15"/>
      <c r="H15" s="271"/>
      <c r="I15" s="8"/>
      <c r="J15" s="857">
        <f>COS(J14)</f>
        <v>0.96596016853839861</v>
      </c>
      <c r="K15" s="192"/>
      <c r="L15" s="450"/>
      <c r="M15" s="360"/>
      <c r="N15" s="360"/>
      <c r="O15" s="360"/>
      <c r="P15" s="192"/>
      <c r="Q15" s="452"/>
      <c r="R15" s="451"/>
      <c r="S15" s="451"/>
      <c r="T15" s="452"/>
      <c r="U15" s="451"/>
      <c r="V15" s="452"/>
      <c r="Y15" s="197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</row>
    <row r="16" spans="1:35" ht="18" thickBot="1" x14ac:dyDescent="0.35">
      <c r="A16" s="15"/>
      <c r="B16" s="33"/>
      <c r="C16" s="1002"/>
      <c r="D16" s="1002"/>
      <c r="E16" s="157"/>
      <c r="F16" s="34"/>
      <c r="G16" s="453"/>
      <c r="H16" s="454"/>
      <c r="I16" s="292" t="s">
        <v>212</v>
      </c>
      <c r="J16" s="858">
        <f>C8/2/J15*2</f>
        <v>18.634308728522349</v>
      </c>
      <c r="K16" s="192"/>
      <c r="L16" s="450"/>
      <c r="M16" s="360" t="s">
        <v>310</v>
      </c>
      <c r="N16" s="360" t="s">
        <v>331</v>
      </c>
      <c r="O16" s="360" t="s">
        <v>311</v>
      </c>
      <c r="P16" s="192"/>
      <c r="Q16" s="452"/>
      <c r="R16" s="451"/>
      <c r="S16" s="451"/>
      <c r="T16" s="452"/>
      <c r="U16" s="451"/>
      <c r="V16" s="452"/>
      <c r="Y16" s="197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</row>
    <row r="17" spans="1:35" ht="17.25" x14ac:dyDescent="0.3">
      <c r="A17" s="15"/>
      <c r="B17" s="10"/>
      <c r="C17" s="10"/>
      <c r="D17" s="35" t="s">
        <v>32</v>
      </c>
      <c r="E17" s="165">
        <v>0</v>
      </c>
      <c r="F17" s="36" t="s">
        <v>33</v>
      </c>
      <c r="G17" s="10"/>
      <c r="H17" s="272"/>
      <c r="I17" s="293">
        <f>CEILING(C9/C11+1,1)</f>
        <v>11</v>
      </c>
      <c r="J17" s="192"/>
      <c r="K17" s="192"/>
      <c r="L17" s="460" t="s">
        <v>232</v>
      </c>
      <c r="M17" s="829">
        <f>[1]Основные!$F$344</f>
        <v>1693.65</v>
      </c>
      <c r="N17" s="849">
        <f>9.668</f>
        <v>9.6679999999999993</v>
      </c>
      <c r="O17" s="452"/>
      <c r="P17" s="451"/>
      <c r="Q17" s="452"/>
      <c r="R17" s="455"/>
      <c r="S17" s="456"/>
      <c r="T17" s="457"/>
      <c r="U17" s="456"/>
      <c r="V17" s="457"/>
      <c r="Y17" s="197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</row>
    <row r="18" spans="1:35" ht="16.5" thickBot="1" x14ac:dyDescent="0.25">
      <c r="A18" s="1003" t="s">
        <v>34</v>
      </c>
      <c r="B18" s="1003"/>
      <c r="C18" s="1003"/>
      <c r="D18" s="1003"/>
      <c r="E18" s="37"/>
      <c r="F18" s="37"/>
      <c r="G18" s="37"/>
      <c r="H18" s="272"/>
      <c r="I18" s="226" t="s">
        <v>130</v>
      </c>
      <c r="J18" s="227" t="s">
        <v>128</v>
      </c>
      <c r="K18" s="219" t="s">
        <v>129</v>
      </c>
      <c r="L18" s="458"/>
      <c r="M18" s="192"/>
      <c r="N18" s="221" t="s">
        <v>313</v>
      </c>
      <c r="O18" s="192"/>
      <c r="P18" s="456"/>
      <c r="Q18" s="457"/>
      <c r="R18" s="456"/>
      <c r="S18" s="458"/>
      <c r="T18" s="457"/>
      <c r="U18" s="458"/>
      <c r="V18" s="457"/>
      <c r="Y18" s="197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</row>
    <row r="19" spans="1:35" ht="26.25" thickBot="1" x14ac:dyDescent="0.25">
      <c r="A19" s="459" t="s">
        <v>35</v>
      </c>
      <c r="B19" s="38" t="s">
        <v>36</v>
      </c>
      <c r="C19" s="38" t="s">
        <v>37</v>
      </c>
      <c r="D19" s="39" t="s">
        <v>38</v>
      </c>
      <c r="E19" s="40" t="s">
        <v>39</v>
      </c>
      <c r="F19" s="38" t="s">
        <v>40</v>
      </c>
      <c r="G19" s="39" t="s">
        <v>41</v>
      </c>
      <c r="H19" s="269" t="s">
        <v>210</v>
      </c>
      <c r="I19" s="460" t="s">
        <v>127</v>
      </c>
      <c r="J19" s="829">
        <f>[1]Основные!$F$342</f>
        <v>1043.7</v>
      </c>
      <c r="K19" s="348">
        <v>5.9740000000000002</v>
      </c>
      <c r="L19" s="458"/>
      <c r="M19" s="417" t="s">
        <v>312</v>
      </c>
      <c r="N19" s="219" t="str">
        <f>I30</f>
        <v>ТПС 150х65х1,5</v>
      </c>
      <c r="O19" s="219" t="str">
        <f>I31</f>
        <v>ТПС 200х1,5</v>
      </c>
      <c r="P19" s="458"/>
      <c r="Q19" s="457"/>
      <c r="R19" s="456"/>
      <c r="S19" s="458"/>
      <c r="T19" s="457"/>
      <c r="U19" s="458"/>
      <c r="V19" s="457"/>
      <c r="Y19" s="197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</row>
    <row r="20" spans="1:35" s="317" customFormat="1" ht="13.5" thickBot="1" x14ac:dyDescent="0.25">
      <c r="A20" s="327">
        <v>1</v>
      </c>
      <c r="B20" s="130" t="s">
        <v>80</v>
      </c>
      <c r="C20" s="87"/>
      <c r="D20" s="88"/>
      <c r="E20" s="89"/>
      <c r="F20" s="87"/>
      <c r="G20" s="88"/>
      <c r="H20" s="328"/>
      <c r="I20" s="460" t="s">
        <v>124</v>
      </c>
      <c r="J20" s="829">
        <f>[1]Основные!$F$343</f>
        <v>1370.25</v>
      </c>
      <c r="K20" s="348">
        <v>7.9130000000000003</v>
      </c>
      <c r="L20" s="352"/>
      <c r="M20" s="219" t="s">
        <v>308</v>
      </c>
      <c r="N20" s="219" t="str">
        <f>I29</f>
        <v>ТПС 150х1,5</v>
      </c>
      <c r="O20" s="219" t="str">
        <f>I30</f>
        <v>ТПС 150х65х1,5</v>
      </c>
      <c r="P20" s="352"/>
      <c r="Q20" s="352"/>
      <c r="R20" s="352"/>
      <c r="S20" s="356"/>
      <c r="T20" s="353"/>
      <c r="U20" s="356"/>
      <c r="V20" s="353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</row>
    <row r="21" spans="1:35" s="317" customFormat="1" ht="15" x14ac:dyDescent="0.2">
      <c r="A21" s="126" t="s">
        <v>184</v>
      </c>
      <c r="B21" s="171" t="str">
        <f>I21</f>
        <v>ПГС-S 300х80х3</v>
      </c>
      <c r="C21" s="329">
        <f>I17*(J16)*2</f>
        <v>409.95479202749169</v>
      </c>
      <c r="D21" s="171" t="s">
        <v>8</v>
      </c>
      <c r="E21" s="330">
        <f>J21</f>
        <v>2020.2</v>
      </c>
      <c r="F21" s="331">
        <f t="shared" ref="F21:F30" si="0">C21*E21</f>
        <v>828190.67085393879</v>
      </c>
      <c r="G21" s="290">
        <f>C21*H21</f>
        <v>4814.5090775708622</v>
      </c>
      <c r="H21" s="328">
        <f>K21</f>
        <v>11.744</v>
      </c>
      <c r="I21" s="460" t="s">
        <v>134</v>
      </c>
      <c r="J21" s="829">
        <f>[1]Основные!$F$345</f>
        <v>2020.2</v>
      </c>
      <c r="K21" s="461">
        <v>11.744</v>
      </c>
      <c r="L21" s="352"/>
      <c r="M21" s="583" t="s">
        <v>310</v>
      </c>
      <c r="N21" s="583" t="str">
        <f>I30</f>
        <v>ТПС 150х65х1,5</v>
      </c>
      <c r="O21" s="583" t="str">
        <f>I31</f>
        <v>ТПС 200х1,5</v>
      </c>
      <c r="P21" s="356"/>
      <c r="Q21" s="353"/>
      <c r="R21" s="352"/>
      <c r="S21" s="356"/>
      <c r="T21" s="353"/>
      <c r="U21" s="356"/>
      <c r="V21" s="353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</row>
    <row r="22" spans="1:35" s="317" customFormat="1" x14ac:dyDescent="0.2">
      <c r="A22" s="127" t="s">
        <v>185</v>
      </c>
      <c r="B22" s="166" t="str">
        <f>I21</f>
        <v>ПГС-S 300х80х3</v>
      </c>
      <c r="C22" s="332">
        <f>I17*4*(C10-0.07)</f>
        <v>260.91999999999996</v>
      </c>
      <c r="D22" s="166" t="s">
        <v>8</v>
      </c>
      <c r="E22" s="333">
        <f>J21</f>
        <v>2020.2</v>
      </c>
      <c r="F22" s="291">
        <f t="shared" si="0"/>
        <v>527110.58399999992</v>
      </c>
      <c r="G22" s="291">
        <f t="shared" ref="G22:G30" si="1">C22*H22</f>
        <v>3064.2444799999994</v>
      </c>
      <c r="H22" s="328">
        <f>K21</f>
        <v>11.744</v>
      </c>
      <c r="I22" s="462" t="s">
        <v>132</v>
      </c>
      <c r="J22" s="829">
        <f>[1]Основные!$F$294</f>
        <v>532.35</v>
      </c>
      <c r="K22" s="266">
        <v>3.07</v>
      </c>
      <c r="L22" s="352"/>
      <c r="M22" s="352"/>
      <c r="N22" s="352"/>
      <c r="O22" s="353"/>
      <c r="P22" s="356"/>
      <c r="Q22" s="353"/>
      <c r="R22" s="352"/>
      <c r="S22" s="356"/>
      <c r="T22" s="353"/>
      <c r="U22" s="356"/>
      <c r="V22" s="353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</row>
    <row r="23" spans="1:35" s="317" customFormat="1" x14ac:dyDescent="0.2">
      <c r="A23" s="127" t="s">
        <v>186</v>
      </c>
      <c r="B23" s="166" t="str">
        <f>I24</f>
        <v>ПГС 145х70х1,5</v>
      </c>
      <c r="C23" s="332">
        <f>(3*C9+8*C11)</f>
        <v>228</v>
      </c>
      <c r="D23" s="166" t="s">
        <v>8</v>
      </c>
      <c r="E23" s="333">
        <f>J24</f>
        <v>630</v>
      </c>
      <c r="F23" s="291"/>
      <c r="G23" s="291"/>
      <c r="H23" s="328">
        <f>K24</f>
        <v>3.64</v>
      </c>
      <c r="I23" s="462" t="s">
        <v>133</v>
      </c>
      <c r="J23" s="829">
        <f>[1]Основные!$F$295</f>
        <v>704.55000000000007</v>
      </c>
      <c r="K23" s="266">
        <v>4.08</v>
      </c>
      <c r="L23" s="352"/>
      <c r="M23" s="1057" t="s">
        <v>288</v>
      </c>
      <c r="N23" s="591" t="s">
        <v>317</v>
      </c>
      <c r="O23" s="591" t="s">
        <v>317</v>
      </c>
      <c r="P23" s="591" t="s">
        <v>315</v>
      </c>
      <c r="Q23" s="353"/>
      <c r="R23" s="352"/>
      <c r="S23" s="356"/>
      <c r="T23" s="353"/>
      <c r="U23" s="356"/>
      <c r="V23" s="353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</row>
    <row r="24" spans="1:35" s="317" customFormat="1" x14ac:dyDescent="0.2">
      <c r="A24" s="127" t="s">
        <v>187</v>
      </c>
      <c r="B24" s="166" t="s">
        <v>373</v>
      </c>
      <c r="C24" s="332">
        <f>IF(I13=1,8*2*(C9),9*2*(C9))</f>
        <v>960</v>
      </c>
      <c r="D24" s="166" t="s">
        <v>8</v>
      </c>
      <c r="E24" s="333">
        <f>J36</f>
        <v>997</v>
      </c>
      <c r="F24" s="291">
        <f t="shared" si="0"/>
        <v>957120</v>
      </c>
      <c r="G24" s="291">
        <f t="shared" si="1"/>
        <v>5846.8799999999992</v>
      </c>
      <c r="H24" s="328">
        <v>6.0904999999999996</v>
      </c>
      <c r="I24" s="463" t="s">
        <v>125</v>
      </c>
      <c r="J24" s="829">
        <f>[1]Основные!$F$299</f>
        <v>630</v>
      </c>
      <c r="K24" s="266">
        <v>3.64</v>
      </c>
      <c r="L24" s="352"/>
      <c r="M24" s="1058"/>
      <c r="N24" s="591" t="s">
        <v>316</v>
      </c>
      <c r="O24" s="591" t="s">
        <v>316</v>
      </c>
      <c r="P24" s="591" t="s">
        <v>333</v>
      </c>
      <c r="Q24" s="352"/>
      <c r="R24" s="352"/>
      <c r="S24" s="356"/>
      <c r="T24" s="353"/>
      <c r="U24" s="356"/>
      <c r="V24" s="353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</row>
    <row r="25" spans="1:35" s="317" customFormat="1" x14ac:dyDescent="0.2">
      <c r="A25" s="127" t="s">
        <v>188</v>
      </c>
      <c r="B25" s="166" t="s">
        <v>110</v>
      </c>
      <c r="C25" s="332">
        <f>IF(I13=1,0,2*(C9+1))</f>
        <v>0</v>
      </c>
      <c r="D25" s="166" t="s">
        <v>8</v>
      </c>
      <c r="E25" s="333">
        <f>J39</f>
        <v>476.70000000000005</v>
      </c>
      <c r="F25" s="291">
        <f t="shared" si="0"/>
        <v>0</v>
      </c>
      <c r="G25" s="291">
        <f t="shared" si="1"/>
        <v>0</v>
      </c>
      <c r="H25" s="328">
        <f>K39</f>
        <v>2.5590000000000002</v>
      </c>
      <c r="I25" s="462" t="s">
        <v>131</v>
      </c>
      <c r="J25" s="829">
        <f>[1]Основные!$F$301</f>
        <v>833.7</v>
      </c>
      <c r="K25" s="266">
        <v>4.82</v>
      </c>
      <c r="L25" s="352"/>
      <c r="M25" s="1057" t="s">
        <v>332</v>
      </c>
      <c r="N25" s="737" t="s">
        <v>316</v>
      </c>
      <c r="O25" s="737" t="s">
        <v>317</v>
      </c>
      <c r="P25" s="737"/>
      <c r="Q25" s="353"/>
      <c r="R25" s="352"/>
      <c r="S25" s="356"/>
      <c r="T25" s="353"/>
      <c r="U25" s="356"/>
      <c r="V25" s="353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</row>
    <row r="26" spans="1:35" s="317" customFormat="1" x14ac:dyDescent="0.2">
      <c r="A26" s="127"/>
      <c r="B26" s="166" t="s">
        <v>265</v>
      </c>
      <c r="C26" s="332">
        <f>I17*2*C8*0.05*1.1</f>
        <v>21.78</v>
      </c>
      <c r="D26" s="166" t="s">
        <v>33</v>
      </c>
      <c r="E26" s="333">
        <f>[1]Основные!$F$40</f>
        <v>1061.3119999999999</v>
      </c>
      <c r="F26" s="291">
        <f t="shared" ref="F26" si="2">C26*E26</f>
        <v>23115.375359999998</v>
      </c>
      <c r="G26" s="291">
        <f t="shared" ref="G26" si="3">C26*H26</f>
        <v>130.68</v>
      </c>
      <c r="H26" s="328">
        <f>6</f>
        <v>6</v>
      </c>
      <c r="I26" s="462"/>
      <c r="J26" s="266"/>
      <c r="K26" s="266"/>
      <c r="L26" s="352"/>
      <c r="M26" s="1058"/>
      <c r="N26" s="737" t="s">
        <v>318</v>
      </c>
      <c r="O26" s="737" t="s">
        <v>318</v>
      </c>
      <c r="P26" s="737"/>
      <c r="Q26" s="353"/>
      <c r="R26" s="352"/>
      <c r="S26" s="356"/>
      <c r="T26" s="353"/>
      <c r="U26" s="356"/>
      <c r="V26" s="353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</row>
    <row r="27" spans="1:35" s="317" customFormat="1" x14ac:dyDescent="0.2">
      <c r="A27" s="127"/>
      <c r="B27" s="166" t="s">
        <v>219</v>
      </c>
      <c r="C27" s="332">
        <f>2*(C8+2*C10)*1.1</f>
        <v>66</v>
      </c>
      <c r="D27" s="166" t="s">
        <v>8</v>
      </c>
      <c r="E27" s="333">
        <f>J43</f>
        <v>223</v>
      </c>
      <c r="F27" s="291">
        <f t="shared" si="0"/>
        <v>14718</v>
      </c>
      <c r="G27" s="291">
        <f t="shared" si="1"/>
        <v>107.58</v>
      </c>
      <c r="H27" s="328">
        <f>1.63</f>
        <v>1.63</v>
      </c>
      <c r="I27" s="462"/>
      <c r="J27" s="266"/>
      <c r="K27" s="266"/>
      <c r="L27" s="352"/>
      <c r="M27" s="1057" t="s">
        <v>291</v>
      </c>
      <c r="N27" s="591" t="s">
        <v>317</v>
      </c>
      <c r="O27" s="591" t="s">
        <v>316</v>
      </c>
      <c r="P27" s="591"/>
      <c r="Q27" s="353"/>
      <c r="R27" s="352"/>
      <c r="S27" s="356"/>
      <c r="T27" s="353"/>
      <c r="U27" s="356"/>
      <c r="V27" s="353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</row>
    <row r="28" spans="1:35" s="317" customFormat="1" x14ac:dyDescent="0.2">
      <c r="A28" s="127" t="s">
        <v>277</v>
      </c>
      <c r="B28" s="166" t="s">
        <v>231</v>
      </c>
      <c r="C28" s="332">
        <f>4*C9</f>
        <v>240</v>
      </c>
      <c r="D28" s="166" t="s">
        <v>8</v>
      </c>
      <c r="E28" s="333">
        <f>J41</f>
        <v>521.85</v>
      </c>
      <c r="F28" s="291">
        <f t="shared" si="0"/>
        <v>125244</v>
      </c>
      <c r="G28" s="291">
        <f t="shared" si="1"/>
        <v>672</v>
      </c>
      <c r="H28" s="328">
        <f>K41</f>
        <v>2.8</v>
      </c>
      <c r="I28" s="462"/>
      <c r="J28" s="266"/>
      <c r="K28" s="266"/>
      <c r="L28" s="352"/>
      <c r="M28" s="1058"/>
      <c r="N28" s="591" t="s">
        <v>316</v>
      </c>
      <c r="O28" s="591" t="s">
        <v>316</v>
      </c>
      <c r="P28" s="591"/>
      <c r="Q28" s="353"/>
      <c r="R28" s="352"/>
      <c r="S28" s="356"/>
      <c r="T28" s="353"/>
      <c r="U28" s="356"/>
      <c r="V28" s="353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</row>
    <row r="29" spans="1:35" s="317" customFormat="1" x14ac:dyDescent="0.2">
      <c r="A29" s="127"/>
      <c r="B29" s="166" t="s">
        <v>79</v>
      </c>
      <c r="C29" s="332">
        <f>I17*(C8+2*C10)/0.6</f>
        <v>550</v>
      </c>
      <c r="D29" s="166" t="s">
        <v>10</v>
      </c>
      <c r="E29" s="140">
        <f>[1]Основные!$F$544</f>
        <v>291</v>
      </c>
      <c r="F29" s="291">
        <f t="shared" si="0"/>
        <v>160050</v>
      </c>
      <c r="G29" s="291">
        <f t="shared" si="1"/>
        <v>770</v>
      </c>
      <c r="H29" s="328">
        <v>1.4</v>
      </c>
      <c r="I29" s="464" t="s">
        <v>123</v>
      </c>
      <c r="J29" s="840">
        <f>[1]Основные!$D$259</f>
        <v>507</v>
      </c>
      <c r="K29" s="348">
        <v>2.86</v>
      </c>
      <c r="L29" s="352"/>
      <c r="M29" s="357"/>
      <c r="N29" s="357"/>
      <c r="O29" s="358"/>
      <c r="P29" s="359"/>
      <c r="Q29" s="358"/>
      <c r="R29" s="352"/>
      <c r="S29" s="356"/>
      <c r="T29" s="353"/>
      <c r="U29" s="356"/>
      <c r="V29" s="353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</row>
    <row r="30" spans="1:35" s="317" customFormat="1" ht="13.5" thickBot="1" x14ac:dyDescent="0.25">
      <c r="A30" s="734"/>
      <c r="B30" s="172" t="s">
        <v>78</v>
      </c>
      <c r="C30" s="735">
        <f>2*C29</f>
        <v>1100</v>
      </c>
      <c r="D30" s="172" t="s">
        <v>10</v>
      </c>
      <c r="E30" s="736">
        <f>[1]Основные!$F$545</f>
        <v>114</v>
      </c>
      <c r="F30" s="551">
        <f t="shared" si="0"/>
        <v>125400</v>
      </c>
      <c r="G30" s="551">
        <f t="shared" si="1"/>
        <v>550</v>
      </c>
      <c r="H30" s="328">
        <v>0.5</v>
      </c>
      <c r="I30" s="465" t="s">
        <v>135</v>
      </c>
      <c r="J30" s="635">
        <f>[1]Основные!$D$265</f>
        <v>570</v>
      </c>
      <c r="K30" s="350">
        <v>3.3380000000000001</v>
      </c>
      <c r="L30" s="352"/>
      <c r="M30" s="352"/>
      <c r="N30" s="356"/>
      <c r="O30" s="353"/>
      <c r="P30" s="356"/>
      <c r="Q30" s="353"/>
      <c r="R30" s="352"/>
      <c r="S30" s="356"/>
      <c r="T30" s="353"/>
      <c r="U30" s="356"/>
      <c r="V30" s="353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</row>
    <row r="31" spans="1:35" s="317" customFormat="1" x14ac:dyDescent="0.2">
      <c r="A31" s="126"/>
      <c r="B31" s="171" t="s">
        <v>72</v>
      </c>
      <c r="C31" s="388">
        <v>0.05</v>
      </c>
      <c r="D31" s="171"/>
      <c r="E31" s="330"/>
      <c r="F31" s="331">
        <f>SUM(F21:F30)*C31</f>
        <v>138047.43151069694</v>
      </c>
      <c r="G31" s="391"/>
      <c r="H31" s="376"/>
      <c r="I31" s="467" t="s">
        <v>136</v>
      </c>
      <c r="J31" s="635">
        <f>[1]Основные!$D$277</f>
        <v>604</v>
      </c>
      <c r="K31" s="350">
        <v>3.4569999999999999</v>
      </c>
      <c r="L31" s="356"/>
      <c r="M31" s="352"/>
      <c r="N31" s="356"/>
      <c r="O31" s="353"/>
      <c r="P31" s="356"/>
      <c r="Q31" s="353"/>
      <c r="R31" s="352"/>
      <c r="S31" s="356"/>
      <c r="T31" s="353"/>
      <c r="U31" s="356"/>
      <c r="V31" s="353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</row>
    <row r="32" spans="1:35" s="317" customFormat="1" ht="13.5" thickBot="1" x14ac:dyDescent="0.25">
      <c r="A32" s="128"/>
      <c r="B32" s="123" t="s">
        <v>81</v>
      </c>
      <c r="C32" s="338"/>
      <c r="D32" s="339"/>
      <c r="E32" s="340"/>
      <c r="F32" s="118">
        <f>SUM(F21:F31)</f>
        <v>2898996.0617246358</v>
      </c>
      <c r="G32" s="389">
        <f>SUM(G21:G31)</f>
        <v>15955.893557570862</v>
      </c>
      <c r="H32" s="376"/>
      <c r="I32" s="465" t="s">
        <v>139</v>
      </c>
      <c r="J32" s="840">
        <f>[1]Основные!$D$278</f>
        <v>779</v>
      </c>
      <c r="K32" s="348">
        <v>4.5289999999999999</v>
      </c>
      <c r="L32" s="356"/>
      <c r="M32" s="352"/>
      <c r="N32" s="356"/>
      <c r="O32" s="353"/>
      <c r="P32" s="356"/>
      <c r="Q32" s="353"/>
      <c r="R32" s="352"/>
      <c r="S32" s="352"/>
      <c r="T32" s="353"/>
      <c r="U32" s="356"/>
      <c r="V32" s="353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</row>
    <row r="33" spans="1:35" ht="13.5" thickBot="1" x14ac:dyDescent="0.25">
      <c r="A33" s="92">
        <v>2</v>
      </c>
      <c r="B33" s="129" t="s">
        <v>82</v>
      </c>
      <c r="C33" s="119"/>
      <c r="D33" s="7"/>
      <c r="E33" s="133"/>
      <c r="F33" s="125"/>
      <c r="G33" s="202"/>
      <c r="H33" s="270"/>
      <c r="I33" s="313" t="s">
        <v>137</v>
      </c>
      <c r="J33" s="841">
        <f>[1]Основные!$D$284</f>
        <v>666</v>
      </c>
      <c r="K33" s="219">
        <v>3.9359999999999999</v>
      </c>
      <c r="L33" s="192"/>
      <c r="M33" s="410"/>
      <c r="N33" s="410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</row>
    <row r="34" spans="1:35" x14ac:dyDescent="0.2">
      <c r="A34" s="120" t="s">
        <v>189</v>
      </c>
      <c r="B34" s="54" t="s">
        <v>231</v>
      </c>
      <c r="C34" s="345">
        <f>((C10+0.5)/1.2+1)*(C8+C9)*2*1.1*2</f>
        <v>2202.2000000000003</v>
      </c>
      <c r="D34" s="77" t="s">
        <v>8</v>
      </c>
      <c r="E34" s="134">
        <f>J41</f>
        <v>521.85</v>
      </c>
      <c r="F34" s="139"/>
      <c r="G34" s="290"/>
      <c r="H34" s="270">
        <f>K41</f>
        <v>2.8</v>
      </c>
      <c r="I34" s="230" t="s">
        <v>138</v>
      </c>
      <c r="J34" s="841">
        <f>[1]Основные!$D$285</f>
        <v>882</v>
      </c>
      <c r="K34" s="219">
        <v>5.1639999999999997</v>
      </c>
      <c r="L34" s="192"/>
      <c r="M34" s="194"/>
      <c r="N34" s="194"/>
      <c r="O34" s="194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</row>
    <row r="35" spans="1:35" x14ac:dyDescent="0.2">
      <c r="A35" s="414" t="s">
        <v>190</v>
      </c>
      <c r="B35" s="4" t="s">
        <v>121</v>
      </c>
      <c r="C35" s="85">
        <f>0*(C8+C9)*2/C11*(C10+0.5)*2*1.1+L153*J153/0.6*O153+(J153+K153)*2*2*L153*1.1</f>
        <v>0</v>
      </c>
      <c r="D35" s="4" t="s">
        <v>8</v>
      </c>
      <c r="E35" s="135">
        <f>J41</f>
        <v>521.85</v>
      </c>
      <c r="F35" s="43"/>
      <c r="G35" s="291"/>
      <c r="H35" s="270">
        <f>K41</f>
        <v>2.8</v>
      </c>
      <c r="I35" s="230" t="s">
        <v>140</v>
      </c>
      <c r="J35" s="841">
        <f>[1]Основные!$D$288</f>
        <v>753</v>
      </c>
      <c r="K35" s="219">
        <v>4.4729999999999999</v>
      </c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</row>
    <row r="36" spans="1:35" x14ac:dyDescent="0.2">
      <c r="A36" s="414" t="s">
        <v>357</v>
      </c>
      <c r="B36" s="4" t="s">
        <v>113</v>
      </c>
      <c r="C36" s="85">
        <f>2*(C8+C9)*2</f>
        <v>312</v>
      </c>
      <c r="D36" s="4" t="s">
        <v>8</v>
      </c>
      <c r="E36" s="135">
        <f>J38</f>
        <v>262.5</v>
      </c>
      <c r="F36" s="43"/>
      <c r="G36" s="291"/>
      <c r="H36" s="270">
        <f>K38</f>
        <v>1.7270000000000001</v>
      </c>
      <c r="I36" s="230" t="s">
        <v>141</v>
      </c>
      <c r="J36" s="841">
        <f>[1]Основные!$D$289</f>
        <v>997</v>
      </c>
      <c r="K36" s="219">
        <v>5.8</v>
      </c>
      <c r="L36" s="3" t="s">
        <v>245</v>
      </c>
      <c r="M36" s="834">
        <f>[1]Основные!$F$216</f>
        <v>302.40000000000003</v>
      </c>
      <c r="N36" s="3">
        <v>1.69</v>
      </c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</row>
    <row r="37" spans="1:35" x14ac:dyDescent="0.2">
      <c r="A37" s="121"/>
      <c r="B37" s="166" t="s">
        <v>115</v>
      </c>
      <c r="C37" s="85">
        <f>IF(I3=J10,C41/0.6,0)</f>
        <v>0</v>
      </c>
      <c r="D37" s="4" t="s">
        <v>8</v>
      </c>
      <c r="E37" s="301">
        <f>J45</f>
        <v>190</v>
      </c>
      <c r="F37" s="43">
        <f t="shared" ref="F37:F41" si="4">C37*E37</f>
        <v>0</v>
      </c>
      <c r="G37" s="291">
        <f t="shared" ref="G37:G41" si="5">C37*H37</f>
        <v>0</v>
      </c>
      <c r="H37" s="270">
        <v>1.4</v>
      </c>
      <c r="I37" s="314" t="s">
        <v>19</v>
      </c>
      <c r="J37" s="831">
        <f>[1]Основные!$F$215</f>
        <v>218.4</v>
      </c>
      <c r="K37" s="219">
        <v>1.4059999999999999</v>
      </c>
      <c r="L37" s="3"/>
      <c r="M37" s="3"/>
      <c r="N37" s="3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</row>
    <row r="38" spans="1:35" x14ac:dyDescent="0.2">
      <c r="A38" s="121"/>
      <c r="B38" s="4" t="s">
        <v>97</v>
      </c>
      <c r="C38" s="82">
        <f>(3*C9+2*C8)/2.9</f>
        <v>74.482758620689651</v>
      </c>
      <c r="D38" s="4" t="s">
        <v>10</v>
      </c>
      <c r="E38" s="136">
        <f>J77</f>
        <v>736</v>
      </c>
      <c r="F38" s="43">
        <f t="shared" si="4"/>
        <v>54819.31034482758</v>
      </c>
      <c r="G38" s="291">
        <f t="shared" si="5"/>
        <v>69.268965517241384</v>
      </c>
      <c r="H38" s="270">
        <f>L77</f>
        <v>0.93</v>
      </c>
      <c r="I38" s="231" t="s">
        <v>113</v>
      </c>
      <c r="J38" s="831">
        <f>[1]Основные!$F$227</f>
        <v>262.5</v>
      </c>
      <c r="K38" s="219">
        <v>1.7270000000000001</v>
      </c>
      <c r="L38" s="3" t="s">
        <v>246</v>
      </c>
      <c r="M38" s="834">
        <f>[1]Основные!$F$228</f>
        <v>362.25</v>
      </c>
      <c r="N38" s="3">
        <v>2.02</v>
      </c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</row>
    <row r="39" spans="1:35" x14ac:dyDescent="0.2">
      <c r="A39" s="121"/>
      <c r="B39" s="4" t="s">
        <v>266</v>
      </c>
      <c r="C39" s="82">
        <f>4*C10/1.9</f>
        <v>12.631578947368421</v>
      </c>
      <c r="D39" s="4" t="s">
        <v>10</v>
      </c>
      <c r="E39" s="132">
        <f>J80</f>
        <v>919.99999999999989</v>
      </c>
      <c r="F39" s="43">
        <f t="shared" si="4"/>
        <v>11621.052631578947</v>
      </c>
      <c r="G39" s="291">
        <f t="shared" si="5"/>
        <v>29.052631578947366</v>
      </c>
      <c r="H39" s="270">
        <f>L79</f>
        <v>2.2999999999999998</v>
      </c>
      <c r="I39" s="288" t="s">
        <v>211</v>
      </c>
      <c r="J39" s="832">
        <f>[1]Основные!$F$229</f>
        <v>476.70000000000005</v>
      </c>
      <c r="K39" s="289">
        <v>2.5590000000000002</v>
      </c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</row>
    <row r="40" spans="1:35" x14ac:dyDescent="0.2">
      <c r="A40" s="182" t="str">
        <f>IF(I3=2,"нар.окр","нар. оц")</f>
        <v>нар.окр</v>
      </c>
      <c r="B40" s="4" t="str">
        <f>L45</f>
        <v>МП 20 (0,5)</v>
      </c>
      <c r="C40" s="82">
        <f>(C9*2+C8*2)*(C10+0.5)*1.1+C8*2.5*1.1</f>
        <v>1164.9000000000001</v>
      </c>
      <c r="D40" s="4" t="s">
        <v>33</v>
      </c>
      <c r="E40" s="164">
        <f>M45</f>
        <v>787.74999999999989</v>
      </c>
      <c r="F40" s="43"/>
      <c r="G40" s="291"/>
      <c r="H40" s="270">
        <f>O45</f>
        <v>5.3</v>
      </c>
      <c r="I40" s="231" t="s">
        <v>143</v>
      </c>
      <c r="J40" s="831">
        <f>[1]Основные!$F$239</f>
        <v>318.15000000000003</v>
      </c>
      <c r="K40" s="219">
        <v>2.1179999999999999</v>
      </c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</row>
    <row r="41" spans="1:35" x14ac:dyDescent="0.2">
      <c r="A41" s="121"/>
      <c r="B41" s="4"/>
      <c r="C41" s="82"/>
      <c r="D41" s="4"/>
      <c r="E41" s="164"/>
      <c r="F41" s="43">
        <f t="shared" si="4"/>
        <v>0</v>
      </c>
      <c r="G41" s="291">
        <f t="shared" si="5"/>
        <v>0</v>
      </c>
      <c r="H41" s="270">
        <f>O50</f>
        <v>5</v>
      </c>
      <c r="I41" s="231" t="s">
        <v>121</v>
      </c>
      <c r="J41" s="831">
        <f>[1]Основные!$F$253</f>
        <v>521.85</v>
      </c>
      <c r="K41" s="219">
        <v>2.8</v>
      </c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</row>
    <row r="42" spans="1:35" ht="13.5" thickBot="1" x14ac:dyDescent="0.25">
      <c r="A42" s="492" t="str">
        <f>IF(I4=2,"вн.ок","вн.оц")</f>
        <v>вн.оц</v>
      </c>
      <c r="B42" s="493" t="str">
        <f>L45</f>
        <v>МП 20 (0,5)</v>
      </c>
      <c r="C42" s="415">
        <f>C40</f>
        <v>1164.9000000000001</v>
      </c>
      <c r="D42" s="493" t="s">
        <v>33</v>
      </c>
      <c r="E42" s="494">
        <f>M45</f>
        <v>787.74999999999989</v>
      </c>
      <c r="F42" s="495"/>
      <c r="G42" s="551"/>
      <c r="H42" s="270">
        <f>O45</f>
        <v>5.3</v>
      </c>
      <c r="I42" s="231" t="s">
        <v>142</v>
      </c>
      <c r="J42" s="831">
        <f>[1]Основные!$F$273</f>
        <v>618.45000000000005</v>
      </c>
      <c r="K42" s="219">
        <v>3.09</v>
      </c>
      <c r="L42" s="226" t="s">
        <v>147</v>
      </c>
      <c r="M42" s="227" t="s">
        <v>156</v>
      </c>
      <c r="N42" s="227" t="s">
        <v>157</v>
      </c>
      <c r="O42" s="219" t="s">
        <v>154</v>
      </c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</row>
    <row r="43" spans="1:35" x14ac:dyDescent="0.2">
      <c r="A43" s="120"/>
      <c r="B43" s="54" t="s">
        <v>72</v>
      </c>
      <c r="C43" s="388">
        <v>0.05</v>
      </c>
      <c r="D43" s="54"/>
      <c r="E43" s="134"/>
      <c r="F43" s="381">
        <f>SUM(F34:F42)*C43</f>
        <v>3322.0181488203266</v>
      </c>
      <c r="G43" s="391"/>
      <c r="H43" s="375"/>
      <c r="I43" s="300" t="s">
        <v>219</v>
      </c>
      <c r="J43" s="260">
        <f>[1]Основные!$F$352</f>
        <v>223</v>
      </c>
      <c r="K43" s="219">
        <v>1.63</v>
      </c>
      <c r="L43" s="219" t="s">
        <v>158</v>
      </c>
      <c r="M43" s="260" t="e">
        <f>[1]Основные!$D$29</f>
        <v>#N/A</v>
      </c>
      <c r="N43" s="835" t="e">
        <f>[1]Основные!$D$31</f>
        <v>#N/A</v>
      </c>
      <c r="O43" s="226">
        <v>4.5999999999999996</v>
      </c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</row>
    <row r="44" spans="1:35" ht="13.5" thickBot="1" x14ac:dyDescent="0.25">
      <c r="A44" s="122"/>
      <c r="B44" s="123" t="s">
        <v>83</v>
      </c>
      <c r="C44" s="124"/>
      <c r="D44" s="44"/>
      <c r="E44" s="137"/>
      <c r="F44" s="118">
        <f>SUM(F34:F43)</f>
        <v>69762.38112522685</v>
      </c>
      <c r="G44" s="389">
        <f>SUM(G34:G43)</f>
        <v>98.321597096188754</v>
      </c>
      <c r="H44" s="375"/>
      <c r="I44" s="300" t="s">
        <v>220</v>
      </c>
      <c r="J44" s="260" t="e">
        <f>[1]Основные!$F$350</f>
        <v>#N/A</v>
      </c>
      <c r="K44" s="219">
        <v>0.78</v>
      </c>
      <c r="L44" s="219"/>
      <c r="M44" s="226"/>
      <c r="N44" s="3"/>
      <c r="O44" s="226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</row>
    <row r="45" spans="1:35" ht="13.5" thickBot="1" x14ac:dyDescent="0.25">
      <c r="A45" s="505">
        <v>3</v>
      </c>
      <c r="B45" s="506" t="s">
        <v>93</v>
      </c>
      <c r="C45" s="507"/>
      <c r="D45" s="508"/>
      <c r="E45" s="509"/>
      <c r="F45" s="510"/>
      <c r="G45" s="511"/>
      <c r="H45" s="375"/>
      <c r="I45" s="300" t="s">
        <v>115</v>
      </c>
      <c r="J45" s="833">
        <f>[1]Основные!$F$355</f>
        <v>190</v>
      </c>
      <c r="K45" s="219">
        <v>1.4</v>
      </c>
      <c r="L45" s="292" t="s">
        <v>269</v>
      </c>
      <c r="M45" s="836">
        <f>[1]Основные!$F$74</f>
        <v>787.74999999999989</v>
      </c>
      <c r="N45" s="837">
        <f>[1]Основные!$F$75</f>
        <v>590.44449999999995</v>
      </c>
      <c r="O45" s="226">
        <v>5.3</v>
      </c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</row>
    <row r="46" spans="1:35" x14ac:dyDescent="0.2">
      <c r="A46" s="501"/>
      <c r="B46" s="502" t="s">
        <v>19</v>
      </c>
      <c r="C46" s="503">
        <f>IF(E17&gt;0,D166+D167,0)</f>
        <v>0</v>
      </c>
      <c r="D46" s="9" t="s">
        <v>8</v>
      </c>
      <c r="E46" s="378">
        <f>J37</f>
        <v>218.4</v>
      </c>
      <c r="F46" s="379">
        <f>C46*E46</f>
        <v>0</v>
      </c>
      <c r="G46" s="504">
        <f>C46*H46</f>
        <v>0</v>
      </c>
      <c r="H46" s="270">
        <f>K37</f>
        <v>1.4059999999999999</v>
      </c>
      <c r="I46" s="410"/>
      <c r="J46" s="410"/>
      <c r="K46" s="192"/>
      <c r="L46" s="219"/>
      <c r="M46" s="226"/>
      <c r="N46" s="3"/>
      <c r="O46" s="226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</row>
    <row r="47" spans="1:35" ht="13.5" thickBot="1" x14ac:dyDescent="0.25">
      <c r="A47" s="496" t="s">
        <v>221</v>
      </c>
      <c r="B47" s="172" t="str">
        <f>L45</f>
        <v>МП 20 (0,5)</v>
      </c>
      <c r="C47" s="497">
        <f>IF(E17&gt;0,E17*2*1.1,0)</f>
        <v>0</v>
      </c>
      <c r="D47" s="493" t="s">
        <v>8</v>
      </c>
      <c r="E47" s="364">
        <f>M45</f>
        <v>787.74999999999989</v>
      </c>
      <c r="F47" s="495">
        <f>C47*E47</f>
        <v>0</v>
      </c>
      <c r="G47" s="500">
        <f>C47*H47</f>
        <v>0</v>
      </c>
      <c r="H47" s="270">
        <f>O45</f>
        <v>5.3</v>
      </c>
      <c r="I47" s="410"/>
      <c r="J47" s="410"/>
      <c r="K47" s="192"/>
      <c r="L47" s="219" t="s">
        <v>159</v>
      </c>
      <c r="M47" s="833">
        <f>[1]Основные!$F$26</f>
        <v>1</v>
      </c>
      <c r="N47" s="262">
        <f>[1]Основные!$F$23</f>
        <v>555</v>
      </c>
      <c r="O47" s="226">
        <v>4.5999999999999996</v>
      </c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</row>
    <row r="48" spans="1:35" x14ac:dyDescent="0.2">
      <c r="A48" s="120"/>
      <c r="B48" s="54" t="s">
        <v>72</v>
      </c>
      <c r="C48" s="388">
        <v>0.05</v>
      </c>
      <c r="D48" s="54"/>
      <c r="E48" s="134"/>
      <c r="F48" s="381">
        <f>SUM(F46:F47)*C48</f>
        <v>0</v>
      </c>
      <c r="G48" s="382"/>
      <c r="H48" s="375"/>
      <c r="I48" s="410"/>
      <c r="J48" s="410"/>
      <c r="K48" s="192"/>
      <c r="L48" s="219"/>
      <c r="M48" s="226"/>
      <c r="N48" s="3"/>
      <c r="O48" s="226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</row>
    <row r="49" spans="1:35" ht="13.5" thickBot="1" x14ac:dyDescent="0.25">
      <c r="A49" s="122"/>
      <c r="B49" s="123" t="s">
        <v>126</v>
      </c>
      <c r="C49" s="124"/>
      <c r="D49" s="44"/>
      <c r="E49" s="137"/>
      <c r="F49" s="118">
        <f>SUM(F46:F48)</f>
        <v>0</v>
      </c>
      <c r="G49" s="389">
        <f>SUM(G46:G48)</f>
        <v>0</v>
      </c>
      <c r="H49" s="375"/>
      <c r="I49" s="410"/>
      <c r="J49" s="410"/>
      <c r="K49" s="192"/>
      <c r="L49" s="219" t="s">
        <v>1</v>
      </c>
      <c r="M49" s="833">
        <f>[1]Основные!$F$86</f>
        <v>1035</v>
      </c>
      <c r="N49" s="3"/>
      <c r="O49" s="226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</row>
    <row r="50" spans="1:35" x14ac:dyDescent="0.2">
      <c r="A50" s="177">
        <v>3</v>
      </c>
      <c r="B50" s="178" t="s">
        <v>112</v>
      </c>
      <c r="C50" s="179"/>
      <c r="D50" s="77"/>
      <c r="E50" s="180" t="s">
        <v>116</v>
      </c>
      <c r="F50" s="181"/>
      <c r="G50" s="204"/>
      <c r="H50" s="270"/>
      <c r="I50" s="410" t="s">
        <v>144</v>
      </c>
      <c r="J50" s="410"/>
      <c r="K50" s="192"/>
      <c r="L50" s="219" t="s">
        <v>145</v>
      </c>
      <c r="M50" s="833">
        <f>[1]Основные!$F$16</f>
        <v>1255</v>
      </c>
      <c r="N50" s="3"/>
      <c r="O50" s="226">
        <v>5</v>
      </c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</row>
    <row r="51" spans="1:35" x14ac:dyDescent="0.2">
      <c r="A51" s="182"/>
      <c r="B51" s="4" t="s">
        <v>2</v>
      </c>
      <c r="C51" s="85">
        <f>C56*C10</f>
        <v>72</v>
      </c>
      <c r="D51" s="4" t="s">
        <v>8</v>
      </c>
      <c r="E51" s="522">
        <f>[1]Основные!$F$142</f>
        <v>840</v>
      </c>
      <c r="F51" s="43">
        <f>C51*E51</f>
        <v>60480</v>
      </c>
      <c r="G51" s="43">
        <f>C51*H51</f>
        <v>108</v>
      </c>
      <c r="H51" s="302">
        <v>1.5</v>
      </c>
      <c r="I51" s="229">
        <f>[1]Основные!$F$130</f>
        <v>585</v>
      </c>
      <c r="J51" s="410"/>
      <c r="K51" s="192"/>
      <c r="L51" s="219" t="s">
        <v>146</v>
      </c>
      <c r="M51" s="260">
        <f>[1]Основные!$F$11</f>
        <v>1868</v>
      </c>
      <c r="N51" s="3"/>
      <c r="O51" s="226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</row>
    <row r="52" spans="1:35" x14ac:dyDescent="0.2">
      <c r="A52" s="182"/>
      <c r="B52" s="4" t="s">
        <v>0</v>
      </c>
      <c r="C52" s="85">
        <f>2*C9</f>
        <v>120</v>
      </c>
      <c r="D52" s="4" t="s">
        <v>8</v>
      </c>
      <c r="E52" s="183">
        <f>[1]Основные!$F$141</f>
        <v>635</v>
      </c>
      <c r="F52" s="43">
        <f t="shared" ref="F52:F59" si="6">C52*E52</f>
        <v>76200</v>
      </c>
      <c r="G52" s="43">
        <f t="shared" ref="G52:G59" si="7">C52*H52</f>
        <v>180</v>
      </c>
      <c r="H52" s="302">
        <v>1.5</v>
      </c>
      <c r="I52" s="229">
        <f>[1]Основные!$F$129</f>
        <v>466</v>
      </c>
      <c r="J52" s="410"/>
      <c r="K52" s="192"/>
      <c r="L52" s="292" t="s">
        <v>160</v>
      </c>
      <c r="M52" s="833">
        <f>[1]Основные!$F$80</f>
        <v>868.24999999999989</v>
      </c>
      <c r="N52" s="834">
        <f>[1]Основные!$F$81</f>
        <v>648.53100000000006</v>
      </c>
      <c r="O52" s="226">
        <v>5.3</v>
      </c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</row>
    <row r="53" spans="1:35" x14ac:dyDescent="0.2">
      <c r="A53" s="182"/>
      <c r="B53" s="166" t="s">
        <v>4</v>
      </c>
      <c r="C53" s="85">
        <f>C51/2</f>
        <v>36</v>
      </c>
      <c r="D53" s="4" t="s">
        <v>10</v>
      </c>
      <c r="E53" s="183">
        <f>[1]Основные!$F$144</f>
        <v>413</v>
      </c>
      <c r="F53" s="43">
        <f t="shared" si="6"/>
        <v>14868</v>
      </c>
      <c r="G53" s="43">
        <f t="shared" si="7"/>
        <v>18</v>
      </c>
      <c r="H53" s="302">
        <v>0.5</v>
      </c>
      <c r="I53" s="229">
        <f>[1]Основные!$F$132</f>
        <v>351</v>
      </c>
      <c r="J53" s="410"/>
      <c r="K53" s="192"/>
      <c r="L53" s="219"/>
      <c r="M53" s="226"/>
      <c r="N53" s="3"/>
      <c r="O53" s="226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</row>
    <row r="54" spans="1:35" x14ac:dyDescent="0.2">
      <c r="A54" s="182"/>
      <c r="B54" s="4" t="s">
        <v>3</v>
      </c>
      <c r="C54" s="85">
        <f>C52/0.7</f>
        <v>171.42857142857144</v>
      </c>
      <c r="D54" s="4" t="s">
        <v>10</v>
      </c>
      <c r="E54" s="183">
        <f>[1]Основные!$F$144</f>
        <v>413</v>
      </c>
      <c r="F54" s="43">
        <f t="shared" si="6"/>
        <v>70800</v>
      </c>
      <c r="G54" s="43">
        <f t="shared" si="7"/>
        <v>85.714285714285722</v>
      </c>
      <c r="H54" s="302">
        <v>0.5</v>
      </c>
      <c r="I54" s="229">
        <f>[1]Основные!$F$132</f>
        <v>351</v>
      </c>
      <c r="J54" s="410"/>
      <c r="K54" s="192"/>
      <c r="L54" s="219" t="s">
        <v>161</v>
      </c>
      <c r="M54" s="836">
        <f>[1]Основные!$F$83</f>
        <v>1265</v>
      </c>
      <c r="N54" s="837">
        <f>[1]Основные!$F$84</f>
        <v>924.61149999999986</v>
      </c>
      <c r="O54" s="226">
        <v>7.4</v>
      </c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</row>
    <row r="55" spans="1:35" x14ac:dyDescent="0.2">
      <c r="A55" s="182"/>
      <c r="B55" s="4" t="s">
        <v>5</v>
      </c>
      <c r="C55" s="85">
        <f>4</f>
        <v>4</v>
      </c>
      <c r="D55" s="4" t="s">
        <v>10</v>
      </c>
      <c r="E55" s="183">
        <f>[1]Основные!$F$145</f>
        <v>146</v>
      </c>
      <c r="F55" s="43">
        <f t="shared" si="6"/>
        <v>584</v>
      </c>
      <c r="G55" s="43">
        <f t="shared" si="7"/>
        <v>2</v>
      </c>
      <c r="H55" s="302">
        <v>0.5</v>
      </c>
      <c r="I55" s="229">
        <f>[1]Основные!$F$134</f>
        <v>129</v>
      </c>
      <c r="J55" s="410"/>
      <c r="K55" s="192"/>
      <c r="L55" s="219"/>
      <c r="M55" s="226"/>
      <c r="N55" s="3"/>
      <c r="O55" s="226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</row>
    <row r="56" spans="1:35" x14ac:dyDescent="0.2">
      <c r="A56" s="182"/>
      <c r="B56" s="4" t="s">
        <v>117</v>
      </c>
      <c r="C56" s="85">
        <f>CEILING(C8*C9/100,2)</f>
        <v>12</v>
      </c>
      <c r="D56" s="4" t="s">
        <v>10</v>
      </c>
      <c r="E56" s="183">
        <f>[1]Основные!$F$143</f>
        <v>495</v>
      </c>
      <c r="F56" s="43">
        <f t="shared" si="6"/>
        <v>5940</v>
      </c>
      <c r="G56" s="43">
        <f t="shared" si="7"/>
        <v>6</v>
      </c>
      <c r="H56" s="302">
        <v>0.5</v>
      </c>
      <c r="I56" s="220">
        <f>[1]Основные!$F$131</f>
        <v>463</v>
      </c>
      <c r="J56" s="410"/>
      <c r="K56" s="192"/>
      <c r="L56" s="219" t="s">
        <v>162</v>
      </c>
      <c r="M56" s="226">
        <f>[7]Источник!$G$56</f>
        <v>0</v>
      </c>
      <c r="N56" s="3">
        <f>[7]Источник!$G$52</f>
        <v>0</v>
      </c>
      <c r="O56" s="226">
        <v>8.8000000000000007</v>
      </c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</row>
    <row r="57" spans="1:35" x14ac:dyDescent="0.2">
      <c r="A57" s="182"/>
      <c r="B57" s="4" t="s">
        <v>118</v>
      </c>
      <c r="C57" s="85">
        <f>2*C56</f>
        <v>24</v>
      </c>
      <c r="D57" s="4" t="s">
        <v>10</v>
      </c>
      <c r="E57" s="183">
        <f>[1]Основные!$F$143</f>
        <v>495</v>
      </c>
      <c r="F57" s="43">
        <f t="shared" si="6"/>
        <v>11880</v>
      </c>
      <c r="G57" s="43">
        <f t="shared" si="7"/>
        <v>12</v>
      </c>
      <c r="H57" s="302">
        <v>0.5</v>
      </c>
      <c r="I57" s="220">
        <f>[1]Основные!$F$131</f>
        <v>463</v>
      </c>
      <c r="J57" s="410"/>
      <c r="K57" s="192"/>
      <c r="L57" s="219"/>
      <c r="M57" s="226"/>
      <c r="N57" s="3"/>
      <c r="O57" s="226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</row>
    <row r="58" spans="1:35" x14ac:dyDescent="0.2">
      <c r="A58" s="182"/>
      <c r="B58" s="4" t="s">
        <v>119</v>
      </c>
      <c r="C58" s="85">
        <f>C52/5</f>
        <v>24</v>
      </c>
      <c r="D58" s="4" t="s">
        <v>10</v>
      </c>
      <c r="E58" s="183">
        <f>[1]Основные!$F$148</f>
        <v>309</v>
      </c>
      <c r="F58" s="43">
        <f t="shared" si="6"/>
        <v>7416</v>
      </c>
      <c r="G58" s="43">
        <f t="shared" si="7"/>
        <v>12</v>
      </c>
      <c r="H58" s="302">
        <v>0.5</v>
      </c>
      <c r="I58" s="220">
        <f>[1]Основные!$F$133</f>
        <v>64</v>
      </c>
      <c r="J58" s="410"/>
      <c r="K58" s="192"/>
      <c r="L58" s="219" t="s">
        <v>163</v>
      </c>
      <c r="M58" s="226">
        <f>[7]Источник!$G$69</f>
        <v>0</v>
      </c>
      <c r="N58" s="3"/>
      <c r="O58" s="226">
        <v>7.4</v>
      </c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</row>
    <row r="59" spans="1:35" ht="13.5" thickBot="1" x14ac:dyDescent="0.25">
      <c r="A59" s="184"/>
      <c r="B59" s="61" t="s">
        <v>6</v>
      </c>
      <c r="C59" s="185">
        <f>C56</f>
        <v>12</v>
      </c>
      <c r="D59" s="44" t="s">
        <v>10</v>
      </c>
      <c r="E59" s="186">
        <f>[1]Основные!$F$146</f>
        <v>408</v>
      </c>
      <c r="F59" s="187">
        <f t="shared" si="6"/>
        <v>4896</v>
      </c>
      <c r="G59" s="205">
        <f t="shared" si="7"/>
        <v>6</v>
      </c>
      <c r="H59" s="302">
        <v>0.5</v>
      </c>
      <c r="I59" s="229">
        <f>[1]Основные!$F$135</f>
        <v>352</v>
      </c>
      <c r="J59" s="410"/>
      <c r="K59" s="192"/>
      <c r="L59" s="219"/>
      <c r="M59" s="226"/>
      <c r="N59" s="3"/>
      <c r="O59" s="226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</row>
    <row r="60" spans="1:35" x14ac:dyDescent="0.2">
      <c r="A60" s="525"/>
      <c r="B60" s="54" t="s">
        <v>72</v>
      </c>
      <c r="C60" s="526">
        <v>0.05</v>
      </c>
      <c r="D60" s="54"/>
      <c r="E60" s="527"/>
      <c r="F60" s="528">
        <f>SUM(F51:F59)*C60</f>
        <v>12653.2</v>
      </c>
      <c r="G60" s="529"/>
      <c r="H60" s="375"/>
      <c r="I60" s="410"/>
      <c r="J60" s="410"/>
      <c r="K60" s="192"/>
      <c r="L60" s="192"/>
      <c r="M60" s="410"/>
      <c r="N60" s="410"/>
      <c r="O60" s="410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</row>
    <row r="61" spans="1:35" ht="13.5" thickBot="1" x14ac:dyDescent="0.25">
      <c r="A61" s="184"/>
      <c r="B61" s="123" t="s">
        <v>120</v>
      </c>
      <c r="C61" s="530"/>
      <c r="D61" s="44"/>
      <c r="E61" s="531"/>
      <c r="F61" s="118">
        <f>SUM(F51:F60)</f>
        <v>265717.2</v>
      </c>
      <c r="G61" s="389">
        <f>SUM(G51:G60)</f>
        <v>429.71428571428572</v>
      </c>
      <c r="H61" s="375"/>
      <c r="I61" s="410"/>
      <c r="J61" s="410"/>
      <c r="K61" s="192"/>
      <c r="L61" s="192"/>
      <c r="M61" s="410"/>
      <c r="N61" s="410"/>
      <c r="O61" s="410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</row>
    <row r="62" spans="1:35" ht="13.5" thickBot="1" x14ac:dyDescent="0.25">
      <c r="A62" s="505">
        <v>3</v>
      </c>
      <c r="B62" s="506" t="s">
        <v>235</v>
      </c>
      <c r="C62" s="507"/>
      <c r="D62" s="508"/>
      <c r="E62" s="509"/>
      <c r="F62" s="510"/>
      <c r="G62" s="511"/>
      <c r="H62" s="375"/>
      <c r="I62" s="596"/>
      <c r="J62" s="596"/>
      <c r="K62" s="192"/>
      <c r="L62" s="192"/>
      <c r="M62" s="596"/>
      <c r="N62" s="596"/>
      <c r="O62" s="596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</row>
    <row r="63" spans="1:35" x14ac:dyDescent="0.2">
      <c r="A63" s="501" t="s">
        <v>237</v>
      </c>
      <c r="B63" s="520" t="str">
        <f>I21</f>
        <v>ПГС-S 300х80х3</v>
      </c>
      <c r="C63" s="503">
        <f>2*C8*I17</f>
        <v>396</v>
      </c>
      <c r="D63" s="9" t="s">
        <v>8</v>
      </c>
      <c r="E63" s="378">
        <f>J38</f>
        <v>262.5</v>
      </c>
      <c r="F63" s="379"/>
      <c r="G63" s="379"/>
      <c r="H63" s="270">
        <f>K38</f>
        <v>1.7270000000000001</v>
      </c>
      <c r="I63" s="596"/>
      <c r="J63" s="596"/>
      <c r="K63" s="192"/>
      <c r="L63" s="192"/>
      <c r="M63" s="596"/>
      <c r="N63" s="596"/>
      <c r="O63" s="596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</row>
    <row r="64" spans="1:35" x14ac:dyDescent="0.2">
      <c r="A64" s="414" t="s">
        <v>238</v>
      </c>
      <c r="B64" s="413" t="str">
        <f>I19</f>
        <v>ПГС-S 300х80х1,5</v>
      </c>
      <c r="C64" s="82">
        <f>(C8/0.9+1)*C9</f>
        <v>1260</v>
      </c>
      <c r="D64" s="4" t="s">
        <v>8</v>
      </c>
      <c r="E64" s="135">
        <f>J36</f>
        <v>997</v>
      </c>
      <c r="F64" s="43"/>
      <c r="G64" s="43"/>
      <c r="H64" s="270">
        <f>K36</f>
        <v>5.8</v>
      </c>
      <c r="I64" s="596"/>
      <c r="J64" s="596"/>
      <c r="K64" s="192"/>
      <c r="L64" s="192"/>
      <c r="M64" s="596"/>
      <c r="N64" s="596"/>
      <c r="O64" s="596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</row>
    <row r="65" spans="1:35" x14ac:dyDescent="0.2">
      <c r="A65" s="414" t="s">
        <v>239</v>
      </c>
      <c r="B65" s="363" t="str">
        <f>I20</f>
        <v>ПГС-S 300х80х2</v>
      </c>
      <c r="C65" s="82">
        <f>2*3.5*2*(I17-2)</f>
        <v>126</v>
      </c>
      <c r="D65" s="4" t="s">
        <v>8</v>
      </c>
      <c r="E65" s="135">
        <f>J37</f>
        <v>218.4</v>
      </c>
      <c r="F65" s="43"/>
      <c r="G65" s="43"/>
      <c r="H65" s="270">
        <f>K37</f>
        <v>1.4059999999999999</v>
      </c>
      <c r="I65" s="596"/>
      <c r="J65" s="596"/>
      <c r="K65" s="192"/>
      <c r="L65" s="192"/>
      <c r="M65" s="596"/>
      <c r="N65" s="596"/>
      <c r="O65" s="596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</row>
    <row r="66" spans="1:35" x14ac:dyDescent="0.2">
      <c r="A66" s="414"/>
      <c r="B66" s="166" t="s">
        <v>79</v>
      </c>
      <c r="C66" s="332">
        <f>(C63+C65)/2/0.6</f>
        <v>435</v>
      </c>
      <c r="D66" s="166" t="s">
        <v>10</v>
      </c>
      <c r="E66" s="140">
        <f>E29</f>
        <v>291</v>
      </c>
      <c r="F66" s="43"/>
      <c r="G66" s="43"/>
      <c r="H66" s="328">
        <v>1.4</v>
      </c>
      <c r="I66" s="596"/>
      <c r="J66" s="596"/>
      <c r="K66" s="192"/>
      <c r="L66" s="192"/>
      <c r="M66" s="596"/>
      <c r="N66" s="596"/>
      <c r="O66" s="596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</row>
    <row r="67" spans="1:35" x14ac:dyDescent="0.2">
      <c r="A67" s="414"/>
      <c r="B67" s="166" t="s">
        <v>78</v>
      </c>
      <c r="C67" s="332">
        <f>2*C66</f>
        <v>870</v>
      </c>
      <c r="D67" s="166" t="s">
        <v>10</v>
      </c>
      <c r="E67" s="140">
        <f>E30</f>
        <v>114</v>
      </c>
      <c r="F67" s="43"/>
      <c r="G67" s="43"/>
      <c r="H67" s="328">
        <v>0.5</v>
      </c>
      <c r="I67" s="596"/>
      <c r="J67" s="596"/>
      <c r="K67" s="192"/>
      <c r="L67" s="192"/>
      <c r="M67" s="596"/>
      <c r="N67" s="596"/>
      <c r="O67" s="596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</row>
    <row r="68" spans="1:35" x14ac:dyDescent="0.2">
      <c r="A68" s="414"/>
      <c r="B68" s="4" t="s">
        <v>45</v>
      </c>
      <c r="C68" s="332">
        <f>8*C69</f>
        <v>9504</v>
      </c>
      <c r="D68" s="166" t="s">
        <v>10</v>
      </c>
      <c r="E68" s="850">
        <f>J103</f>
        <v>2.3459999999999996</v>
      </c>
      <c r="F68" s="43"/>
      <c r="G68" s="43"/>
      <c r="H68" s="328">
        <v>4.0000000000000001E-3</v>
      </c>
      <c r="I68" s="596"/>
      <c r="J68" s="596"/>
      <c r="K68" s="192"/>
      <c r="L68" s="192"/>
      <c r="M68" s="596"/>
      <c r="N68" s="596"/>
      <c r="O68" s="596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</row>
    <row r="69" spans="1:35" ht="13.5" thickBot="1" x14ac:dyDescent="0.25">
      <c r="A69" s="496"/>
      <c r="B69" s="493" t="str">
        <f>L54</f>
        <v>С-44  0,7мм</v>
      </c>
      <c r="C69" s="497">
        <f>C8*C9*1.1</f>
        <v>1188</v>
      </c>
      <c r="D69" s="493" t="s">
        <v>33</v>
      </c>
      <c r="E69" s="364">
        <f>N54</f>
        <v>924.61149999999986</v>
      </c>
      <c r="F69" s="495"/>
      <c r="G69" s="495"/>
      <c r="H69" s="270">
        <v>6</v>
      </c>
      <c r="I69" s="596"/>
      <c r="J69" s="596"/>
      <c r="K69" s="192"/>
      <c r="L69" s="192"/>
      <c r="M69" s="596"/>
      <c r="N69" s="596"/>
      <c r="O69" s="596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</row>
    <row r="70" spans="1:35" x14ac:dyDescent="0.2">
      <c r="A70" s="120"/>
      <c r="B70" s="54" t="s">
        <v>72</v>
      </c>
      <c r="C70" s="388">
        <v>0.05</v>
      </c>
      <c r="D70" s="54"/>
      <c r="E70" s="134"/>
      <c r="F70" s="381">
        <f>SUM(F63:F69)*C70</f>
        <v>0</v>
      </c>
      <c r="G70" s="391"/>
      <c r="H70" s="375"/>
      <c r="I70" s="596"/>
      <c r="J70" s="596"/>
      <c r="K70" s="192"/>
      <c r="L70" s="192"/>
      <c r="M70" s="596"/>
      <c r="N70" s="596"/>
      <c r="O70" s="596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</row>
    <row r="71" spans="1:35" ht="13.5" thickBot="1" x14ac:dyDescent="0.25">
      <c r="A71" s="498"/>
      <c r="B71" s="485" t="s">
        <v>304</v>
      </c>
      <c r="C71" s="486"/>
      <c r="D71" s="487"/>
      <c r="E71" s="488"/>
      <c r="F71" s="489">
        <f>SUM(F63:F70)</f>
        <v>0</v>
      </c>
      <c r="G71" s="499">
        <f>SUM(G63:G70)</f>
        <v>0</v>
      </c>
      <c r="H71" s="375"/>
      <c r="I71" s="596"/>
      <c r="J71" s="596"/>
      <c r="K71" s="192"/>
      <c r="L71" s="192"/>
      <c r="M71" s="596"/>
      <c r="N71" s="596"/>
      <c r="O71" s="596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</row>
    <row r="72" spans="1:35" ht="13.5" thickBot="1" x14ac:dyDescent="0.25">
      <c r="A72" s="106">
        <v>4</v>
      </c>
      <c r="B72" s="129" t="s">
        <v>84</v>
      </c>
      <c r="C72" s="119"/>
      <c r="D72" s="6"/>
      <c r="E72" s="138"/>
      <c r="F72" s="6"/>
      <c r="G72" s="207"/>
      <c r="H72" s="270"/>
      <c r="I72" s="194"/>
      <c r="J72" s="194"/>
      <c r="K72" s="192"/>
      <c r="L72" s="192"/>
      <c r="M72" s="194"/>
      <c r="N72" s="194"/>
      <c r="O72" s="194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217"/>
      <c r="AA72" s="192"/>
      <c r="AB72" s="192"/>
      <c r="AC72" s="192"/>
      <c r="AD72" s="192"/>
      <c r="AE72" s="192"/>
      <c r="AF72" s="192"/>
      <c r="AG72" s="192"/>
      <c r="AH72" s="192"/>
      <c r="AI72" s="192"/>
    </row>
    <row r="73" spans="1:35" x14ac:dyDescent="0.2">
      <c r="A73" s="114"/>
      <c r="B73" s="54" t="s">
        <v>222</v>
      </c>
      <c r="C73" s="115">
        <f>C9*0.5*1.11</f>
        <v>33.300000000000004</v>
      </c>
      <c r="D73" s="54" t="s">
        <v>33</v>
      </c>
      <c r="E73" s="141">
        <f>[1]Основные!$F$39</f>
        <v>810.15199999999982</v>
      </c>
      <c r="F73" s="139">
        <f t="shared" ref="F73:F79" si="8">C73*E73</f>
        <v>26978.061599999997</v>
      </c>
      <c r="G73" s="290">
        <f>C73*H73</f>
        <v>233.10000000000002</v>
      </c>
      <c r="H73" s="270">
        <v>7</v>
      </c>
      <c r="M73" s="194"/>
      <c r="N73" s="194"/>
      <c r="O73" s="194"/>
      <c r="P73" s="212"/>
      <c r="Q73" s="192"/>
      <c r="R73" s="192"/>
      <c r="S73" s="192"/>
      <c r="T73" s="192"/>
      <c r="U73" s="192"/>
      <c r="V73" s="192"/>
      <c r="W73" s="192"/>
      <c r="X73" s="192"/>
      <c r="Y73" s="192"/>
      <c r="Z73" s="217"/>
      <c r="AA73" s="192"/>
      <c r="AB73" s="192"/>
      <c r="AC73" s="192"/>
      <c r="AD73" s="192"/>
      <c r="AE73" s="192"/>
      <c r="AF73" s="192"/>
      <c r="AG73" s="192"/>
      <c r="AH73" s="192"/>
      <c r="AI73" s="192"/>
    </row>
    <row r="74" spans="1:35" x14ac:dyDescent="0.2">
      <c r="A74" s="116"/>
      <c r="B74" s="4" t="s">
        <v>95</v>
      </c>
      <c r="C74" s="82">
        <f>CEILING(C9/1.9,1)</f>
        <v>32</v>
      </c>
      <c r="D74" s="4" t="s">
        <v>10</v>
      </c>
      <c r="E74" s="132">
        <f>IF(I3=1,K75,J75)</f>
        <v>1903.2499999999998</v>
      </c>
      <c r="F74" s="43">
        <f t="shared" si="8"/>
        <v>60903.999999999993</v>
      </c>
      <c r="G74" s="291">
        <f t="shared" ref="G74:G79" si="9">C74*H74</f>
        <v>52.48</v>
      </c>
      <c r="H74" s="270">
        <f>L75</f>
        <v>1.64</v>
      </c>
      <c r="I74" s="245" t="s">
        <v>147</v>
      </c>
      <c r="J74" s="243" t="s">
        <v>206</v>
      </c>
      <c r="K74" s="228" t="s">
        <v>207</v>
      </c>
      <c r="L74" s="244" t="s">
        <v>155</v>
      </c>
      <c r="M74" s="410"/>
      <c r="N74" s="410"/>
      <c r="O74" s="194"/>
      <c r="P74" s="212"/>
      <c r="Q74" s="192"/>
      <c r="R74" s="192"/>
      <c r="S74" s="192"/>
      <c r="T74" s="192"/>
      <c r="U74" s="192"/>
      <c r="V74" s="192"/>
      <c r="W74" s="192"/>
      <c r="X74" s="192"/>
      <c r="Y74" s="192"/>
      <c r="Z74" s="217"/>
      <c r="AA74" s="192"/>
      <c r="AB74" s="192"/>
      <c r="AC74" s="192"/>
      <c r="AD74" s="192"/>
      <c r="AE74" s="192"/>
      <c r="AF74" s="192"/>
      <c r="AG74" s="192"/>
      <c r="AH74" s="192"/>
      <c r="AI74" s="192"/>
    </row>
    <row r="75" spans="1:35" x14ac:dyDescent="0.2">
      <c r="A75" s="116"/>
      <c r="B75" s="4" t="s">
        <v>96</v>
      </c>
      <c r="C75" s="131">
        <f>CEILING(2*C8/1.8,1)</f>
        <v>20</v>
      </c>
      <c r="D75" s="4" t="s">
        <v>10</v>
      </c>
      <c r="E75" s="132">
        <f>IF(I3=1,K76,J76)</f>
        <v>919.99999999999989</v>
      </c>
      <c r="F75" s="43">
        <f t="shared" si="8"/>
        <v>18399.999999999996</v>
      </c>
      <c r="G75" s="291">
        <f t="shared" si="9"/>
        <v>20.6</v>
      </c>
      <c r="H75" s="270">
        <f>L76</f>
        <v>1.03</v>
      </c>
      <c r="I75" s="232" t="s">
        <v>148</v>
      </c>
      <c r="J75" s="263">
        <f>[1]Основные!$F$110</f>
        <v>1903.2499999999998</v>
      </c>
      <c r="K75" s="264">
        <f>[1]Основные!$F$111</f>
        <v>1575.4999999999998</v>
      </c>
      <c r="L75" s="219">
        <v>1.64</v>
      </c>
      <c r="M75" s="194"/>
      <c r="N75" s="194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</row>
    <row r="76" spans="1:35" x14ac:dyDescent="0.2">
      <c r="A76" s="182" t="str">
        <f>IF(I4=2,"вн.ок","вн.оц")</f>
        <v>вн.оц</v>
      </c>
      <c r="B76" s="4" t="str">
        <f>L45</f>
        <v>МП 20 (0,5)</v>
      </c>
      <c r="C76" s="82">
        <f>C8*C9*1.1</f>
        <v>1188</v>
      </c>
      <c r="D76" s="4" t="s">
        <v>33</v>
      </c>
      <c r="E76" s="164">
        <f>M45</f>
        <v>787.74999999999989</v>
      </c>
      <c r="F76" s="43"/>
      <c r="G76" s="291"/>
      <c r="H76" s="273">
        <f>O45</f>
        <v>5.3</v>
      </c>
      <c r="I76" s="232" t="s">
        <v>149</v>
      </c>
      <c r="J76" s="263">
        <f>[1]Основные!$F$113</f>
        <v>919.99999999999989</v>
      </c>
      <c r="K76" s="264">
        <f>[1]Основные!$F$114</f>
        <v>747.49999999999989</v>
      </c>
      <c r="L76" s="219">
        <v>1.03</v>
      </c>
      <c r="M76" s="225"/>
      <c r="N76" s="225"/>
      <c r="O76" s="197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</row>
    <row r="77" spans="1:35" x14ac:dyDescent="0.2">
      <c r="A77" s="182" t="s">
        <v>221</v>
      </c>
      <c r="B77" s="4" t="str">
        <f>L54</f>
        <v>С-44  0,7мм</v>
      </c>
      <c r="C77" s="82">
        <f>(C8+0.3)*(C9+1)*1.1</f>
        <v>1227.93</v>
      </c>
      <c r="D77" s="4" t="s">
        <v>33</v>
      </c>
      <c r="E77" s="164">
        <f>M54</f>
        <v>1265</v>
      </c>
      <c r="F77" s="43"/>
      <c r="G77" s="291"/>
      <c r="H77" s="270">
        <f>O54</f>
        <v>7.4</v>
      </c>
      <c r="I77" s="232" t="s">
        <v>150</v>
      </c>
      <c r="J77" s="265">
        <f>[1]Основные!$F$100</f>
        <v>736</v>
      </c>
      <c r="K77" s="265" t="e">
        <f>[1]Основные!$F$102</f>
        <v>#N/A</v>
      </c>
      <c r="L77" s="219">
        <v>0.93</v>
      </c>
      <c r="M77" s="194"/>
      <c r="N77" s="194"/>
      <c r="O77" s="194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</row>
    <row r="78" spans="1:35" x14ac:dyDescent="0.2">
      <c r="A78" s="103"/>
      <c r="B78" s="4" t="s">
        <v>111</v>
      </c>
      <c r="C78" s="82">
        <f>IF(I13=1,0,2*C9/1.4)</f>
        <v>0</v>
      </c>
      <c r="D78" s="4" t="s">
        <v>10</v>
      </c>
      <c r="E78" s="132">
        <f>[1]Основные!$F$152</f>
        <v>2071</v>
      </c>
      <c r="F78" s="43">
        <f t="shared" si="8"/>
        <v>0</v>
      </c>
      <c r="G78" s="291">
        <f t="shared" si="9"/>
        <v>0</v>
      </c>
      <c r="H78" s="270">
        <v>4</v>
      </c>
      <c r="I78" s="233" t="s">
        <v>151</v>
      </c>
      <c r="J78" s="265">
        <f>[1]Основные!$F$100</f>
        <v>736</v>
      </c>
      <c r="K78" s="265" t="e">
        <f>K77</f>
        <v>#N/A</v>
      </c>
      <c r="L78" s="219">
        <v>0.93</v>
      </c>
      <c r="M78" s="194"/>
      <c r="N78" s="194"/>
      <c r="O78" s="194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</row>
    <row r="79" spans="1:35" ht="13.5" thickBot="1" x14ac:dyDescent="0.25">
      <c r="A79" s="532"/>
      <c r="B79" s="493" t="s">
        <v>103</v>
      </c>
      <c r="C79" s="497">
        <f>2*C74</f>
        <v>64</v>
      </c>
      <c r="D79" s="493" t="s">
        <v>10</v>
      </c>
      <c r="E79" s="533">
        <f>[1]Основные!$F$173</f>
        <v>612</v>
      </c>
      <c r="F79" s="495">
        <f t="shared" si="8"/>
        <v>39168</v>
      </c>
      <c r="G79" s="551">
        <f t="shared" si="9"/>
        <v>0</v>
      </c>
      <c r="H79" s="270"/>
      <c r="I79" s="232" t="s">
        <v>152</v>
      </c>
      <c r="J79" s="263">
        <f>J80</f>
        <v>919.99999999999989</v>
      </c>
      <c r="K79" s="265">
        <f>[1]Основные!$F$107</f>
        <v>747.49999999999989</v>
      </c>
      <c r="L79" s="219">
        <v>2.2999999999999998</v>
      </c>
      <c r="M79" s="194"/>
      <c r="N79" s="194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</row>
    <row r="80" spans="1:35" x14ac:dyDescent="0.2">
      <c r="A80" s="111"/>
      <c r="B80" s="54" t="s">
        <v>72</v>
      </c>
      <c r="C80" s="388">
        <v>0.05</v>
      </c>
      <c r="D80" s="63"/>
      <c r="E80" s="63"/>
      <c r="F80" s="535">
        <f>SUM(F73:F79)*C80</f>
        <v>7272.5030799999995</v>
      </c>
      <c r="G80" s="536"/>
      <c r="H80" s="375"/>
      <c r="I80" s="232" t="s">
        <v>153</v>
      </c>
      <c r="J80" s="263">
        <f>[1]Основные!$F$103</f>
        <v>919.99999999999989</v>
      </c>
      <c r="K80" s="265">
        <f>[1]Основные!$F$104</f>
        <v>747.49999999999989</v>
      </c>
      <c r="L80" s="219">
        <v>2.2999999999999998</v>
      </c>
      <c r="M80" s="194"/>
      <c r="N80" s="194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216"/>
      <c r="AF80" s="192"/>
      <c r="AG80" s="192"/>
      <c r="AH80" s="192"/>
      <c r="AI80" s="192"/>
    </row>
    <row r="81" spans="1:35" ht="13.5" thickBot="1" x14ac:dyDescent="0.25">
      <c r="A81" s="79"/>
      <c r="B81" s="123" t="s">
        <v>85</v>
      </c>
      <c r="C81" s="64"/>
      <c r="D81" s="64"/>
      <c r="E81" s="64"/>
      <c r="F81" s="537">
        <f>SUM(F73:F80)</f>
        <v>152722.56467999998</v>
      </c>
      <c r="G81" s="538">
        <f>SUM(G73:G80)</f>
        <v>306.18000000000006</v>
      </c>
      <c r="H81" s="375"/>
      <c r="I81" s="194"/>
      <c r="J81" s="192"/>
      <c r="K81" s="192"/>
      <c r="L81" s="192"/>
      <c r="M81" s="194"/>
      <c r="N81" s="194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</row>
    <row r="82" spans="1:35" ht="13.5" thickBot="1" x14ac:dyDescent="0.25">
      <c r="A82" s="534"/>
      <c r="B82" s="487"/>
      <c r="C82" s="1050" t="s">
        <v>46</v>
      </c>
      <c r="D82" s="1050"/>
      <c r="E82" s="1050"/>
      <c r="F82" s="489">
        <f>F32+F44+F81+F49+F61+F71</f>
        <v>3387198.2075298624</v>
      </c>
      <c r="G82" s="490">
        <f>G32+G44+G81+G49+G61+G71</f>
        <v>16790.109440381337</v>
      </c>
      <c r="H82" s="270"/>
      <c r="I82" s="410"/>
      <c r="J82" s="410"/>
      <c r="K82" s="192"/>
      <c r="L82" s="192"/>
      <c r="M82" s="410"/>
      <c r="N82" s="410"/>
      <c r="O82" s="410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</row>
    <row r="83" spans="1:35" ht="13.5" thickBot="1" x14ac:dyDescent="0.25">
      <c r="A83" s="1035" t="s">
        <v>47</v>
      </c>
      <c r="B83" s="1036"/>
      <c r="C83" s="1036"/>
      <c r="D83" s="1036"/>
      <c r="E83" s="1036"/>
      <c r="F83" s="1036"/>
      <c r="G83" s="1036"/>
      <c r="H83" s="270"/>
      <c r="I83" s="194"/>
      <c r="J83" s="192"/>
      <c r="K83" s="212"/>
      <c r="L83" s="192"/>
      <c r="M83" s="194"/>
      <c r="N83" s="194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</row>
    <row r="84" spans="1:35" ht="13.5" thickBot="1" x14ac:dyDescent="0.25">
      <c r="A84" s="101">
        <v>1</v>
      </c>
      <c r="B84" s="86" t="s">
        <v>80</v>
      </c>
      <c r="C84" s="86"/>
      <c r="D84" s="86"/>
      <c r="E84" s="86"/>
      <c r="F84" s="86"/>
      <c r="G84" s="86"/>
      <c r="H84" s="270"/>
      <c r="I84" s="235" t="s">
        <v>164</v>
      </c>
      <c r="J84" s="219" t="s">
        <v>208</v>
      </c>
      <c r="K84" s="212"/>
      <c r="L84" s="192"/>
      <c r="M84" s="410"/>
      <c r="N84" s="410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</row>
    <row r="85" spans="1:35" x14ac:dyDescent="0.2">
      <c r="A85" s="102"/>
      <c r="B85" s="77" t="s">
        <v>44</v>
      </c>
      <c r="C85" s="81">
        <f>K90*634</f>
        <v>6974</v>
      </c>
      <c r="D85" s="54" t="s">
        <v>10</v>
      </c>
      <c r="E85" s="96">
        <f>[1]Основные!$F$430</f>
        <v>1.6214999999999997</v>
      </c>
      <c r="F85" s="100">
        <f>C85*E85</f>
        <v>11308.340999999999</v>
      </c>
      <c r="G85" s="304">
        <f>C85*H85</f>
        <v>29.988199999999999</v>
      </c>
      <c r="H85" s="270">
        <v>4.3E-3</v>
      </c>
      <c r="I85" s="226" t="s">
        <v>175</v>
      </c>
      <c r="J85" s="219">
        <f>9.6/1000</f>
        <v>9.5999999999999992E-3</v>
      </c>
      <c r="K85" s="212"/>
      <c r="L85" s="192"/>
      <c r="M85" s="194"/>
      <c r="N85" s="194"/>
      <c r="O85" s="192"/>
      <c r="P85" s="21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</row>
    <row r="86" spans="1:35" x14ac:dyDescent="0.2">
      <c r="A86" s="103"/>
      <c r="B86" s="4" t="s">
        <v>77</v>
      </c>
      <c r="C86" s="11">
        <f>(C9+C8)*2/0.5+1</f>
        <v>313</v>
      </c>
      <c r="D86" s="4" t="s">
        <v>10</v>
      </c>
      <c r="E86" s="142">
        <f>[1]Основные!$F$427</f>
        <v>4.1284999999999998</v>
      </c>
      <c r="F86" s="99">
        <f>C86*E86</f>
        <v>1292.2204999999999</v>
      </c>
      <c r="G86" s="305">
        <f>H86*C86</f>
        <v>1.5024</v>
      </c>
      <c r="H86" s="270">
        <v>4.7999999999999996E-3</v>
      </c>
      <c r="I86" s="226" t="s">
        <v>165</v>
      </c>
      <c r="J86" s="219">
        <f>14.57/1000</f>
        <v>1.457E-2</v>
      </c>
      <c r="K86" s="212" t="s">
        <v>278</v>
      </c>
      <c r="L86" s="192"/>
      <c r="M86" s="194"/>
      <c r="N86" s="194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</row>
    <row r="87" spans="1:35" x14ac:dyDescent="0.2">
      <c r="A87" s="103"/>
      <c r="B87" s="3" t="s">
        <v>76</v>
      </c>
      <c r="C87" s="83">
        <f>16*K90</f>
        <v>176</v>
      </c>
      <c r="D87" s="4" t="s">
        <v>10</v>
      </c>
      <c r="E87" s="142">
        <f>[1]Перекупные!$F$54</f>
        <v>12.879999999999999</v>
      </c>
      <c r="F87" s="99">
        <f t="shared" ref="F87:F98" si="10">C87*E87</f>
        <v>2266.8799999999997</v>
      </c>
      <c r="G87" s="305">
        <f t="shared" ref="G87:G95" si="11">H87*C87</f>
        <v>8.8000000000000007</v>
      </c>
      <c r="H87" s="270">
        <v>0.05</v>
      </c>
      <c r="I87" s="419" t="s">
        <v>166</v>
      </c>
      <c r="J87" s="219">
        <f>0.02433</f>
        <v>2.4330000000000001E-2</v>
      </c>
      <c r="K87" s="219">
        <v>0.29799999999999999</v>
      </c>
      <c r="L87" s="192" t="s">
        <v>9</v>
      </c>
      <c r="M87" s="410"/>
      <c r="N87" s="410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</row>
    <row r="88" spans="1:35" x14ac:dyDescent="0.2">
      <c r="A88" s="103"/>
      <c r="B88" s="4" t="s">
        <v>11</v>
      </c>
      <c r="C88" s="82">
        <f>C87*2</f>
        <v>352</v>
      </c>
      <c r="D88" s="4" t="s">
        <v>10</v>
      </c>
      <c r="E88" s="142">
        <f>[1]Перекупные!$F$55</f>
        <v>4.2549999999999999</v>
      </c>
      <c r="F88" s="99">
        <f t="shared" si="10"/>
        <v>1497.76</v>
      </c>
      <c r="G88" s="305">
        <f t="shared" si="11"/>
        <v>5.6319999999999997</v>
      </c>
      <c r="H88" s="270">
        <v>1.6E-2</v>
      </c>
      <c r="I88" s="226" t="s">
        <v>279</v>
      </c>
      <c r="J88" s="219">
        <v>2.7470000000000001E-2</v>
      </c>
      <c r="K88" s="192"/>
      <c r="L88" s="192"/>
      <c r="M88" s="410"/>
      <c r="N88" s="410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</row>
    <row r="89" spans="1:35" x14ac:dyDescent="0.2">
      <c r="A89" s="103"/>
      <c r="B89" s="4" t="s">
        <v>12</v>
      </c>
      <c r="C89" s="82">
        <f>C87</f>
        <v>176</v>
      </c>
      <c r="D89" s="4" t="s">
        <v>10</v>
      </c>
      <c r="E89" s="142">
        <f>[1]Перекупные!$F$56</f>
        <v>1.0349999999999999</v>
      </c>
      <c r="F89" s="99">
        <f t="shared" si="10"/>
        <v>182.16</v>
      </c>
      <c r="G89" s="305">
        <f t="shared" si="11"/>
        <v>0.88</v>
      </c>
      <c r="H89" s="270">
        <v>5.0000000000000001E-3</v>
      </c>
      <c r="I89" s="235" t="s">
        <v>167</v>
      </c>
      <c r="J89" s="226"/>
      <c r="K89" s="221" t="s">
        <v>193</v>
      </c>
      <c r="L89" s="192"/>
      <c r="M89" s="410" t="s">
        <v>217</v>
      </c>
      <c r="N89" s="410" t="s">
        <v>216</v>
      </c>
      <c r="O89" s="410" t="s">
        <v>224</v>
      </c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</row>
    <row r="90" spans="1:35" x14ac:dyDescent="0.2">
      <c r="A90" s="103"/>
      <c r="B90" s="4"/>
      <c r="C90" s="82"/>
      <c r="D90" s="4"/>
      <c r="E90" s="142"/>
      <c r="F90" s="99"/>
      <c r="G90" s="305"/>
      <c r="H90" s="270">
        <v>0.19</v>
      </c>
      <c r="I90" s="419" t="s">
        <v>169</v>
      </c>
      <c r="J90" s="219">
        <f>4.81/1000</f>
        <v>4.81E-3</v>
      </c>
      <c r="K90" s="292">
        <f>I17</f>
        <v>11</v>
      </c>
      <c r="L90" s="192" t="s">
        <v>43</v>
      </c>
      <c r="M90" s="410">
        <f>C11</f>
        <v>6</v>
      </c>
      <c r="N90" s="410">
        <f>C10</f>
        <v>6</v>
      </c>
      <c r="O90" s="192">
        <f>C9</f>
        <v>60</v>
      </c>
      <c r="P90" s="21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</row>
    <row r="91" spans="1:35" x14ac:dyDescent="0.2">
      <c r="A91" s="103"/>
      <c r="B91" s="4" t="s">
        <v>354</v>
      </c>
      <c r="C91" s="83">
        <v>1</v>
      </c>
      <c r="D91" s="4" t="s">
        <v>43</v>
      </c>
      <c r="E91" s="851">
        <f>0.964*E96</f>
        <v>161855.6</v>
      </c>
      <c r="F91" s="99">
        <f>C91*E91</f>
        <v>161855.6</v>
      </c>
      <c r="G91" s="305">
        <f>C91*H91</f>
        <v>964</v>
      </c>
      <c r="H91" s="270">
        <v>964</v>
      </c>
      <c r="I91" s="226" t="s">
        <v>168</v>
      </c>
      <c r="J91" s="219">
        <f>5.8/1000</f>
        <v>5.7999999999999996E-3</v>
      </c>
      <c r="K91" s="192"/>
      <c r="L91" s="192"/>
      <c r="M91" s="410"/>
      <c r="N91" s="410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</row>
    <row r="92" spans="1:35" x14ac:dyDescent="0.2">
      <c r="A92" s="103"/>
      <c r="B92" s="4"/>
      <c r="C92" s="83"/>
      <c r="D92" s="4"/>
      <c r="E92" s="142"/>
      <c r="F92" s="99"/>
      <c r="G92" s="305"/>
      <c r="H92" s="270">
        <v>1.6E-2</v>
      </c>
      <c r="I92" s="226" t="s">
        <v>173</v>
      </c>
      <c r="J92" s="219">
        <f>7.4/1000</f>
        <v>7.4000000000000003E-3</v>
      </c>
      <c r="K92" s="219" t="s">
        <v>176</v>
      </c>
      <c r="L92" s="234">
        <f>SQRT(3*3+M90*M90)</f>
        <v>6.7082039324993694</v>
      </c>
      <c r="M92" s="234"/>
      <c r="N92" s="410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</row>
    <row r="93" spans="1:35" x14ac:dyDescent="0.2">
      <c r="A93" s="103"/>
      <c r="B93" s="4" t="s">
        <v>74</v>
      </c>
      <c r="C93" s="82">
        <f>L98*K90</f>
        <v>5456</v>
      </c>
      <c r="D93" s="4" t="s">
        <v>10</v>
      </c>
      <c r="E93" s="142">
        <f>[1]Перекупные!$F$62</f>
        <v>30.015000000000001</v>
      </c>
      <c r="F93" s="99">
        <f t="shared" si="10"/>
        <v>163761.84</v>
      </c>
      <c r="G93" s="305">
        <f t="shared" si="11"/>
        <v>654.72</v>
      </c>
      <c r="H93" s="270">
        <v>0.12</v>
      </c>
      <c r="I93" s="226" t="s">
        <v>170</v>
      </c>
      <c r="J93" s="219">
        <f>8.4/1000</f>
        <v>8.4000000000000012E-3</v>
      </c>
      <c r="K93" s="219" t="s">
        <v>177</v>
      </c>
      <c r="L93" s="234">
        <f>SQRT(M90*M90+N90*N90)</f>
        <v>8.4852813742385695</v>
      </c>
      <c r="M93" s="410"/>
      <c r="N93" s="410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</row>
    <row r="94" spans="1:35" x14ac:dyDescent="0.2">
      <c r="A94" s="103"/>
      <c r="B94" s="4" t="s">
        <v>75</v>
      </c>
      <c r="C94" s="82">
        <f>C93</f>
        <v>5456</v>
      </c>
      <c r="D94" s="4" t="s">
        <v>10</v>
      </c>
      <c r="E94" s="142">
        <f>[1]Перекупные!$F$63</f>
        <v>10.637499999999999</v>
      </c>
      <c r="F94" s="99">
        <f t="shared" si="10"/>
        <v>58038.2</v>
      </c>
      <c r="G94" s="305">
        <f t="shared" si="11"/>
        <v>201.87199999999999</v>
      </c>
      <c r="H94" s="270">
        <v>3.6999999999999998E-2</v>
      </c>
      <c r="I94" s="420" t="s">
        <v>171</v>
      </c>
      <c r="J94" s="219">
        <f>10.79/1000</f>
        <v>1.0789999999999999E-2</v>
      </c>
      <c r="K94" s="221" t="s">
        <v>192</v>
      </c>
      <c r="L94" s="192"/>
      <c r="M94" s="410"/>
      <c r="N94" s="246" t="s">
        <v>350</v>
      </c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</row>
    <row r="95" spans="1:35" x14ac:dyDescent="0.2">
      <c r="A95" s="103"/>
      <c r="B95" s="4" t="s">
        <v>272</v>
      </c>
      <c r="C95" s="82">
        <f>C93</f>
        <v>5456</v>
      </c>
      <c r="D95" s="4" t="s">
        <v>10</v>
      </c>
      <c r="E95" s="142">
        <f>[1]Перекупные!$F$64</f>
        <v>2.9899999999999998</v>
      </c>
      <c r="F95" s="99">
        <f t="shared" si="10"/>
        <v>16313.439999999999</v>
      </c>
      <c r="G95" s="305">
        <f t="shared" si="11"/>
        <v>60.015999999999998</v>
      </c>
      <c r="H95" s="270">
        <v>1.0999999999999999E-2</v>
      </c>
      <c r="I95" s="226" t="s">
        <v>172</v>
      </c>
      <c r="J95" s="219">
        <f>11.89/1000</f>
        <v>1.1890000000000001E-2</v>
      </c>
      <c r="K95" s="192">
        <v>3</v>
      </c>
      <c r="L95" s="192" t="s">
        <v>43</v>
      </c>
      <c r="M95" s="410"/>
      <c r="N95" s="410">
        <v>3</v>
      </c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</row>
    <row r="96" spans="1:35" x14ac:dyDescent="0.2">
      <c r="A96" s="103"/>
      <c r="B96" s="4" t="s">
        <v>88</v>
      </c>
      <c r="C96" s="303">
        <f>(4*(C10+0.5)*J87+0.3*L155+J85*K95*O90)*1.05+J85*L150</f>
        <v>2.4786090000000001</v>
      </c>
      <c r="D96" s="4" t="s">
        <v>9</v>
      </c>
      <c r="E96" s="142">
        <f>[1]Перекупные!$F$6</f>
        <v>167900</v>
      </c>
      <c r="F96" s="99">
        <f t="shared" si="10"/>
        <v>416158.45110000001</v>
      </c>
      <c r="G96" s="305">
        <f>H96*C96</f>
        <v>2478.6089999999999</v>
      </c>
      <c r="H96" s="270">
        <v>1000</v>
      </c>
      <c r="I96" s="226" t="s">
        <v>174</v>
      </c>
      <c r="J96" s="219">
        <f>15.5/1000</f>
        <v>1.55E-2</v>
      </c>
      <c r="K96" s="192"/>
      <c r="L96" s="192"/>
      <c r="M96" s="410"/>
      <c r="N96" s="410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</row>
    <row r="97" spans="1:35" x14ac:dyDescent="0.2">
      <c r="A97" s="307">
        <f>C96+C97+C98+H91/1000</f>
        <v>13.139135438980526</v>
      </c>
      <c r="B97" s="4" t="s">
        <v>106</v>
      </c>
      <c r="C97" s="303">
        <f>((K90-2)*(C8+2.5*2)*2*J93+(6*3*2)*L92*J90+(4*2)*L93*J97)*1.05</f>
        <v>6.2546264389805248</v>
      </c>
      <c r="D97" s="4" t="s">
        <v>9</v>
      </c>
      <c r="E97" s="142">
        <f>[1]Перекупные!$F$7</f>
        <v>172500</v>
      </c>
      <c r="F97" s="99">
        <f t="shared" si="10"/>
        <v>1078923.0607241406</v>
      </c>
      <c r="G97" s="305">
        <f>H97*C97</f>
        <v>6254.6264389805247</v>
      </c>
      <c r="H97" s="270">
        <v>1000</v>
      </c>
      <c r="I97" s="420" t="s">
        <v>209</v>
      </c>
      <c r="J97" s="219">
        <f>19.41/1000</f>
        <v>1.941E-2</v>
      </c>
      <c r="K97" s="192"/>
      <c r="L97" s="192"/>
      <c r="M97" s="410"/>
      <c r="N97" s="410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</row>
    <row r="98" spans="1:35" ht="13.5" thickBot="1" x14ac:dyDescent="0.25">
      <c r="A98" s="532"/>
      <c r="B98" s="493" t="s">
        <v>107</v>
      </c>
      <c r="C98" s="539">
        <f>K90*K87*1.05</f>
        <v>3.4419</v>
      </c>
      <c r="D98" s="540" t="s">
        <v>9</v>
      </c>
      <c r="E98" s="541">
        <f>[1]Перекупные!$F$4</f>
        <v>164890</v>
      </c>
      <c r="F98" s="542">
        <f t="shared" si="10"/>
        <v>567534.89099999995</v>
      </c>
      <c r="G98" s="543">
        <f>H98*C98</f>
        <v>3441.9</v>
      </c>
      <c r="H98" s="270">
        <v>1000</v>
      </c>
      <c r="I98" s="410"/>
      <c r="J98" s="192"/>
      <c r="K98" s="192" t="s">
        <v>280</v>
      </c>
      <c r="L98" s="192">
        <f>IF(K95=0,(344+20+(C9/C11+1)*4*N95),(344+20+(C9/C11+1)*4*K95))</f>
        <v>496</v>
      </c>
      <c r="M98" s="410" t="s">
        <v>281</v>
      </c>
      <c r="N98" s="410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</row>
    <row r="99" spans="1:35" x14ac:dyDescent="0.2">
      <c r="A99" s="111"/>
      <c r="B99" s="544" t="s">
        <v>72</v>
      </c>
      <c r="C99" s="545">
        <v>0.05</v>
      </c>
      <c r="D99" s="63"/>
      <c r="E99" s="546"/>
      <c r="F99" s="547">
        <f>SUM(F85:F98)*C99</f>
        <v>123956.64221620702</v>
      </c>
      <c r="G99" s="536"/>
      <c r="H99" s="375"/>
      <c r="I99" s="410">
        <f>A97/C8/C9</f>
        <v>1.2165866147204191E-2</v>
      </c>
      <c r="J99" s="192"/>
      <c r="K99" s="192" t="s">
        <v>282</v>
      </c>
      <c r="L99" s="192">
        <v>8</v>
      </c>
      <c r="M99" s="410" t="s">
        <v>281</v>
      </c>
      <c r="N99" s="410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</row>
    <row r="100" spans="1:35" ht="13.5" thickBot="1" x14ac:dyDescent="0.25">
      <c r="A100" s="79"/>
      <c r="B100" s="123" t="s">
        <v>81</v>
      </c>
      <c r="C100" s="64"/>
      <c r="D100" s="64"/>
      <c r="E100" s="104"/>
      <c r="F100" s="105">
        <f>SUM(F85:F99)</f>
        <v>2603089.4865403473</v>
      </c>
      <c r="G100" s="548">
        <f>SUM(G85:G99)</f>
        <v>14102.546038980525</v>
      </c>
      <c r="H100" s="375"/>
      <c r="I100" s="410"/>
      <c r="J100" s="192"/>
      <c r="K100" s="212"/>
      <c r="L100" s="192"/>
      <c r="M100" s="410"/>
      <c r="N100" s="410"/>
      <c r="O100" s="192"/>
      <c r="P100" s="218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</row>
    <row r="101" spans="1:35" ht="13.5" thickBot="1" x14ac:dyDescent="0.25">
      <c r="A101" s="106">
        <v>2</v>
      </c>
      <c r="B101" s="91" t="s">
        <v>86</v>
      </c>
      <c r="C101" s="6"/>
      <c r="D101" s="6"/>
      <c r="E101" s="107"/>
      <c r="F101" s="108"/>
      <c r="G101" s="207"/>
      <c r="H101" s="270"/>
      <c r="I101" s="410"/>
      <c r="J101" s="192"/>
      <c r="K101" s="192"/>
      <c r="L101" s="192"/>
      <c r="M101" s="410"/>
      <c r="N101" s="410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</row>
    <row r="102" spans="1:35" x14ac:dyDescent="0.2">
      <c r="A102" s="422"/>
      <c r="B102" s="54" t="s">
        <v>45</v>
      </c>
      <c r="C102" s="81">
        <f>10*(C40+C42)</f>
        <v>23298</v>
      </c>
      <c r="D102" s="54" t="s">
        <v>10</v>
      </c>
      <c r="E102" s="423">
        <f>IF(I3=2,J103,K103)</f>
        <v>2.3459999999999996</v>
      </c>
      <c r="F102" s="100"/>
      <c r="G102" s="290"/>
      <c r="H102" s="270">
        <v>2.5999999999999999E-3</v>
      </c>
      <c r="I102" s="226"/>
      <c r="J102" s="244" t="s">
        <v>196</v>
      </c>
      <c r="K102" s="244" t="s">
        <v>195</v>
      </c>
      <c r="L102" s="192"/>
      <c r="M102" s="410"/>
      <c r="N102" s="410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</row>
    <row r="103" spans="1:35" x14ac:dyDescent="0.2">
      <c r="A103" s="424"/>
      <c r="B103" s="9" t="s">
        <v>108</v>
      </c>
      <c r="C103" s="425">
        <f>IF(G9=4,K90*(12.5+2*C10)*0.2,0)</f>
        <v>0</v>
      </c>
      <c r="D103" s="9" t="s">
        <v>33</v>
      </c>
      <c r="E103" s="426">
        <v>2000</v>
      </c>
      <c r="F103" s="99"/>
      <c r="G103" s="291"/>
      <c r="H103" s="270">
        <v>14</v>
      </c>
      <c r="I103" s="4" t="s">
        <v>45</v>
      </c>
      <c r="J103" s="267">
        <f>[1]Основные!$F$425</f>
        <v>2.3459999999999996</v>
      </c>
      <c r="K103" s="267">
        <f>[1]Основные!$F$426</f>
        <v>1.8974999999999997</v>
      </c>
      <c r="L103" s="192"/>
      <c r="M103" s="410"/>
      <c r="N103" s="410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</row>
    <row r="104" spans="1:35" x14ac:dyDescent="0.2">
      <c r="A104" s="103"/>
      <c r="B104" s="4" t="s">
        <v>89</v>
      </c>
      <c r="C104" s="84">
        <f>2*(C8+C9)*(C10+0.5)*E15/1000*1.1+C8*2*E15/1000*1.1</f>
        <v>173.25</v>
      </c>
      <c r="D104" s="80" t="s">
        <v>48</v>
      </c>
      <c r="E104" s="143">
        <f>J109</f>
        <v>0</v>
      </c>
      <c r="F104" s="99"/>
      <c r="G104" s="291"/>
      <c r="H104" s="270">
        <v>30</v>
      </c>
      <c r="I104" s="213"/>
      <c r="J104" s="244">
        <v>5</v>
      </c>
      <c r="K104" s="268" t="s">
        <v>197</v>
      </c>
      <c r="L104" s="244">
        <v>2</v>
      </c>
      <c r="M104" s="192"/>
      <c r="N104" s="213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</row>
    <row r="105" spans="1:35" x14ac:dyDescent="0.2">
      <c r="A105" s="103"/>
      <c r="B105" s="167" t="s">
        <v>101</v>
      </c>
      <c r="C105" s="84">
        <f>(C8+C9)*2*C10</f>
        <v>936</v>
      </c>
      <c r="D105" s="80" t="s">
        <v>33</v>
      </c>
      <c r="E105" s="143">
        <f>J114</f>
        <v>280.59999999999997</v>
      </c>
      <c r="F105" s="99"/>
      <c r="G105" s="291"/>
      <c r="H105" s="270">
        <v>10</v>
      </c>
      <c r="I105" s="12" t="s">
        <v>89</v>
      </c>
      <c r="J105" s="258">
        <f>[1]Основные!$F$158</f>
        <v>3450</v>
      </c>
      <c r="K105" s="258">
        <f>[1]Основные!$F$162</f>
        <v>4150</v>
      </c>
      <c r="L105" s="258">
        <f>[1]Основные!$F$160</f>
        <v>4650</v>
      </c>
      <c r="M105" s="192"/>
      <c r="N105" s="213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</row>
    <row r="106" spans="1:35" ht="13.5" thickBot="1" x14ac:dyDescent="0.25">
      <c r="A106" s="103"/>
      <c r="B106" s="470" t="str">
        <f>L126</f>
        <v>СП 150</v>
      </c>
      <c r="C106" s="84">
        <f>((C8+C9)*2*(C10+1)+C8*2.5)*1.03</f>
        <v>1171.1100000000001</v>
      </c>
      <c r="D106" s="80" t="s">
        <v>33</v>
      </c>
      <c r="E106" s="143">
        <f>M133</f>
        <v>94.8</v>
      </c>
      <c r="F106" s="99">
        <f t="shared" ref="F106:F107" si="12">C106*E106</f>
        <v>111021.228</v>
      </c>
      <c r="G106" s="291">
        <f t="shared" ref="G106:G107" si="13">C106*H106</f>
        <v>29102.083500000004</v>
      </c>
      <c r="H106" s="270">
        <f>O126</f>
        <v>24.85</v>
      </c>
      <c r="I106" s="8"/>
      <c r="J106" s="427">
        <f>[1]Основные!$F$161</f>
        <v>4140</v>
      </c>
      <c r="K106" s="192"/>
      <c r="L106" s="192"/>
      <c r="M106" s="192"/>
      <c r="N106" s="213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</row>
    <row r="107" spans="1:35" ht="13.5" thickBot="1" x14ac:dyDescent="0.25">
      <c r="A107" s="103"/>
      <c r="B107" s="470" t="str">
        <f>L133</f>
        <v>с\з 5,5х190</v>
      </c>
      <c r="C107" s="83">
        <f>C106/I107*6*1.1</f>
        <v>1288.2210000000002</v>
      </c>
      <c r="D107" s="80" t="s">
        <v>10</v>
      </c>
      <c r="E107" s="143">
        <f>M132</f>
        <v>51.9</v>
      </c>
      <c r="F107" s="99">
        <f t="shared" si="12"/>
        <v>66858.669900000008</v>
      </c>
      <c r="G107" s="291">
        <f t="shared" si="13"/>
        <v>6.8275713000000016</v>
      </c>
      <c r="H107" s="270">
        <v>5.3E-3</v>
      </c>
      <c r="I107" s="865">
        <f>C11</f>
        <v>6</v>
      </c>
      <c r="J107" s="866" t="s">
        <v>361</v>
      </c>
      <c r="K107" s="427"/>
      <c r="L107" s="427"/>
      <c r="M107" s="192"/>
      <c r="N107" s="213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</row>
    <row r="108" spans="1:35" x14ac:dyDescent="0.2">
      <c r="A108" s="103"/>
      <c r="B108" s="470" t="s">
        <v>374</v>
      </c>
      <c r="C108" s="83">
        <f>C106/I107*(I107+1)*1.1*2</f>
        <v>3005.8490000000011</v>
      </c>
      <c r="D108" s="80" t="s">
        <v>8</v>
      </c>
      <c r="E108" s="143">
        <f>[1]Перекупные!$F$85</f>
        <v>63.249999999999993</v>
      </c>
      <c r="F108" s="99">
        <f t="shared" ref="F108" si="14">C108*E108</f>
        <v>190119.94925000003</v>
      </c>
      <c r="G108" s="291">
        <f t="shared" ref="G108" si="15">C108*H108</f>
        <v>0</v>
      </c>
      <c r="H108" s="270"/>
      <c r="I108" s="296"/>
      <c r="J108" s="809"/>
      <c r="K108" s="427"/>
      <c r="L108" s="427"/>
      <c r="M108" s="192"/>
      <c r="N108" s="213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</row>
    <row r="109" spans="1:35" x14ac:dyDescent="0.2">
      <c r="A109" s="103"/>
      <c r="B109" s="4" t="s">
        <v>102</v>
      </c>
      <c r="C109" s="84">
        <f>20*C105</f>
        <v>18720</v>
      </c>
      <c r="D109" s="80" t="s">
        <v>10</v>
      </c>
      <c r="E109" s="143">
        <f>[1]Перекупные!$F$29</f>
        <v>0.91999999999999993</v>
      </c>
      <c r="F109" s="99"/>
      <c r="G109" s="291"/>
      <c r="H109" s="270">
        <v>3.0000000000000001E-3</v>
      </c>
      <c r="I109" s="213"/>
      <c r="J109" s="427"/>
      <c r="K109" s="192"/>
      <c r="L109" s="192"/>
      <c r="M109" s="192"/>
      <c r="N109" s="213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</row>
    <row r="110" spans="1:35" x14ac:dyDescent="0.2">
      <c r="A110" s="103"/>
      <c r="B110" s="9" t="s">
        <v>223</v>
      </c>
      <c r="C110" s="84">
        <f>C105/0.6</f>
        <v>1560</v>
      </c>
      <c r="D110" s="80" t="s">
        <v>8</v>
      </c>
      <c r="E110" s="143">
        <f>[1]Перекупные!$F$79</f>
        <v>241.5</v>
      </c>
      <c r="F110" s="99"/>
      <c r="G110" s="291"/>
      <c r="H110" s="270">
        <v>0.7</v>
      </c>
      <c r="I110" s="213"/>
      <c r="J110" s="192"/>
      <c r="K110" s="192"/>
      <c r="L110" s="192"/>
      <c r="M110" s="192"/>
      <c r="N110" s="213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</row>
    <row r="111" spans="1:35" x14ac:dyDescent="0.2">
      <c r="A111" s="103"/>
      <c r="B111" s="169" t="s">
        <v>104</v>
      </c>
      <c r="C111" s="72">
        <f>(C8+C9)*2*(C10+0.5)*1.2</f>
        <v>1216.8</v>
      </c>
      <c r="D111" s="45" t="s">
        <v>33</v>
      </c>
      <c r="E111" s="144">
        <f>[1]Основные!$F$169</f>
        <v>42</v>
      </c>
      <c r="F111" s="99"/>
      <c r="G111" s="291"/>
      <c r="H111" s="270">
        <v>0.2</v>
      </c>
      <c r="I111" s="213"/>
      <c r="J111" s="192"/>
      <c r="K111" s="192"/>
      <c r="L111" s="192"/>
      <c r="M111" s="192"/>
      <c r="N111" s="213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</row>
    <row r="112" spans="1:35" ht="13.5" thickBot="1" x14ac:dyDescent="0.25">
      <c r="A112" s="532"/>
      <c r="B112" s="549" t="s">
        <v>105</v>
      </c>
      <c r="C112" s="553">
        <f>C111</f>
        <v>1216.8</v>
      </c>
      <c r="D112" s="549" t="s">
        <v>33</v>
      </c>
      <c r="E112" s="550">
        <f>[1]Основные!$F$168</f>
        <v>89.14</v>
      </c>
      <c r="F112" s="542"/>
      <c r="G112" s="551"/>
      <c r="H112" s="270">
        <v>0.2</v>
      </c>
      <c r="I112" s="213"/>
      <c r="J112" s="192"/>
      <c r="K112" s="192"/>
      <c r="L112" s="192"/>
      <c r="M112" s="192"/>
      <c r="N112" s="213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</row>
    <row r="113" spans="1:35" x14ac:dyDescent="0.2">
      <c r="A113" s="111"/>
      <c r="B113" s="544" t="s">
        <v>72</v>
      </c>
      <c r="C113" s="545">
        <v>0.05</v>
      </c>
      <c r="D113" s="63"/>
      <c r="E113" s="546"/>
      <c r="F113" s="547">
        <f>SUM(F102:F112)*C113</f>
        <v>18399.992357500003</v>
      </c>
      <c r="G113" s="536"/>
      <c r="H113" s="375"/>
      <c r="I113" s="213"/>
      <c r="J113" s="192"/>
      <c r="K113" s="192"/>
      <c r="L113" s="192"/>
      <c r="M113" s="192"/>
      <c r="N113" s="213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</row>
    <row r="114" spans="1:35" ht="13.5" thickBot="1" x14ac:dyDescent="0.25">
      <c r="A114" s="79"/>
      <c r="B114" s="123" t="s">
        <v>87</v>
      </c>
      <c r="C114" s="64"/>
      <c r="D114" s="64"/>
      <c r="E114" s="104"/>
      <c r="F114" s="105">
        <f>SUM(F102:F113)</f>
        <v>386399.83950750006</v>
      </c>
      <c r="G114" s="548">
        <f>SUM(G102:G113)</f>
        <v>29108.911071300005</v>
      </c>
      <c r="H114" s="375"/>
      <c r="I114" s="226" t="s">
        <v>198</v>
      </c>
      <c r="J114" s="219">
        <f>[1]Перекупные!$F$25</f>
        <v>280.59999999999997</v>
      </c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</row>
    <row r="115" spans="1:35" ht="13.5" thickBot="1" x14ac:dyDescent="0.25">
      <c r="A115" s="308">
        <v>3</v>
      </c>
      <c r="B115" s="129" t="s">
        <v>93</v>
      </c>
      <c r="C115" s="6"/>
      <c r="D115" s="6"/>
      <c r="E115" s="107"/>
      <c r="F115" s="161"/>
      <c r="G115" s="162"/>
      <c r="H115" s="270"/>
      <c r="I115" s="226" t="s">
        <v>199</v>
      </c>
      <c r="J115" s="219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</row>
    <row r="116" spans="1:35" x14ac:dyDescent="0.2">
      <c r="A116" s="111"/>
      <c r="B116" s="57" t="s">
        <v>7</v>
      </c>
      <c r="C116" s="63">
        <f>D168</f>
        <v>0</v>
      </c>
      <c r="D116" s="63" t="s">
        <v>10</v>
      </c>
      <c r="E116" s="728">
        <f>[1]Основные!$F$428</f>
        <v>0.60949999999999993</v>
      </c>
      <c r="F116" s="562">
        <f>C116*E116</f>
        <v>0</v>
      </c>
      <c r="G116" s="729">
        <f>C116*H116</f>
        <v>0</v>
      </c>
      <c r="H116" s="375">
        <v>2E-3</v>
      </c>
      <c r="I116" s="226" t="s">
        <v>200</v>
      </c>
      <c r="J116" s="219">
        <f>[1]Перекупные!$F$23</f>
        <v>337.71666666666664</v>
      </c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</row>
    <row r="117" spans="1:35" x14ac:dyDescent="0.2">
      <c r="A117" s="78"/>
      <c r="B117" s="41" t="str">
        <f>I103</f>
        <v>Саморез 4,8x20</v>
      </c>
      <c r="C117" s="3">
        <f>8*C47</f>
        <v>0</v>
      </c>
      <c r="D117" s="3" t="s">
        <v>10</v>
      </c>
      <c r="E117" s="132">
        <f>IF(I4=1,K103,J103)</f>
        <v>2.3459999999999996</v>
      </c>
      <c r="F117" s="163"/>
      <c r="G117" s="730"/>
      <c r="H117" s="375">
        <f>H102</f>
        <v>2.5999999999999999E-3</v>
      </c>
      <c r="I117" s="469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</row>
    <row r="118" spans="1:35" x14ac:dyDescent="0.2">
      <c r="A118" s="78"/>
      <c r="B118" s="470" t="s">
        <v>283</v>
      </c>
      <c r="C118" s="85">
        <f>E17</f>
        <v>0</v>
      </c>
      <c r="D118" s="3" t="s">
        <v>33</v>
      </c>
      <c r="E118" s="168">
        <f>M125</f>
        <v>4185.5</v>
      </c>
      <c r="F118" s="163"/>
      <c r="G118" s="730"/>
      <c r="H118" s="375">
        <f>O125</f>
        <v>20.100000000000001</v>
      </c>
      <c r="I118" s="469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</row>
    <row r="119" spans="1:35" x14ac:dyDescent="0.2">
      <c r="A119" s="78"/>
      <c r="B119" s="470" t="s">
        <v>284</v>
      </c>
      <c r="C119" s="3">
        <f>8*C118</f>
        <v>0</v>
      </c>
      <c r="D119" s="3" t="s">
        <v>10</v>
      </c>
      <c r="E119" s="168">
        <f>M134</f>
        <v>71.099999999999994</v>
      </c>
      <c r="F119" s="163"/>
      <c r="G119" s="730"/>
      <c r="H119" s="375">
        <v>5.0000000000000001E-3</v>
      </c>
      <c r="I119" s="469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</row>
    <row r="120" spans="1:35" x14ac:dyDescent="0.2">
      <c r="A120" s="78"/>
      <c r="B120" s="41" t="s">
        <v>61</v>
      </c>
      <c r="C120" s="3">
        <f>D169</f>
        <v>0</v>
      </c>
      <c r="D120" s="3" t="s">
        <v>48</v>
      </c>
      <c r="E120" s="168">
        <f>E104</f>
        <v>0</v>
      </c>
      <c r="F120" s="163">
        <f t="shared" ref="F120" si="16">C120*E120</f>
        <v>0</v>
      </c>
      <c r="G120" s="730">
        <f t="shared" ref="G120" si="17">C120*H120</f>
        <v>0</v>
      </c>
      <c r="H120" s="375">
        <v>30</v>
      </c>
      <c r="I120" s="410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</row>
    <row r="121" spans="1:35" x14ac:dyDescent="0.2">
      <c r="A121" s="78"/>
      <c r="B121" s="167" t="s">
        <v>101</v>
      </c>
      <c r="C121" s="3">
        <f>E17*2</f>
        <v>0</v>
      </c>
      <c r="D121" s="3" t="s">
        <v>33</v>
      </c>
      <c r="E121" s="168">
        <f>E105</f>
        <v>280.59999999999997</v>
      </c>
      <c r="F121" s="163"/>
      <c r="G121" s="730"/>
      <c r="H121" s="375">
        <v>10</v>
      </c>
      <c r="I121" s="410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</row>
    <row r="122" spans="1:35" ht="13.5" thickBot="1" x14ac:dyDescent="0.25">
      <c r="A122" s="79"/>
      <c r="B122" s="61" t="s">
        <v>102</v>
      </c>
      <c r="C122" s="64">
        <f>C121*20</f>
        <v>0</v>
      </c>
      <c r="D122" s="64" t="s">
        <v>10</v>
      </c>
      <c r="E122" s="731">
        <f>0.3</f>
        <v>0.3</v>
      </c>
      <c r="F122" s="732"/>
      <c r="G122" s="733"/>
      <c r="H122" s="375">
        <v>3.0000000000000001E-3</v>
      </c>
      <c r="I122" s="410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</row>
    <row r="123" spans="1:35" x14ac:dyDescent="0.2">
      <c r="A123" s="111"/>
      <c r="B123" s="544" t="s">
        <v>72</v>
      </c>
      <c r="C123" s="545">
        <v>0.05</v>
      </c>
      <c r="D123" s="63"/>
      <c r="E123" s="546"/>
      <c r="F123" s="562">
        <f>SUM(F116:F122)*C123</f>
        <v>0</v>
      </c>
      <c r="G123" s="563"/>
      <c r="H123" s="375"/>
      <c r="I123" s="410"/>
      <c r="J123" s="192"/>
      <c r="K123" s="192"/>
      <c r="L123" s="3"/>
      <c r="M123" s="226" t="s">
        <v>82</v>
      </c>
      <c r="N123" s="226" t="s">
        <v>84</v>
      </c>
      <c r="O123" s="219" t="s">
        <v>255</v>
      </c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</row>
    <row r="124" spans="1:35" ht="13.5" thickBot="1" x14ac:dyDescent="0.25">
      <c r="A124" s="79"/>
      <c r="B124" s="123" t="s">
        <v>100</v>
      </c>
      <c r="C124" s="64"/>
      <c r="D124" s="64"/>
      <c r="E124" s="104"/>
      <c r="F124" s="105">
        <f>SUM(F116:F123)</f>
        <v>0</v>
      </c>
      <c r="G124" s="548">
        <f>SUM(G116:G123)</f>
        <v>0</v>
      </c>
      <c r="H124" s="375"/>
      <c r="I124" s="410"/>
      <c r="J124" s="192"/>
      <c r="K124" s="192"/>
      <c r="L124" s="396" t="s">
        <v>249</v>
      </c>
      <c r="M124" s="226">
        <f>[1]СП!$B$4</f>
        <v>4048.0000000000005</v>
      </c>
      <c r="N124" s="219">
        <f>[1]СП!$C$4</f>
        <v>2920</v>
      </c>
      <c r="O124" s="219">
        <f>[1]СП!$D$4</f>
        <v>18.2</v>
      </c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</row>
    <row r="125" spans="1:35" ht="13.5" thickBot="1" x14ac:dyDescent="0.25">
      <c r="A125" s="106">
        <v>3</v>
      </c>
      <c r="B125" s="91" t="s">
        <v>84</v>
      </c>
      <c r="C125" s="6"/>
      <c r="D125" s="6"/>
      <c r="E125" s="107"/>
      <c r="F125" s="108"/>
      <c r="G125" s="207"/>
      <c r="H125" s="270"/>
      <c r="I125" s="410"/>
      <c r="J125" s="192"/>
      <c r="K125" s="192"/>
      <c r="L125" s="396" t="s">
        <v>250</v>
      </c>
      <c r="M125" s="226">
        <f>[1]СП!$B$5</f>
        <v>4185.5</v>
      </c>
      <c r="N125" s="219">
        <f>[1]СП!$C$5</f>
        <v>4471.5</v>
      </c>
      <c r="O125" s="219">
        <f>[1]СП!$D$5</f>
        <v>20.100000000000001</v>
      </c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</row>
    <row r="126" spans="1:35" x14ac:dyDescent="0.2">
      <c r="A126" s="111"/>
      <c r="B126" s="54" t="s">
        <v>45</v>
      </c>
      <c r="C126" s="81">
        <f>(C76+C77)*8</f>
        <v>19327.440000000002</v>
      </c>
      <c r="D126" s="63" t="s">
        <v>10</v>
      </c>
      <c r="E126" s="145">
        <f>E102</f>
        <v>2.3459999999999996</v>
      </c>
      <c r="F126" s="342"/>
      <c r="G126" s="343"/>
      <c r="H126" s="270">
        <f>H102</f>
        <v>2.5999999999999999E-3</v>
      </c>
      <c r="I126" s="410"/>
      <c r="J126" s="192"/>
      <c r="K126" s="192"/>
      <c r="L126" s="791" t="s">
        <v>251</v>
      </c>
      <c r="M126" s="792">
        <f>[1]СП!$B$7</f>
        <v>4746.5</v>
      </c>
      <c r="N126" s="793">
        <f>[1]СП!$C$7</f>
        <v>4983</v>
      </c>
      <c r="O126" s="793">
        <f>[1]СП!$D$7</f>
        <v>24.85</v>
      </c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</row>
    <row r="127" spans="1:35" x14ac:dyDescent="0.2">
      <c r="A127" s="78"/>
      <c r="B127" s="4" t="s">
        <v>89</v>
      </c>
      <c r="C127" s="84">
        <f>(C8+0.3)*C9*E14/1000*1.05</f>
        <v>230.58</v>
      </c>
      <c r="D127" s="3" t="s">
        <v>48</v>
      </c>
      <c r="E127" s="146">
        <f>J105</f>
        <v>3450</v>
      </c>
      <c r="F127" s="98"/>
      <c r="G127" s="344"/>
      <c r="H127" s="270">
        <v>30</v>
      </c>
      <c r="I127" s="410"/>
      <c r="J127" s="192"/>
      <c r="K127" s="192"/>
      <c r="L127" s="396" t="s">
        <v>252</v>
      </c>
      <c r="M127" s="397">
        <f>[1]СП!$B$6</f>
        <v>4449.5</v>
      </c>
      <c r="N127" s="219">
        <f>[1]СП!$C$6</f>
        <v>4730</v>
      </c>
      <c r="O127" s="219">
        <f>[1]СП!$D$6</f>
        <v>22</v>
      </c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</row>
    <row r="128" spans="1:35" x14ac:dyDescent="0.2">
      <c r="A128" s="78"/>
      <c r="B128" s="470" t="str">
        <f>L128</f>
        <v>СП 200</v>
      </c>
      <c r="C128" s="84">
        <f>I140*1.1</f>
        <v>1188</v>
      </c>
      <c r="D128" s="3" t="s">
        <v>33</v>
      </c>
      <c r="E128" s="146">
        <f>N128</f>
        <v>5417.5</v>
      </c>
      <c r="F128" s="98">
        <f t="shared" ref="F128:F129" si="18">C128*E128</f>
        <v>6435990</v>
      </c>
      <c r="G128" s="344">
        <f t="shared" ref="G128:G129" si="19">C128*H128</f>
        <v>35164.800000000003</v>
      </c>
      <c r="H128" s="270">
        <f>O128</f>
        <v>29.6</v>
      </c>
      <c r="I128" s="469"/>
      <c r="J128" s="192"/>
      <c r="K128" s="192"/>
      <c r="L128" s="791" t="s">
        <v>253</v>
      </c>
      <c r="M128" s="794">
        <f>[1]СП!$B$9</f>
        <v>5137</v>
      </c>
      <c r="N128" s="793">
        <f>[1]СП!$C$9</f>
        <v>5417.5</v>
      </c>
      <c r="O128" s="793">
        <f>[1]СП!$D$9</f>
        <v>29.6</v>
      </c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</row>
    <row r="129" spans="1:35" x14ac:dyDescent="0.2">
      <c r="A129" s="78"/>
      <c r="B129" s="470" t="str">
        <f>L135</f>
        <v>с\з 5,5х240</v>
      </c>
      <c r="C129" s="83">
        <f>4*(I129)*C9*1.1</f>
        <v>2112</v>
      </c>
      <c r="D129" s="3" t="s">
        <v>10</v>
      </c>
      <c r="E129" s="146">
        <f>M135</f>
        <v>145.69999999999999</v>
      </c>
      <c r="F129" s="98">
        <f t="shared" si="18"/>
        <v>307718.39999999997</v>
      </c>
      <c r="G129" s="344">
        <f t="shared" si="19"/>
        <v>11.1936</v>
      </c>
      <c r="H129" s="270">
        <v>5.3E-3</v>
      </c>
      <c r="I129" s="296">
        <v>8</v>
      </c>
      <c r="J129" s="809" t="s">
        <v>360</v>
      </c>
      <c r="K129" s="192"/>
      <c r="L129" s="396" t="s">
        <v>254</v>
      </c>
      <c r="M129" s="397">
        <f>[1]СП!$I$11</f>
        <v>6682.5000000000009</v>
      </c>
      <c r="N129" s="219">
        <f>[1]СП!$K$11</f>
        <v>6979.5000000000009</v>
      </c>
      <c r="O129" s="219">
        <f>[1]СП!$L$11</f>
        <v>36.85</v>
      </c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</row>
    <row r="130" spans="1:35" x14ac:dyDescent="0.2">
      <c r="A130" s="78"/>
      <c r="B130" s="470" t="str">
        <f>B108</f>
        <v>Б-К шнур</v>
      </c>
      <c r="C130" s="83">
        <f>C9/1*J16*1.1</f>
        <v>1229.8643760824752</v>
      </c>
      <c r="D130" s="3" t="str">
        <f>D108</f>
        <v>п.м.</v>
      </c>
      <c r="E130" s="146">
        <f>E108</f>
        <v>63.249999999999993</v>
      </c>
      <c r="F130" s="98">
        <f t="shared" ref="F130" si="20">C130*E130</f>
        <v>77788.921787216546</v>
      </c>
      <c r="G130" s="344">
        <f t="shared" ref="G130" si="21">C130*H130</f>
        <v>0</v>
      </c>
      <c r="H130" s="270"/>
      <c r="I130" s="296"/>
      <c r="J130" s="809"/>
      <c r="K130" s="192"/>
      <c r="L130" s="396"/>
      <c r="M130" s="397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</row>
    <row r="131" spans="1:35" x14ac:dyDescent="0.2">
      <c r="A131" s="78"/>
      <c r="B131" s="167" t="s">
        <v>109</v>
      </c>
      <c r="C131" s="84">
        <f>2.5*(C8+0.5+2*C10)*K90</f>
        <v>838.75</v>
      </c>
      <c r="D131" s="3" t="s">
        <v>33</v>
      </c>
      <c r="E131" s="146">
        <f>E121</f>
        <v>280.59999999999997</v>
      </c>
      <c r="F131" s="98"/>
      <c r="G131" s="344"/>
      <c r="H131" s="270">
        <v>10</v>
      </c>
      <c r="I131" s="410"/>
      <c r="J131" s="192"/>
      <c r="K131" s="192"/>
      <c r="L131" s="219" t="s">
        <v>256</v>
      </c>
      <c r="M131" s="833">
        <f>[1]СП!$B$19</f>
        <v>43.1</v>
      </c>
      <c r="N131" s="192"/>
      <c r="O131" s="192"/>
      <c r="P131" s="15"/>
    </row>
    <row r="132" spans="1:35" x14ac:dyDescent="0.2">
      <c r="A132" s="78"/>
      <c r="B132" s="167" t="s">
        <v>102</v>
      </c>
      <c r="C132" s="84">
        <f>30*C131</f>
        <v>25162.5</v>
      </c>
      <c r="D132" s="3" t="s">
        <v>33</v>
      </c>
      <c r="E132" s="146">
        <v>0.3</v>
      </c>
      <c r="F132" s="98"/>
      <c r="G132" s="344"/>
      <c r="H132" s="270">
        <f>H109</f>
        <v>3.0000000000000001E-3</v>
      </c>
      <c r="I132" s="410"/>
      <c r="J132" s="192"/>
      <c r="K132" s="192"/>
      <c r="L132" s="219" t="s">
        <v>257</v>
      </c>
      <c r="M132" s="833">
        <f>[1]СП!$B$20</f>
        <v>51.9</v>
      </c>
      <c r="N132" s="192"/>
      <c r="O132" s="192"/>
      <c r="P132" s="15"/>
    </row>
    <row r="133" spans="1:35" x14ac:dyDescent="0.2">
      <c r="A133" s="78"/>
      <c r="B133" s="470" t="s">
        <v>285</v>
      </c>
      <c r="C133" s="84">
        <f>3*C9*3</f>
        <v>540</v>
      </c>
      <c r="D133" s="3" t="s">
        <v>33</v>
      </c>
      <c r="E133" s="146">
        <f>[1]Перекупные!$F$34</f>
        <v>402.75555555555553</v>
      </c>
      <c r="F133" s="98"/>
      <c r="G133" s="344"/>
      <c r="H133" s="270">
        <v>7</v>
      </c>
      <c r="I133" s="410"/>
      <c r="J133" s="192"/>
      <c r="K133" s="192"/>
      <c r="L133" s="793" t="s">
        <v>258</v>
      </c>
      <c r="M133" s="846">
        <f>[1]СП!$B$22</f>
        <v>94.8</v>
      </c>
      <c r="N133" s="192"/>
      <c r="O133" s="192"/>
      <c r="P133" s="15"/>
    </row>
    <row r="134" spans="1:35" x14ac:dyDescent="0.2">
      <c r="A134" s="78"/>
      <c r="B134" s="470" t="s">
        <v>286</v>
      </c>
      <c r="C134" s="84">
        <f>3*60/12</f>
        <v>15</v>
      </c>
      <c r="D134" s="3" t="s">
        <v>10</v>
      </c>
      <c r="E134" s="146">
        <f>[1]Перекупные!$F$69</f>
        <v>12879.999999999998</v>
      </c>
      <c r="F134" s="98"/>
      <c r="G134" s="344"/>
      <c r="H134" s="270">
        <v>5</v>
      </c>
      <c r="I134" s="410"/>
      <c r="J134" s="192"/>
      <c r="K134" s="192"/>
      <c r="L134" s="219" t="s">
        <v>259</v>
      </c>
      <c r="M134" s="833">
        <f>[1]СП!$B$21</f>
        <v>71.099999999999994</v>
      </c>
      <c r="N134" s="192"/>
      <c r="O134" s="192"/>
      <c r="P134" s="15"/>
    </row>
    <row r="135" spans="1:35" x14ac:dyDescent="0.2">
      <c r="A135" s="78"/>
      <c r="B135" s="470" t="s">
        <v>287</v>
      </c>
      <c r="C135" s="84">
        <f>3*60</f>
        <v>180</v>
      </c>
      <c r="D135" s="3" t="s">
        <v>33</v>
      </c>
      <c r="E135" s="146">
        <f>[1]Основные!$F$40</f>
        <v>1061.3119999999999</v>
      </c>
      <c r="F135" s="98"/>
      <c r="G135" s="344"/>
      <c r="H135" s="270">
        <v>6</v>
      </c>
      <c r="I135" s="410"/>
      <c r="J135" s="192"/>
      <c r="K135" s="192"/>
      <c r="L135" s="793" t="s">
        <v>260</v>
      </c>
      <c r="M135" s="846">
        <f>[1]СП!$B$23</f>
        <v>145.69999999999999</v>
      </c>
      <c r="N135" s="192"/>
      <c r="O135" s="192"/>
      <c r="P135" s="15"/>
    </row>
    <row r="136" spans="1:35" x14ac:dyDescent="0.2">
      <c r="A136" s="78"/>
      <c r="B136" s="4" t="s">
        <v>122</v>
      </c>
      <c r="C136" s="84">
        <f>C24</f>
        <v>960</v>
      </c>
      <c r="D136" s="3" t="s">
        <v>8</v>
      </c>
      <c r="E136" s="146">
        <f>[1]Перекупные!$F$18</f>
        <v>69</v>
      </c>
      <c r="F136" s="98"/>
      <c r="G136" s="344"/>
      <c r="H136" s="270"/>
      <c r="I136" s="410"/>
      <c r="J136" s="192"/>
      <c r="K136" s="192"/>
      <c r="L136" s="219" t="s">
        <v>261</v>
      </c>
      <c r="M136" s="833">
        <f>[1]СП!$B$24</f>
        <v>188.9</v>
      </c>
      <c r="N136" s="192"/>
      <c r="O136" s="192"/>
      <c r="P136" s="15"/>
    </row>
    <row r="137" spans="1:35" x14ac:dyDescent="0.2">
      <c r="A137" s="78"/>
      <c r="B137" s="169" t="s">
        <v>104</v>
      </c>
      <c r="C137" s="72">
        <f>C8*(C9)*1.25</f>
        <v>1350</v>
      </c>
      <c r="D137" s="3" t="s">
        <v>33</v>
      </c>
      <c r="E137" s="146">
        <f>E111</f>
        <v>42</v>
      </c>
      <c r="F137" s="98"/>
      <c r="G137" s="344"/>
      <c r="H137" s="270">
        <v>0.2</v>
      </c>
      <c r="I137" s="410"/>
      <c r="J137" s="192"/>
      <c r="K137" s="192"/>
      <c r="L137" s="219"/>
      <c r="M137" s="397"/>
      <c r="N137" s="192"/>
      <c r="O137" s="192"/>
      <c r="P137" s="15"/>
    </row>
    <row r="138" spans="1:35" x14ac:dyDescent="0.2">
      <c r="A138" s="103"/>
      <c r="B138" s="45" t="s">
        <v>105</v>
      </c>
      <c r="C138" s="73">
        <f>C8*C9*1.25</f>
        <v>1350</v>
      </c>
      <c r="D138" s="45" t="s">
        <v>33</v>
      </c>
      <c r="E138" s="144">
        <f>E112</f>
        <v>89.14</v>
      </c>
      <c r="F138" s="98"/>
      <c r="G138" s="344"/>
      <c r="H138" s="270">
        <v>0.2</v>
      </c>
      <c r="I138" s="410"/>
      <c r="J138" s="192"/>
      <c r="K138" s="192"/>
      <c r="L138" s="219"/>
      <c r="M138" s="397"/>
      <c r="N138" s="192"/>
      <c r="O138" s="192"/>
      <c r="P138" s="15"/>
    </row>
    <row r="139" spans="1:35" x14ac:dyDescent="0.2">
      <c r="A139" s="78"/>
      <c r="B139" s="74" t="s">
        <v>72</v>
      </c>
      <c r="C139" s="75">
        <v>0.05</v>
      </c>
      <c r="D139" s="3"/>
      <c r="E139" s="97"/>
      <c r="F139" s="99">
        <f>SUM(F126:F138)*C139</f>
        <v>341074.86608936085</v>
      </c>
      <c r="G139" s="468"/>
      <c r="H139" s="270"/>
      <c r="I139" s="246" t="s">
        <v>201</v>
      </c>
      <c r="J139" s="192"/>
      <c r="K139" s="192"/>
      <c r="L139" s="192"/>
      <c r="M139" s="192"/>
      <c r="N139" s="192"/>
      <c r="O139" s="192"/>
      <c r="P139" s="15"/>
    </row>
    <row r="140" spans="1:35" x14ac:dyDescent="0.2">
      <c r="A140" s="78"/>
      <c r="B140" s="90" t="s">
        <v>85</v>
      </c>
      <c r="C140" s="3"/>
      <c r="D140" s="3"/>
      <c r="E140" s="85"/>
      <c r="F140" s="95">
        <f>SUM(F126:F139)</f>
        <v>7162572.1878765775</v>
      </c>
      <c r="G140" s="203">
        <f>SUM(G126:G139)</f>
        <v>35175.993600000002</v>
      </c>
      <c r="H140" s="270"/>
      <c r="I140" s="410">
        <f>C9*C8</f>
        <v>1080</v>
      </c>
      <c r="J140" s="192" t="s">
        <v>202</v>
      </c>
      <c r="K140" s="192"/>
      <c r="L140" s="192"/>
      <c r="M140" s="192"/>
      <c r="N140" s="192"/>
      <c r="O140" s="192"/>
      <c r="P140" s="15"/>
    </row>
    <row r="141" spans="1:35" ht="13.5" thickBot="1" x14ac:dyDescent="0.25">
      <c r="A141" s="112"/>
      <c r="B141" s="1038" t="s">
        <v>49</v>
      </c>
      <c r="C141" s="1038"/>
      <c r="D141" s="1038"/>
      <c r="E141" s="1038"/>
      <c r="F141" s="113">
        <f>F140+F114+F100+F124</f>
        <v>10152061.513924424</v>
      </c>
      <c r="G141" s="210">
        <f>G100+G114+G140+G124</f>
        <v>78387.450710280536</v>
      </c>
      <c r="H141" s="270"/>
      <c r="I141" s="192"/>
      <c r="J141" s="192"/>
      <c r="K141" s="192"/>
      <c r="L141" s="192"/>
      <c r="M141" s="192"/>
      <c r="N141" s="192"/>
      <c r="O141" s="192"/>
      <c r="P141" s="15"/>
    </row>
    <row r="142" spans="1:35" x14ac:dyDescent="0.2">
      <c r="A142" s="428"/>
      <c r="B142" s="1056" t="s">
        <v>73</v>
      </c>
      <c r="C142" s="1056"/>
      <c r="D142" s="1056"/>
      <c r="E142" s="1056"/>
      <c r="F142" s="429">
        <f>F82+F141</f>
        <v>13539259.721454285</v>
      </c>
      <c r="G142" s="430"/>
      <c r="H142" s="275"/>
      <c r="I142" s="214"/>
      <c r="J142" s="197"/>
      <c r="K142" s="197"/>
      <c r="L142" s="192"/>
      <c r="M142" s="197"/>
      <c r="N142" s="197"/>
      <c r="O142" s="197"/>
      <c r="P142" s="46"/>
      <c r="Q142" s="46"/>
      <c r="R142" s="46"/>
    </row>
    <row r="143" spans="1:35" x14ac:dyDescent="0.2">
      <c r="A143" s="431"/>
      <c r="B143" s="432" t="s">
        <v>98</v>
      </c>
      <c r="C143" s="432"/>
      <c r="D143" s="432"/>
      <c r="E143" s="433">
        <v>0.02</v>
      </c>
      <c r="F143" s="434">
        <f>F142*E143</f>
        <v>270785.19442908571</v>
      </c>
      <c r="G143" s="435"/>
      <c r="H143" s="275"/>
      <c r="I143" s="214"/>
      <c r="J143" s="197"/>
      <c r="K143" s="197"/>
      <c r="L143" s="192"/>
      <c r="M143" s="197"/>
      <c r="N143" s="197"/>
      <c r="O143" s="197"/>
      <c r="P143" s="46"/>
      <c r="Q143" s="46"/>
      <c r="R143" s="46"/>
    </row>
    <row r="144" spans="1:35" ht="13.5" thickBot="1" x14ac:dyDescent="0.25">
      <c r="A144" s="436"/>
      <c r="B144" s="437" t="s">
        <v>99</v>
      </c>
      <c r="C144" s="437"/>
      <c r="D144" s="437"/>
      <c r="E144" s="437"/>
      <c r="F144" s="438">
        <f>SUM(F142:F143)</f>
        <v>13810044.915883372</v>
      </c>
      <c r="G144" s="439"/>
      <c r="H144" s="440"/>
      <c r="I144" s="214"/>
      <c r="J144" s="197"/>
      <c r="K144" s="197"/>
      <c r="L144" s="192"/>
      <c r="M144" s="197"/>
      <c r="N144" s="197"/>
      <c r="O144" s="197"/>
      <c r="P144" s="46"/>
      <c r="Q144" s="46"/>
      <c r="R144" s="46"/>
    </row>
    <row r="145" spans="1:19" ht="13.5" thickBot="1" x14ac:dyDescent="0.25">
      <c r="A145" s="441"/>
      <c r="C145" s="442"/>
      <c r="D145" s="443" t="s">
        <v>273</v>
      </c>
      <c r="E145" s="444">
        <f>F142/I140</f>
        <v>12536.351593939153</v>
      </c>
      <c r="F145" s="445" t="s">
        <v>274</v>
      </c>
      <c r="G145" s="446">
        <f>(G141+G82)/I140</f>
        <v>88.127370509872108</v>
      </c>
      <c r="H145" s="275"/>
      <c r="I145" s="214"/>
      <c r="J145" s="197"/>
      <c r="K145" s="197"/>
      <c r="L145" s="197"/>
      <c r="M145" s="197"/>
      <c r="N145" s="197"/>
      <c r="O145" s="197"/>
      <c r="P145" s="46"/>
      <c r="Q145" s="46"/>
      <c r="R145" s="46"/>
    </row>
    <row r="146" spans="1:19" ht="13.5" thickBot="1" x14ac:dyDescent="0.25">
      <c r="A146" s="8"/>
      <c r="B146" s="48"/>
      <c r="C146" s="49"/>
      <c r="D146" s="49"/>
      <c r="E146" s="49"/>
      <c r="F146" s="50"/>
      <c r="G146" s="51"/>
      <c r="H146" s="276"/>
      <c r="I146" s="47"/>
      <c r="J146" s="46"/>
      <c r="K146" s="46"/>
      <c r="L146" s="46"/>
      <c r="M146" s="46"/>
      <c r="N146" s="46"/>
      <c r="O146" s="46"/>
      <c r="P146" s="46"/>
      <c r="Q146" s="46"/>
      <c r="R146" s="46"/>
    </row>
    <row r="147" spans="1:19" x14ac:dyDescent="0.2">
      <c r="A147" s="15"/>
      <c r="B147" s="1005" t="s">
        <v>50</v>
      </c>
      <c r="C147" s="1007" t="str">
        <f>F7</f>
        <v>альбом</v>
      </c>
      <c r="D147" s="1008"/>
      <c r="E147" s="1009"/>
      <c r="F147" s="147"/>
      <c r="G147" s="8"/>
      <c r="H147" s="277"/>
      <c r="I147" s="71"/>
      <c r="J147" s="46"/>
      <c r="K147" s="46"/>
      <c r="L147" s="46"/>
      <c r="M147" s="46"/>
      <c r="N147" s="46"/>
      <c r="O147" s="46"/>
      <c r="P147" s="46"/>
      <c r="Q147" s="46"/>
      <c r="R147" s="46"/>
    </row>
    <row r="148" spans="1:19" ht="13.5" thickBot="1" x14ac:dyDescent="0.25">
      <c r="A148" s="52"/>
      <c r="B148" s="1006"/>
      <c r="C148" s="1010" t="s">
        <v>351</v>
      </c>
      <c r="D148" s="1011"/>
      <c r="E148" s="1012"/>
      <c r="F148" s="148"/>
      <c r="G148" s="8" t="s">
        <v>71</v>
      </c>
      <c r="O148" s="192"/>
      <c r="P148" s="192"/>
      <c r="Q148" s="192"/>
    </row>
    <row r="149" spans="1:19" ht="13.5" thickBot="1" x14ac:dyDescent="0.25">
      <c r="A149" s="52"/>
      <c r="B149" s="170" t="s">
        <v>114</v>
      </c>
      <c r="C149" s="150"/>
      <c r="D149" s="10"/>
      <c r="E149" s="10"/>
      <c r="F149" s="151">
        <f>M153*N153+M154*N154+M155*N155</f>
        <v>0</v>
      </c>
      <c r="H149" s="236" t="s">
        <v>275</v>
      </c>
      <c r="O149" s="192"/>
      <c r="P149" s="192"/>
      <c r="Q149" s="192"/>
    </row>
    <row r="150" spans="1:19" ht="13.5" thickBot="1" x14ac:dyDescent="0.25">
      <c r="A150" s="52"/>
      <c r="B150" s="149" t="s">
        <v>80</v>
      </c>
      <c r="C150" s="150"/>
      <c r="D150" s="10"/>
      <c r="E150" s="152">
        <f>(F71+F32+(F96+F98+F97)*1.05)*1.02</f>
        <v>5166038.1503837835</v>
      </c>
      <c r="F150" s="151"/>
      <c r="H150" s="447">
        <f>E150+E151+E152+E153+E154+E155*1.02</f>
        <v>13810044.915883373</v>
      </c>
      <c r="L150">
        <f>(J153+K153)*2*L153*1.2</f>
        <v>0</v>
      </c>
      <c r="O150" s="192"/>
      <c r="P150" s="192"/>
      <c r="Q150" s="192"/>
    </row>
    <row r="151" spans="1:19" x14ac:dyDescent="0.2">
      <c r="A151" s="8"/>
      <c r="B151" s="149" t="s">
        <v>90</v>
      </c>
      <c r="C151" s="150"/>
      <c r="D151" s="10"/>
      <c r="E151" s="152">
        <f>(F44+F81)*1.02</f>
        <v>226934.64472133137</v>
      </c>
      <c r="F151" s="151"/>
      <c r="J151" t="s">
        <v>65</v>
      </c>
      <c r="O151" s="192"/>
      <c r="P151" s="192"/>
      <c r="Q151" s="192"/>
    </row>
    <row r="152" spans="1:19" x14ac:dyDescent="0.2">
      <c r="B152" s="149" t="s">
        <v>91</v>
      </c>
      <c r="C152" s="150"/>
      <c r="D152" s="10"/>
      <c r="E152" s="152">
        <f>(F85+F86+F87+F88+F89+F90+F91+F92+F93+F94+F95+F102+F104+F111+F112+F126+F127+F137+F138+F105+F109+F131+F132+F136+F103+F135+F134+F133+F106+F107+F128+F129+F130+F108)*1.05*1.02</f>
        <v>8146040.5767782582</v>
      </c>
      <c r="F152" s="151"/>
      <c r="H152" s="278"/>
      <c r="I152" s="12"/>
      <c r="J152" s="4" t="s">
        <v>66</v>
      </c>
      <c r="K152" s="254" t="s">
        <v>67</v>
      </c>
      <c r="L152" s="3" t="s">
        <v>69</v>
      </c>
      <c r="M152" s="12" t="s">
        <v>68</v>
      </c>
      <c r="N152" s="4" t="s">
        <v>70</v>
      </c>
      <c r="O152" s="192" t="s">
        <v>218</v>
      </c>
      <c r="P152" s="192"/>
      <c r="Q152" s="192"/>
      <c r="R152" s="8"/>
    </row>
    <row r="153" spans="1:19" x14ac:dyDescent="0.2">
      <c r="B153" s="149" t="s">
        <v>92</v>
      </c>
      <c r="C153" s="150"/>
      <c r="D153" s="10"/>
      <c r="E153" s="153"/>
      <c r="F153" s="151"/>
      <c r="G153" s="154"/>
      <c r="H153" s="278"/>
      <c r="I153" s="12" t="s">
        <v>51</v>
      </c>
      <c r="J153" s="68">
        <f>18+30</f>
        <v>48</v>
      </c>
      <c r="K153" s="69">
        <v>1</v>
      </c>
      <c r="L153" s="68">
        <v>0</v>
      </c>
      <c r="M153" s="69">
        <f>J153*K153*L153</f>
        <v>0</v>
      </c>
      <c r="N153" s="11">
        <f>[1]Перекупные!$F$72</f>
        <v>5914.2857142857138</v>
      </c>
      <c r="O153" s="192">
        <v>0</v>
      </c>
      <c r="P153" s="192"/>
      <c r="Q153" s="192"/>
      <c r="R153" s="8"/>
    </row>
    <row r="154" spans="1:19" x14ac:dyDescent="0.2">
      <c r="B154" s="170" t="s">
        <v>93</v>
      </c>
      <c r="C154" s="150"/>
      <c r="D154" s="10"/>
      <c r="E154" s="153">
        <f>(F49+F124)*1.02</f>
        <v>0</v>
      </c>
      <c r="F154" s="151"/>
      <c r="G154" s="154"/>
      <c r="H154" s="278"/>
      <c r="I154" s="12" t="s">
        <v>53</v>
      </c>
      <c r="J154" s="68">
        <v>1</v>
      </c>
      <c r="K154" s="69">
        <v>2</v>
      </c>
      <c r="L154" s="68">
        <v>0</v>
      </c>
      <c r="M154" s="69">
        <f>J154*K154*L154</f>
        <v>0</v>
      </c>
      <c r="N154" s="11">
        <f>[1]Перекупные!$F$71</f>
        <v>26164.02116402116</v>
      </c>
      <c r="O154" s="192"/>
      <c r="P154" s="192"/>
      <c r="Q154" s="192"/>
      <c r="R154" s="8"/>
    </row>
    <row r="155" spans="1:19" x14ac:dyDescent="0.2">
      <c r="B155" s="173" t="s">
        <v>112</v>
      </c>
      <c r="C155" s="150"/>
      <c r="D155" s="10"/>
      <c r="E155" s="153">
        <f>F61</f>
        <v>265717.2</v>
      </c>
      <c r="F155" s="151"/>
      <c r="G155" s="154"/>
      <c r="H155" s="278"/>
      <c r="I155" s="255" t="s">
        <v>52</v>
      </c>
      <c r="J155" s="256">
        <v>14</v>
      </c>
      <c r="K155" s="257">
        <v>4</v>
      </c>
      <c r="L155" s="256">
        <v>0</v>
      </c>
      <c r="M155" s="69">
        <f>J155*K155*L155</f>
        <v>0</v>
      </c>
      <c r="N155" s="11">
        <v>34500</v>
      </c>
      <c r="O155" s="192"/>
      <c r="P155" s="192"/>
      <c r="Q155" s="192"/>
      <c r="R155" s="8"/>
    </row>
    <row r="156" spans="1:19" x14ac:dyDescent="0.2">
      <c r="B156" s="1016" t="s">
        <v>94</v>
      </c>
      <c r="C156" s="1017"/>
      <c r="D156" s="1017"/>
      <c r="E156" s="1018"/>
      <c r="F156" s="53"/>
      <c r="G156" s="8" t="s">
        <v>205</v>
      </c>
      <c r="H156" s="1004"/>
      <c r="I156" s="1004"/>
      <c r="J156" s="192"/>
      <c r="K156" s="192"/>
      <c r="L156" s="8"/>
      <c r="M156" s="8"/>
      <c r="N156" s="8"/>
      <c r="O156" s="8"/>
      <c r="P156" s="8"/>
      <c r="Q156" s="8"/>
      <c r="R156" s="8"/>
    </row>
    <row r="157" spans="1:19" ht="13.5" thickBot="1" x14ac:dyDescent="0.25">
      <c r="B157" s="1040"/>
      <c r="C157" s="1041"/>
      <c r="D157" s="1041"/>
      <c r="E157" s="1042"/>
      <c r="F157" s="55"/>
      <c r="G157" s="15"/>
      <c r="H157" s="272"/>
      <c r="I157" s="192"/>
      <c r="J157" s="192"/>
      <c r="K157" s="192"/>
      <c r="O157" s="15"/>
      <c r="P157" s="15"/>
    </row>
    <row r="158" spans="1:19" x14ac:dyDescent="0.2">
      <c r="B158" s="718" t="s">
        <v>263</v>
      </c>
      <c r="G158" s="56"/>
      <c r="H158" s="272"/>
      <c r="I158" s="192"/>
      <c r="J158" s="192"/>
      <c r="K158" s="192"/>
      <c r="O158" s="15"/>
      <c r="P158" s="15"/>
    </row>
    <row r="159" spans="1:19" x14ac:dyDescent="0.2">
      <c r="G159" s="56"/>
      <c r="H159" s="272"/>
      <c r="I159" s="192"/>
      <c r="J159" s="192"/>
      <c r="K159" s="192"/>
      <c r="O159" s="15"/>
      <c r="P159" s="15"/>
    </row>
    <row r="160" spans="1:19" x14ac:dyDescent="0.2">
      <c r="A160" s="1034"/>
      <c r="B160" s="192"/>
      <c r="C160" s="224"/>
      <c r="D160" s="223"/>
      <c r="E160" s="192"/>
      <c r="F160" s="1043"/>
      <c r="G160" s="192"/>
      <c r="H160" s="27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</row>
    <row r="161" spans="1:19" x14ac:dyDescent="0.2">
      <c r="A161" s="1034"/>
      <c r="B161" s="192"/>
      <c r="C161" s="223"/>
      <c r="D161" s="223"/>
      <c r="E161" s="192"/>
      <c r="F161" s="1043"/>
      <c r="G161" s="192"/>
      <c r="H161" s="27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</row>
    <row r="162" spans="1:19" x14ac:dyDescent="0.2">
      <c r="A162" s="1034"/>
      <c r="B162" s="192"/>
      <c r="C162" s="224"/>
      <c r="D162" s="223"/>
      <c r="E162" s="192"/>
      <c r="F162" s="1043"/>
      <c r="G162" s="192"/>
      <c r="H162" s="27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</row>
    <row r="163" spans="1:19" x14ac:dyDescent="0.2">
      <c r="A163" s="1034"/>
      <c r="B163" s="192"/>
      <c r="C163" s="224"/>
      <c r="D163" s="223"/>
      <c r="E163" s="192"/>
      <c r="F163" s="1043"/>
      <c r="G163" s="192"/>
      <c r="H163" s="272"/>
      <c r="I163" s="192"/>
      <c r="J163" s="192"/>
      <c r="K163" s="192"/>
      <c r="L163" s="192"/>
      <c r="M163" s="223"/>
      <c r="N163" s="197"/>
      <c r="O163" s="197"/>
      <c r="P163" s="197"/>
      <c r="Q163" s="197"/>
      <c r="R163" s="197"/>
      <c r="S163" s="192"/>
    </row>
    <row r="164" spans="1:19" x14ac:dyDescent="0.2">
      <c r="A164" s="1034"/>
      <c r="B164" s="192"/>
      <c r="C164" s="224"/>
      <c r="D164" s="223"/>
      <c r="E164" s="192"/>
      <c r="F164" s="1043"/>
      <c r="G164" s="192"/>
      <c r="H164" s="279"/>
      <c r="I164" s="221"/>
      <c r="J164" s="192"/>
      <c r="K164" s="192"/>
      <c r="L164" s="192"/>
      <c r="M164" s="223"/>
      <c r="N164" s="197"/>
      <c r="O164" s="197"/>
      <c r="P164" s="197"/>
      <c r="Q164" s="197"/>
      <c r="R164" s="197"/>
      <c r="S164" s="192"/>
    </row>
    <row r="165" spans="1:19" ht="13.5" thickBot="1" x14ac:dyDescent="0.25">
      <c r="B165" s="15"/>
      <c r="C165" s="15" t="s">
        <v>57</v>
      </c>
      <c r="D165" s="15"/>
      <c r="E165" s="15"/>
      <c r="F165" s="15"/>
      <c r="G165" s="15" t="s">
        <v>39</v>
      </c>
      <c r="H165" s="272"/>
      <c r="I165" s="222"/>
      <c r="J165" s="410"/>
      <c r="K165" s="192"/>
      <c r="L165" s="192"/>
      <c r="O165" s="15"/>
      <c r="P165" s="15"/>
    </row>
    <row r="166" spans="1:19" ht="13.5" thickBot="1" x14ac:dyDescent="0.25">
      <c r="A166" s="1027">
        <f>E17</f>
        <v>0</v>
      </c>
      <c r="B166" s="57" t="s">
        <v>42</v>
      </c>
      <c r="C166" s="58">
        <v>1</v>
      </c>
      <c r="D166" s="70">
        <f t="shared" ref="D166:D171" si="22">C166*$A$166</f>
        <v>0</v>
      </c>
      <c r="E166" s="57" t="s">
        <v>54</v>
      </c>
      <c r="F166" s="1030" t="s">
        <v>32</v>
      </c>
      <c r="G166" s="42">
        <f>[10]прайс!K24</f>
        <v>93</v>
      </c>
      <c r="O166" s="15"/>
      <c r="P166" s="15"/>
    </row>
    <row r="167" spans="1:19" ht="13.5" thickBot="1" x14ac:dyDescent="0.25">
      <c r="A167" s="1028"/>
      <c r="B167" s="41" t="s">
        <v>60</v>
      </c>
      <c r="C167" s="12">
        <v>2</v>
      </c>
      <c r="D167" s="70">
        <f t="shared" si="22"/>
        <v>0</v>
      </c>
      <c r="E167" s="41" t="s">
        <v>54</v>
      </c>
      <c r="F167" s="1031"/>
      <c r="G167" s="42">
        <f>[10]прайс!K37</f>
        <v>61</v>
      </c>
      <c r="H167" s="238">
        <f>CEILING(E16/140,1)</f>
        <v>0</v>
      </c>
      <c r="I167" s="3" t="s">
        <v>56</v>
      </c>
      <c r="O167" s="15"/>
      <c r="P167" s="15"/>
    </row>
    <row r="168" spans="1:19" ht="13.5" thickBot="1" x14ac:dyDescent="0.25">
      <c r="A168" s="1028"/>
      <c r="B168" s="41" t="s">
        <v>7</v>
      </c>
      <c r="C168" s="12">
        <v>10</v>
      </c>
      <c r="D168" s="70">
        <f t="shared" si="22"/>
        <v>0</v>
      </c>
      <c r="E168" s="41" t="s">
        <v>43</v>
      </c>
      <c r="F168" s="1031"/>
      <c r="G168" s="15">
        <f>[10]прайс!G28</f>
        <v>0.33</v>
      </c>
      <c r="H168" s="280"/>
      <c r="O168" s="15"/>
      <c r="P168" s="15"/>
    </row>
    <row r="169" spans="1:19" ht="13.5" thickBot="1" x14ac:dyDescent="0.25">
      <c r="A169" s="1028"/>
      <c r="B169" s="41" t="s">
        <v>61</v>
      </c>
      <c r="C169" s="12">
        <v>0.11</v>
      </c>
      <c r="D169" s="70">
        <f t="shared" si="22"/>
        <v>0</v>
      </c>
      <c r="E169" s="41" t="s">
        <v>48</v>
      </c>
      <c r="F169" s="1031"/>
      <c r="G169" s="42">
        <f>[10]прайс!E34</f>
        <v>1741</v>
      </c>
      <c r="H169" s="281"/>
      <c r="O169" s="15"/>
      <c r="P169" s="15"/>
    </row>
    <row r="170" spans="1:19" ht="13.5" thickBot="1" x14ac:dyDescent="0.25">
      <c r="A170" s="1028"/>
      <c r="B170" s="41" t="s">
        <v>62</v>
      </c>
      <c r="C170" s="59">
        <v>2.2000000000000002</v>
      </c>
      <c r="D170" s="70">
        <f t="shared" si="22"/>
        <v>0</v>
      </c>
      <c r="E170" s="41" t="s">
        <v>33</v>
      </c>
      <c r="F170" s="1031"/>
      <c r="G170" s="15">
        <f>IF(I4=1,[10]прайс!J43,IF('[10]типовые рамники до 15м'!I4=2,[10]прайс!B8,0))</f>
        <v>210</v>
      </c>
      <c r="H170" s="236" t="s">
        <v>40</v>
      </c>
      <c r="I170" t="s">
        <v>58</v>
      </c>
      <c r="J170" t="s">
        <v>59</v>
      </c>
      <c r="O170" s="15"/>
      <c r="P170" s="15"/>
    </row>
    <row r="171" spans="1:19" ht="13.5" thickBot="1" x14ac:dyDescent="0.25">
      <c r="A171" s="1029"/>
      <c r="B171" s="61" t="s">
        <v>55</v>
      </c>
      <c r="C171" s="62">
        <v>14</v>
      </c>
      <c r="D171" s="70">
        <f t="shared" si="22"/>
        <v>0</v>
      </c>
      <c r="E171" s="61" t="s">
        <v>43</v>
      </c>
      <c r="F171" s="1032"/>
      <c r="G171" s="42">
        <f>[10]прайс!D17</f>
        <v>2.63</v>
      </c>
      <c r="H171" s="236">
        <f t="shared" ref="H171:H176" si="23">G166*D166</f>
        <v>0</v>
      </c>
      <c r="I171">
        <v>1.56</v>
      </c>
      <c r="J171">
        <f t="shared" ref="J171:J176" si="24">I171*D166</f>
        <v>0</v>
      </c>
      <c r="O171" s="15"/>
      <c r="P171" s="15"/>
    </row>
    <row r="172" spans="1:19" x14ac:dyDescent="0.2">
      <c r="H172" s="236">
        <f t="shared" si="23"/>
        <v>0</v>
      </c>
      <c r="I172">
        <v>1.1499999999999999</v>
      </c>
      <c r="J172">
        <f t="shared" si="24"/>
        <v>0</v>
      </c>
      <c r="O172" s="15"/>
      <c r="P172" s="15"/>
    </row>
    <row r="173" spans="1:19" x14ac:dyDescent="0.2">
      <c r="H173" s="236">
        <f t="shared" si="23"/>
        <v>0</v>
      </c>
      <c r="I173">
        <f>0.18/100</f>
        <v>1.8E-3</v>
      </c>
      <c r="J173">
        <f t="shared" si="24"/>
        <v>0</v>
      </c>
      <c r="O173" s="15"/>
      <c r="P173" s="15"/>
    </row>
    <row r="174" spans="1:19" x14ac:dyDescent="0.2">
      <c r="H174" s="236">
        <f t="shared" si="23"/>
        <v>0</v>
      </c>
      <c r="I174">
        <v>22</v>
      </c>
      <c r="J174">
        <f t="shared" si="24"/>
        <v>0</v>
      </c>
      <c r="O174" s="15"/>
      <c r="P174" s="15"/>
    </row>
    <row r="175" spans="1:19" x14ac:dyDescent="0.2">
      <c r="H175" s="282">
        <f t="shared" si="23"/>
        <v>0</v>
      </c>
      <c r="I175">
        <v>4.4119999999999999</v>
      </c>
      <c r="J175">
        <f t="shared" si="24"/>
        <v>0</v>
      </c>
      <c r="O175" s="15"/>
      <c r="P175" s="15"/>
    </row>
    <row r="176" spans="1:19" x14ac:dyDescent="0.2">
      <c r="H176" s="236">
        <f t="shared" si="23"/>
        <v>0</v>
      </c>
      <c r="I176">
        <f>0.53/100</f>
        <v>5.3E-3</v>
      </c>
      <c r="J176">
        <f t="shared" si="24"/>
        <v>0</v>
      </c>
      <c r="O176" s="15"/>
      <c r="P176" s="15"/>
    </row>
    <row r="177" spans="8:16" x14ac:dyDescent="0.2">
      <c r="H177" s="283">
        <f>SUM(H171:H176)</f>
        <v>0</v>
      </c>
      <c r="J177" s="60">
        <f>SUM(J171:J176)</f>
        <v>0</v>
      </c>
      <c r="O177" s="15"/>
      <c r="P177" s="15"/>
    </row>
    <row r="178" spans="8:16" x14ac:dyDescent="0.2">
      <c r="O178" s="15"/>
      <c r="P178" s="15"/>
    </row>
    <row r="179" spans="8:16" x14ac:dyDescent="0.2">
      <c r="O179" s="15"/>
      <c r="P179" s="15"/>
    </row>
    <row r="180" spans="8:16" x14ac:dyDescent="0.2">
      <c r="H180" s="284">
        <f>E76/1.15*($E$9+FLOOR($E$9/6,1)*0.2)*1.17</f>
        <v>0</v>
      </c>
      <c r="I180" t="s">
        <v>63</v>
      </c>
      <c r="O180" s="15"/>
      <c r="P180" s="15"/>
    </row>
  </sheetData>
  <mergeCells count="29">
    <mergeCell ref="C82:E82"/>
    <mergeCell ref="A1:B2"/>
    <mergeCell ref="C1:G4"/>
    <mergeCell ref="L1:O1"/>
    <mergeCell ref="P1:S1"/>
    <mergeCell ref="A3:B4"/>
    <mergeCell ref="E6:F6"/>
    <mergeCell ref="M23:M24"/>
    <mergeCell ref="M25:M26"/>
    <mergeCell ref="M27:M28"/>
    <mergeCell ref="AB6:AD6"/>
    <mergeCell ref="AF6:AH6"/>
    <mergeCell ref="A11:B11"/>
    <mergeCell ref="C16:D16"/>
    <mergeCell ref="A18:D18"/>
    <mergeCell ref="M9:P9"/>
    <mergeCell ref="A83:G83"/>
    <mergeCell ref="B141:E141"/>
    <mergeCell ref="B142:E142"/>
    <mergeCell ref="B147:B148"/>
    <mergeCell ref="C147:E147"/>
    <mergeCell ref="C148:E148"/>
    <mergeCell ref="H156:I156"/>
    <mergeCell ref="B157:E157"/>
    <mergeCell ref="A160:A164"/>
    <mergeCell ref="F160:F164"/>
    <mergeCell ref="A166:A171"/>
    <mergeCell ref="F166:F171"/>
    <mergeCell ref="B156:E156"/>
  </mergeCells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Footer>&amp;LИнженер по расчетам&amp;CАрхиреева И.А.&amp;R&amp;D</oddFooter>
  </headerFooter>
  <rowBreaks count="1" manualBreakCount="1">
    <brk id="82" max="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69"/>
  <sheetViews>
    <sheetView view="pageLayout" topLeftCell="A105" zoomScaleNormal="100" workbookViewId="0">
      <selection activeCell="C87" sqref="C87"/>
    </sheetView>
  </sheetViews>
  <sheetFormatPr defaultColWidth="9.140625" defaultRowHeight="12.75" x14ac:dyDescent="0.2"/>
  <cols>
    <col min="1" max="1" width="9.140625" style="317" customWidth="1"/>
    <col min="2" max="2" width="28.140625" style="317" customWidth="1"/>
    <col min="3" max="3" width="9" style="317" customWidth="1"/>
    <col min="4" max="4" width="8.28515625" style="317" customWidth="1"/>
    <col min="5" max="5" width="13.140625" style="317" customWidth="1"/>
    <col min="6" max="6" width="15.42578125" style="317" customWidth="1"/>
    <col min="7" max="7" width="11.85546875" style="317" customWidth="1"/>
    <col min="8" max="8" width="14.85546875" style="708" customWidth="1"/>
    <col min="9" max="9" width="17.5703125" style="317" customWidth="1"/>
    <col min="10" max="10" width="12.5703125" style="317" customWidth="1"/>
    <col min="11" max="11" width="11.140625" style="317" bestFit="1" customWidth="1"/>
    <col min="12" max="12" width="16.85546875" style="317" customWidth="1"/>
    <col min="13" max="13" width="13.28515625" style="317" bestFit="1" customWidth="1"/>
    <col min="14" max="14" width="12.42578125" style="317" bestFit="1" customWidth="1"/>
    <col min="15" max="15" width="11" style="317" bestFit="1" customWidth="1"/>
    <col min="16" max="16" width="13.140625" style="317" bestFit="1" customWidth="1"/>
    <col min="17" max="17" width="5.5703125" style="317" bestFit="1" customWidth="1"/>
    <col min="18" max="18" width="11.42578125" style="317" bestFit="1" customWidth="1"/>
    <col min="19" max="19" width="7.140625" style="317" customWidth="1"/>
    <col min="20" max="20" width="11.42578125" style="317" bestFit="1" customWidth="1"/>
    <col min="21" max="21" width="5.5703125" style="317" bestFit="1" customWidth="1"/>
    <col min="22" max="22" width="9.140625" style="317"/>
    <col min="23" max="23" width="8.140625" style="317" bestFit="1" customWidth="1"/>
    <col min="24" max="24" width="10.140625" style="317" bestFit="1" customWidth="1"/>
    <col min="25" max="29" width="9.140625" style="317"/>
    <col min="30" max="30" width="14" style="317" customWidth="1"/>
    <col min="31" max="16384" width="9.140625" style="317"/>
  </cols>
  <sheetData>
    <row r="1" spans="1:35" x14ac:dyDescent="0.2">
      <c r="A1" s="1059"/>
      <c r="B1" s="1059"/>
      <c r="C1" s="1060" t="s">
        <v>13</v>
      </c>
      <c r="D1" s="1060"/>
      <c r="E1" s="1060"/>
      <c r="F1" s="1060"/>
      <c r="G1" s="1060"/>
      <c r="H1" s="285" t="s">
        <v>14</v>
      </c>
      <c r="I1" s="597"/>
      <c r="J1" s="597"/>
      <c r="K1" s="297"/>
      <c r="L1" s="1061"/>
      <c r="M1" s="1061"/>
      <c r="N1" s="1061"/>
      <c r="O1" s="1061"/>
      <c r="P1" s="1061"/>
      <c r="Q1" s="1061"/>
      <c r="R1" s="1061"/>
      <c r="S1" s="1061"/>
      <c r="T1" s="598"/>
    </row>
    <row r="2" spans="1:35" x14ac:dyDescent="0.2">
      <c r="A2" s="1059"/>
      <c r="B2" s="1059"/>
      <c r="C2" s="1060"/>
      <c r="D2" s="1060"/>
      <c r="E2" s="1060"/>
      <c r="F2" s="1060"/>
      <c r="G2" s="1060"/>
      <c r="H2" s="599"/>
      <c r="I2" s="600"/>
      <c r="J2" s="600"/>
      <c r="K2" s="297"/>
      <c r="L2" s="601"/>
      <c r="M2" s="601"/>
      <c r="N2" s="297"/>
      <c r="O2" s="297"/>
      <c r="P2" s="602"/>
      <c r="Q2" s="601"/>
      <c r="R2" s="297"/>
      <c r="S2" s="297"/>
      <c r="T2" s="598"/>
    </row>
    <row r="3" spans="1:35" x14ac:dyDescent="0.2">
      <c r="A3" s="1062" t="s">
        <v>64</v>
      </c>
      <c r="B3" s="1062"/>
      <c r="C3" s="1060"/>
      <c r="D3" s="1060"/>
      <c r="E3" s="1060"/>
      <c r="F3" s="1060"/>
      <c r="G3" s="1060"/>
      <c r="H3" s="603" t="s">
        <v>15</v>
      </c>
      <c r="I3" s="65">
        <v>2</v>
      </c>
      <c r="J3" s="600"/>
      <c r="K3" s="297"/>
      <c r="L3" s="601"/>
      <c r="M3" s="601"/>
      <c r="N3" s="297"/>
      <c r="O3" s="297"/>
      <c r="P3" s="604"/>
      <c r="Q3" s="601"/>
      <c r="R3" s="605"/>
      <c r="S3" s="297"/>
      <c r="T3" s="606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</row>
    <row r="4" spans="1:35" x14ac:dyDescent="0.2">
      <c r="A4" s="1062"/>
      <c r="B4" s="1062"/>
      <c r="C4" s="1060"/>
      <c r="D4" s="1060"/>
      <c r="E4" s="1060"/>
      <c r="F4" s="1060"/>
      <c r="G4" s="1060"/>
      <c r="H4" s="603" t="s">
        <v>16</v>
      </c>
      <c r="I4" s="65">
        <v>2</v>
      </c>
      <c r="J4" s="600"/>
      <c r="K4" s="297"/>
      <c r="L4" s="297"/>
      <c r="M4" s="297"/>
      <c r="N4" s="297"/>
      <c r="O4" s="297"/>
      <c r="P4" s="297"/>
      <c r="Q4" s="297"/>
      <c r="R4" s="60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</row>
    <row r="5" spans="1:35" x14ac:dyDescent="0.2">
      <c r="A5" s="17"/>
      <c r="B5" s="18" t="s">
        <v>180</v>
      </c>
      <c r="C5" s="608">
        <v>3</v>
      </c>
      <c r="D5" s="5">
        <v>2</v>
      </c>
      <c r="E5" s="609"/>
      <c r="F5" s="20" t="s">
        <v>183</v>
      </c>
      <c r="G5" s="610">
        <v>10108</v>
      </c>
      <c r="H5" s="599"/>
      <c r="I5" s="600"/>
      <c r="J5" s="600"/>
      <c r="K5" s="297"/>
      <c r="L5" s="297"/>
      <c r="M5" s="297"/>
      <c r="N5" s="297"/>
      <c r="O5" s="297"/>
      <c r="P5" s="297"/>
      <c r="Q5" s="297"/>
      <c r="R5" s="60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</row>
    <row r="6" spans="1:35" x14ac:dyDescent="0.2">
      <c r="A6" s="239" t="s">
        <v>181</v>
      </c>
      <c r="B6" s="240" t="s">
        <v>229</v>
      </c>
      <c r="C6" s="609"/>
      <c r="D6" s="21"/>
      <c r="E6" s="22"/>
      <c r="F6" s="22"/>
      <c r="G6" s="21"/>
      <c r="H6" s="599" t="s">
        <v>17</v>
      </c>
      <c r="I6" s="600"/>
      <c r="J6" s="600">
        <v>0</v>
      </c>
      <c r="M6" s="297"/>
      <c r="N6" s="297"/>
      <c r="O6" s="297"/>
      <c r="P6" s="297"/>
      <c r="Q6" s="297"/>
      <c r="R6" s="607"/>
      <c r="S6" s="297"/>
      <c r="T6" s="297"/>
      <c r="U6" s="216"/>
      <c r="V6" s="297"/>
      <c r="W6" s="297"/>
      <c r="X6" s="297"/>
      <c r="Y6" s="297"/>
      <c r="Z6" s="297"/>
      <c r="AA6" s="216"/>
      <c r="AB6" s="1063"/>
      <c r="AC6" s="1063"/>
      <c r="AD6" s="1063"/>
      <c r="AE6" s="297"/>
      <c r="AF6" s="1063"/>
      <c r="AG6" s="1063"/>
      <c r="AH6" s="1063"/>
      <c r="AI6" s="297"/>
    </row>
    <row r="7" spans="1:35" x14ac:dyDescent="0.2">
      <c r="A7" s="241" t="s">
        <v>182</v>
      </c>
      <c r="B7" s="240" t="s">
        <v>369</v>
      </c>
      <c r="C7" s="22"/>
      <c r="D7" s="22"/>
      <c r="F7" s="23" t="str">
        <f>IF(I13=1,"альбом","проект")</f>
        <v>альбом</v>
      </c>
      <c r="G7" s="22"/>
      <c r="H7" s="599" t="s">
        <v>18</v>
      </c>
      <c r="I7" s="600"/>
      <c r="J7" s="600">
        <v>1</v>
      </c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</row>
    <row r="8" spans="1:35" x14ac:dyDescent="0.2">
      <c r="A8" s="18"/>
      <c r="B8" s="20" t="s">
        <v>20</v>
      </c>
      <c r="C8" s="66">
        <v>21</v>
      </c>
      <c r="E8" s="609"/>
      <c r="F8" s="237" t="s">
        <v>178</v>
      </c>
      <c r="G8" s="611">
        <v>3</v>
      </c>
      <c r="H8" s="599" t="s">
        <v>21</v>
      </c>
      <c r="I8" s="600"/>
      <c r="J8" s="600">
        <v>2</v>
      </c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</row>
    <row r="9" spans="1:35" x14ac:dyDescent="0.2">
      <c r="A9" s="25"/>
      <c r="B9" s="20" t="s">
        <v>22</v>
      </c>
      <c r="C9" s="66">
        <v>60</v>
      </c>
      <c r="E9" s="26"/>
      <c r="F9" s="237" t="s">
        <v>179</v>
      </c>
      <c r="G9" s="611">
        <v>5</v>
      </c>
      <c r="H9" s="599" t="s">
        <v>23</v>
      </c>
      <c r="I9" s="600"/>
      <c r="J9" s="600">
        <v>3</v>
      </c>
      <c r="K9" s="297"/>
      <c r="L9" s="297"/>
      <c r="M9" s="297" t="s">
        <v>217</v>
      </c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7"/>
      <c r="AH9" s="297"/>
      <c r="AI9" s="297"/>
    </row>
    <row r="10" spans="1:35" x14ac:dyDescent="0.2">
      <c r="A10" s="609"/>
      <c r="B10" s="20" t="s">
        <v>24</v>
      </c>
      <c r="C10" s="66">
        <v>6</v>
      </c>
      <c r="E10" s="26"/>
      <c r="F10" s="5"/>
      <c r="H10" s="599" t="s">
        <v>25</v>
      </c>
      <c r="I10" s="600"/>
      <c r="J10" s="600">
        <v>4</v>
      </c>
      <c r="K10" s="297"/>
      <c r="L10" s="297"/>
      <c r="M10" s="297" t="s">
        <v>303</v>
      </c>
      <c r="N10" s="297" t="s">
        <v>302</v>
      </c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7"/>
      <c r="AI10" s="297"/>
    </row>
    <row r="11" spans="1:35" x14ac:dyDescent="0.2">
      <c r="A11" s="999" t="s">
        <v>26</v>
      </c>
      <c r="B11" s="999"/>
      <c r="C11" s="27">
        <v>4</v>
      </c>
      <c r="D11" s="609"/>
      <c r="E11" s="609"/>
      <c r="F11" s="5"/>
      <c r="H11" s="599" t="s">
        <v>101</v>
      </c>
      <c r="I11" s="612"/>
      <c r="J11" s="600">
        <v>5</v>
      </c>
      <c r="K11" s="297"/>
      <c r="L11" s="266" t="s">
        <v>306</v>
      </c>
      <c r="M11" s="266">
        <v>3</v>
      </c>
      <c r="N11" s="266">
        <v>4</v>
      </c>
      <c r="O11" s="297"/>
      <c r="P11" s="297"/>
      <c r="Q11" s="297"/>
      <c r="R11" s="297"/>
      <c r="S11" s="297"/>
      <c r="T11" s="297"/>
      <c r="U11" s="297"/>
      <c r="V11" s="297"/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</row>
    <row r="12" spans="1:35" ht="13.5" thickBot="1" x14ac:dyDescent="0.25">
      <c r="B12" s="20" t="s">
        <v>27</v>
      </c>
      <c r="C12" s="346" t="str">
        <f>IF(I3=0,"нет",IF(I3=1,"оцинкованный профлист",IF(I3=2,"окрашенный профлист",IF(I3=3,"окрашенный профлист, сайдинг","окрашенный профлист, фасадная кассета"))))</f>
        <v>окрашенный профлист</v>
      </c>
      <c r="D12" s="842"/>
      <c r="E12" s="29"/>
      <c r="H12" s="294" t="s">
        <v>214</v>
      </c>
      <c r="I12" s="295" t="s">
        <v>213</v>
      </c>
      <c r="J12" s="319"/>
      <c r="K12" s="297"/>
      <c r="L12" s="266" t="s">
        <v>345</v>
      </c>
      <c r="M12" s="266">
        <v>2.5</v>
      </c>
      <c r="N12" s="266">
        <v>3</v>
      </c>
      <c r="O12" s="297"/>
      <c r="P12" s="297"/>
      <c r="Q12" s="297"/>
      <c r="R12" s="297"/>
      <c r="S12" s="297"/>
      <c r="T12" s="297"/>
      <c r="U12" s="297"/>
      <c r="V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</row>
    <row r="13" spans="1:35" x14ac:dyDescent="0.2">
      <c r="A13" s="316"/>
      <c r="B13" s="30" t="s">
        <v>28</v>
      </c>
      <c r="C13" s="28" t="str">
        <f>IF(I4=0,"нет",IF(I4=1,"оцинкованный профлист",IF(I4=2,"окрашенный профлист",IF(I4=3,"окрашенный профлист, сайдинг","окрашенный профлист, фасадная панель"))))</f>
        <v>окрашенный профлист</v>
      </c>
      <c r="D13" s="31"/>
      <c r="E13" s="175"/>
      <c r="F13" s="13"/>
      <c r="G13" s="316"/>
      <c r="H13" s="294" t="s">
        <v>215</v>
      </c>
      <c r="I13" s="613">
        <v>1</v>
      </c>
      <c r="J13" s="856" t="s">
        <v>358</v>
      </c>
      <c r="K13" s="297"/>
      <c r="L13" s="266" t="s">
        <v>346</v>
      </c>
      <c r="M13" s="266">
        <v>2</v>
      </c>
      <c r="N13" s="266">
        <v>2.5</v>
      </c>
      <c r="O13" s="297"/>
      <c r="P13" s="297"/>
      <c r="Q13" s="297"/>
      <c r="R13" s="297"/>
      <c r="S13" s="297"/>
      <c r="T13" s="297"/>
      <c r="U13" s="297"/>
      <c r="V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</row>
    <row r="14" spans="1:35" x14ac:dyDescent="0.2">
      <c r="A14" s="316"/>
      <c r="D14" s="30" t="s">
        <v>29</v>
      </c>
      <c r="E14" s="67">
        <v>200</v>
      </c>
      <c r="F14" s="32" t="s">
        <v>30</v>
      </c>
      <c r="G14" s="316"/>
      <c r="H14" s="318"/>
      <c r="I14" s="319"/>
      <c r="J14" s="857">
        <f>15*3.14/180</f>
        <v>0.26166666666666666</v>
      </c>
      <c r="K14" s="297"/>
      <c r="L14" s="352"/>
      <c r="M14" s="354"/>
      <c r="N14" s="354"/>
      <c r="O14" s="355"/>
      <c r="P14" s="354"/>
      <c r="Q14" s="355"/>
      <c r="R14" s="354"/>
      <c r="S14" s="354"/>
      <c r="T14" s="355"/>
      <c r="U14" s="354"/>
      <c r="V14" s="355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</row>
    <row r="15" spans="1:35" x14ac:dyDescent="0.2">
      <c r="A15" s="316"/>
      <c r="D15" s="30" t="s">
        <v>31</v>
      </c>
      <c r="E15" s="67">
        <v>150</v>
      </c>
      <c r="F15" s="32" t="s">
        <v>30</v>
      </c>
      <c r="G15" s="316"/>
      <c r="H15" s="271"/>
      <c r="I15" s="319"/>
      <c r="J15" s="857">
        <f>COS(J14)</f>
        <v>0.96596016853839861</v>
      </c>
      <c r="K15" s="297"/>
      <c r="L15" s="824" t="s">
        <v>312</v>
      </c>
      <c r="M15" s="825" t="s">
        <v>316</v>
      </c>
      <c r="N15" s="825" t="s">
        <v>316</v>
      </c>
      <c r="O15" s="588" t="s">
        <v>333</v>
      </c>
      <c r="P15" s="354"/>
      <c r="Q15" s="355"/>
      <c r="R15" s="354"/>
      <c r="S15" s="354"/>
      <c r="T15" s="355"/>
      <c r="U15" s="354"/>
      <c r="V15" s="355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</row>
    <row r="16" spans="1:35" ht="13.5" thickBot="1" x14ac:dyDescent="0.25">
      <c r="A16" s="316"/>
      <c r="B16" s="33"/>
      <c r="C16" s="1002"/>
      <c r="D16" s="1002"/>
      <c r="E16" s="157"/>
      <c r="F16" s="34"/>
      <c r="G16" s="320"/>
      <c r="H16" s="321"/>
      <c r="I16" s="322" t="s">
        <v>212</v>
      </c>
      <c r="J16" s="858">
        <f>C8/2/J15*2</f>
        <v>21.74002684994274</v>
      </c>
      <c r="K16" s="297"/>
      <c r="L16" s="824"/>
      <c r="M16" s="825" t="s">
        <v>317</v>
      </c>
      <c r="N16" s="825" t="s">
        <v>317</v>
      </c>
      <c r="O16" s="588" t="s">
        <v>315</v>
      </c>
      <c r="P16" s="354"/>
      <c r="Q16" s="355"/>
      <c r="R16" s="354"/>
      <c r="S16" s="354"/>
      <c r="T16" s="355"/>
      <c r="U16" s="354"/>
      <c r="V16" s="355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</row>
    <row r="17" spans="1:35" x14ac:dyDescent="0.2">
      <c r="A17" s="316"/>
      <c r="B17" s="323"/>
      <c r="C17" s="323"/>
      <c r="D17" s="35" t="s">
        <v>32</v>
      </c>
      <c r="E17" s="165">
        <v>0</v>
      </c>
      <c r="F17" s="36" t="s">
        <v>33</v>
      </c>
      <c r="G17" s="323"/>
      <c r="H17" s="324"/>
      <c r="I17" s="293">
        <f>CEILING(C9/C11+1,1)</f>
        <v>16</v>
      </c>
      <c r="J17" s="297"/>
      <c r="K17" s="297"/>
      <c r="L17" s="591" t="s">
        <v>345</v>
      </c>
      <c r="M17" s="588" t="s">
        <v>316</v>
      </c>
      <c r="N17" s="588" t="s">
        <v>316</v>
      </c>
      <c r="O17" s="588" t="s">
        <v>333</v>
      </c>
      <c r="P17" s="354"/>
      <c r="Q17" s="355"/>
      <c r="R17" s="351"/>
      <c r="S17" s="352"/>
      <c r="T17" s="353"/>
      <c r="U17" s="352"/>
      <c r="V17" s="353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</row>
    <row r="18" spans="1:35" ht="13.5" thickBot="1" x14ac:dyDescent="0.25">
      <c r="A18" s="1003" t="s">
        <v>34</v>
      </c>
      <c r="B18" s="1003"/>
      <c r="C18" s="1003"/>
      <c r="D18" s="1003"/>
      <c r="E18" s="37"/>
      <c r="F18" s="37"/>
      <c r="G18" s="37"/>
      <c r="H18" s="324"/>
      <c r="I18" s="325" t="s">
        <v>130</v>
      </c>
      <c r="J18" s="326" t="s">
        <v>128</v>
      </c>
      <c r="K18" s="348" t="s">
        <v>129</v>
      </c>
      <c r="L18" s="591"/>
      <c r="M18" s="591" t="s">
        <v>317</v>
      </c>
      <c r="N18" s="590" t="s">
        <v>317</v>
      </c>
      <c r="O18" s="588" t="s">
        <v>315</v>
      </c>
      <c r="P18" s="352"/>
      <c r="Q18" s="353"/>
      <c r="R18" s="352"/>
      <c r="S18" s="356"/>
      <c r="T18" s="353"/>
      <c r="U18" s="356"/>
      <c r="V18" s="353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</row>
    <row r="19" spans="1:35" ht="26.25" thickBot="1" x14ac:dyDescent="0.25">
      <c r="A19" s="40" t="s">
        <v>35</v>
      </c>
      <c r="B19" s="38" t="s">
        <v>36</v>
      </c>
      <c r="C19" s="38" t="s">
        <v>37</v>
      </c>
      <c r="D19" s="39" t="s">
        <v>38</v>
      </c>
      <c r="E19" s="40" t="s">
        <v>39</v>
      </c>
      <c r="F19" s="38" t="s">
        <v>40</v>
      </c>
      <c r="G19" s="39" t="s">
        <v>41</v>
      </c>
      <c r="H19" s="269" t="s">
        <v>210</v>
      </c>
      <c r="I19" s="460" t="s">
        <v>127</v>
      </c>
      <c r="J19" s="829">
        <f>[1]Основные!$F$342</f>
        <v>1043.7</v>
      </c>
      <c r="K19" s="348">
        <v>5.9740000000000002</v>
      </c>
      <c r="L19" s="824" t="s">
        <v>346</v>
      </c>
      <c r="M19" s="824" t="s">
        <v>316</v>
      </c>
      <c r="N19" s="824" t="s">
        <v>316</v>
      </c>
      <c r="O19" s="588" t="s">
        <v>333</v>
      </c>
      <c r="P19" s="356"/>
      <c r="Q19" s="353"/>
      <c r="R19" s="352"/>
      <c r="S19" s="356"/>
      <c r="T19" s="353"/>
      <c r="U19" s="356"/>
      <c r="V19" s="353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</row>
    <row r="20" spans="1:35" ht="13.5" thickBot="1" x14ac:dyDescent="0.25">
      <c r="A20" s="327">
        <v>1</v>
      </c>
      <c r="B20" s="130" t="s">
        <v>80</v>
      </c>
      <c r="C20" s="87"/>
      <c r="D20" s="88"/>
      <c r="E20" s="89"/>
      <c r="F20" s="87"/>
      <c r="G20" s="88"/>
      <c r="H20" s="328"/>
      <c r="I20" s="460" t="s">
        <v>124</v>
      </c>
      <c r="J20" s="829">
        <f>[1]Основные!$F$343</f>
        <v>1370.25</v>
      </c>
      <c r="K20" s="348">
        <v>7.9130000000000003</v>
      </c>
      <c r="L20" s="826"/>
      <c r="M20" s="826" t="s">
        <v>317</v>
      </c>
      <c r="N20" s="826" t="s">
        <v>317</v>
      </c>
      <c r="O20" s="588" t="s">
        <v>315</v>
      </c>
      <c r="P20" s="352"/>
      <c r="Q20" s="352"/>
      <c r="R20" s="352"/>
      <c r="S20" s="356"/>
      <c r="T20" s="353"/>
      <c r="U20" s="356"/>
      <c r="V20" s="353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</row>
    <row r="21" spans="1:35" x14ac:dyDescent="0.2">
      <c r="A21" s="126" t="s">
        <v>184</v>
      </c>
      <c r="B21" s="166" t="str">
        <f>I21</f>
        <v>ПГС-S 300х80х3</v>
      </c>
      <c r="C21" s="329">
        <f>I17*(J16)*2</f>
        <v>695.6808591981677</v>
      </c>
      <c r="D21" s="171" t="s">
        <v>8</v>
      </c>
      <c r="E21" s="330">
        <f>J21</f>
        <v>2020.2</v>
      </c>
      <c r="F21" s="331">
        <f>C21*E21</f>
        <v>1405414.4717521383</v>
      </c>
      <c r="G21" s="290">
        <f>C21*H21</f>
        <v>8170.0760104232813</v>
      </c>
      <c r="H21" s="328">
        <f>K21</f>
        <v>11.744</v>
      </c>
      <c r="I21" s="460" t="s">
        <v>134</v>
      </c>
      <c r="J21" s="829">
        <f>[1]Основные!$F$345</f>
        <v>2020.2</v>
      </c>
      <c r="K21" s="461">
        <v>11.744</v>
      </c>
      <c r="L21" s="352"/>
      <c r="M21" s="352"/>
      <c r="N21" s="356"/>
      <c r="O21" s="823"/>
      <c r="P21" s="356"/>
      <c r="Q21" s="353"/>
      <c r="R21" s="352"/>
      <c r="S21" s="356"/>
      <c r="T21" s="353"/>
      <c r="U21" s="356"/>
      <c r="V21" s="353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</row>
    <row r="22" spans="1:35" x14ac:dyDescent="0.2">
      <c r="A22" s="127" t="s">
        <v>185</v>
      </c>
      <c r="B22" s="166" t="str">
        <f>I20</f>
        <v>ПГС-S 300х80х2</v>
      </c>
      <c r="C22" s="332">
        <f>I17*4*(C10-0.07)</f>
        <v>379.52</v>
      </c>
      <c r="D22" s="166" t="s">
        <v>8</v>
      </c>
      <c r="E22" s="333">
        <f>J20</f>
        <v>1370.25</v>
      </c>
      <c r="F22" s="291">
        <f t="shared" ref="F22:F30" si="0">C22*E22</f>
        <v>520037.27999999997</v>
      </c>
      <c r="G22" s="291">
        <f>H22*C22</f>
        <v>3003.14176</v>
      </c>
      <c r="H22" s="328">
        <f>K20</f>
        <v>7.9130000000000003</v>
      </c>
      <c r="I22" s="462" t="s">
        <v>132</v>
      </c>
      <c r="J22" s="829">
        <f>[1]Основные!$F$294</f>
        <v>532.35</v>
      </c>
      <c r="K22" s="266">
        <v>3.07</v>
      </c>
      <c r="L22" s="586" t="s">
        <v>312</v>
      </c>
      <c r="M22" s="586" t="str">
        <f>I29</f>
        <v>ТПС 150х1,5</v>
      </c>
      <c r="N22" s="586" t="str">
        <f>M22</f>
        <v>ТПС 150х1,5</v>
      </c>
      <c r="O22" s="823"/>
      <c r="P22" s="356"/>
      <c r="Q22" s="353"/>
      <c r="R22" s="352"/>
      <c r="S22" s="356"/>
      <c r="T22" s="353"/>
      <c r="U22" s="356"/>
      <c r="V22" s="353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</row>
    <row r="23" spans="1:35" x14ac:dyDescent="0.2">
      <c r="A23" s="127" t="s">
        <v>186</v>
      </c>
      <c r="B23" s="166" t="str">
        <f>I25</f>
        <v>ПГС 145х70х2</v>
      </c>
      <c r="C23" s="332">
        <f>5*C9+4*C11</f>
        <v>316</v>
      </c>
      <c r="D23" s="166" t="s">
        <v>8</v>
      </c>
      <c r="E23" s="333">
        <f>J25</f>
        <v>833.7</v>
      </c>
      <c r="F23" s="291">
        <f t="shared" si="0"/>
        <v>263449.2</v>
      </c>
      <c r="G23" s="291">
        <f>H23*C23</f>
        <v>1523.1200000000001</v>
      </c>
      <c r="H23" s="328">
        <f>K25</f>
        <v>4.82</v>
      </c>
      <c r="I23" s="462" t="s">
        <v>133</v>
      </c>
      <c r="J23" s="829">
        <f>[1]Основные!$F$295</f>
        <v>704.55000000000007</v>
      </c>
      <c r="K23" s="266">
        <v>4.08</v>
      </c>
      <c r="L23" s="586" t="s">
        <v>345</v>
      </c>
      <c r="M23" s="586" t="str">
        <f>I29</f>
        <v>ТПС 150х1,5</v>
      </c>
      <c r="N23" s="589" t="str">
        <f>I29</f>
        <v>ТПС 150х1,5</v>
      </c>
      <c r="O23" s="823" t="s">
        <v>347</v>
      </c>
      <c r="P23" s="356"/>
      <c r="Q23" s="353"/>
      <c r="R23" s="352"/>
      <c r="S23" s="356"/>
      <c r="T23" s="353"/>
      <c r="U23" s="356"/>
      <c r="V23" s="353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</row>
    <row r="24" spans="1:35" x14ac:dyDescent="0.2">
      <c r="A24" s="103" t="s">
        <v>187</v>
      </c>
      <c r="B24" s="166" t="str">
        <f>I31</f>
        <v>ТПС 200х1,5</v>
      </c>
      <c r="C24" s="332">
        <f>IF(I13=1,16*2*(C9+2*E15/1000),17*2*(C9+2*E15/1000))</f>
        <v>1929.6</v>
      </c>
      <c r="D24" s="166" t="s">
        <v>8</v>
      </c>
      <c r="E24" s="333">
        <f>J31</f>
        <v>604</v>
      </c>
      <c r="F24" s="291">
        <f t="shared" si="0"/>
        <v>1165478.3999999999</v>
      </c>
      <c r="G24" s="291">
        <f t="shared" ref="G24:G30" si="1">C24*H24</f>
        <v>6670.627199999999</v>
      </c>
      <c r="H24" s="328">
        <f>K31</f>
        <v>3.4569999999999999</v>
      </c>
      <c r="I24" s="463" t="s">
        <v>125</v>
      </c>
      <c r="J24" s="829">
        <f>[1]Основные!$F$299</f>
        <v>630</v>
      </c>
      <c r="K24" s="266">
        <v>3.64</v>
      </c>
      <c r="L24" s="889" t="s">
        <v>346</v>
      </c>
      <c r="M24" s="889" t="str">
        <f>I30</f>
        <v>ТПС 150х65х1,5</v>
      </c>
      <c r="N24" s="889" t="str">
        <f>I29</f>
        <v>ТПС 150х1,5</v>
      </c>
      <c r="O24" s="890"/>
      <c r="P24" s="890"/>
      <c r="Q24" s="890"/>
      <c r="R24" s="890"/>
      <c r="S24" s="891"/>
      <c r="T24" s="892"/>
      <c r="U24" s="891"/>
      <c r="V24" s="892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</row>
    <row r="25" spans="1:35" ht="0.95" customHeight="1" x14ac:dyDescent="0.2">
      <c r="A25" s="127" t="s">
        <v>188</v>
      </c>
      <c r="B25" s="166" t="s">
        <v>110</v>
      </c>
      <c r="C25" s="332">
        <f>IF(I13=1,0,2*(C9+1))</f>
        <v>0</v>
      </c>
      <c r="D25" s="166" t="s">
        <v>8</v>
      </c>
      <c r="E25" s="333">
        <f>J39</f>
        <v>476.70000000000005</v>
      </c>
      <c r="F25" s="291">
        <f t="shared" si="0"/>
        <v>0</v>
      </c>
      <c r="G25" s="291">
        <f t="shared" si="1"/>
        <v>0</v>
      </c>
      <c r="H25" s="328">
        <f>K39</f>
        <v>2.5590000000000002</v>
      </c>
      <c r="I25" s="462" t="s">
        <v>131</v>
      </c>
      <c r="J25" s="829">
        <f>[1]Основные!$F$301</f>
        <v>833.7</v>
      </c>
      <c r="K25" s="266">
        <v>4.82</v>
      </c>
      <c r="L25" s="460" t="s">
        <v>232</v>
      </c>
      <c r="M25" s="843">
        <f>[1]Основные!$F$344</f>
        <v>1693.65</v>
      </c>
      <c r="N25" s="844">
        <v>9.6679999999999993</v>
      </c>
      <c r="O25" s="353"/>
      <c r="P25" s="356"/>
      <c r="Q25" s="353"/>
      <c r="R25" s="352"/>
      <c r="S25" s="356"/>
      <c r="T25" s="353"/>
      <c r="U25" s="356"/>
      <c r="V25" s="353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</row>
    <row r="26" spans="1:35" hidden="1" x14ac:dyDescent="0.2">
      <c r="A26" s="127"/>
      <c r="B26" s="166" t="str">
        <f>I43</f>
        <v>ПШ 61х1</v>
      </c>
      <c r="C26" s="332">
        <f>2*(C8+2*C10)*1.1</f>
        <v>72.600000000000009</v>
      </c>
      <c r="D26" s="166" t="s">
        <v>8</v>
      </c>
      <c r="E26" s="333">
        <f>J43</f>
        <v>223</v>
      </c>
      <c r="F26" s="291">
        <f t="shared" si="0"/>
        <v>16189.800000000001</v>
      </c>
      <c r="G26" s="291">
        <f t="shared" si="1"/>
        <v>118.33800000000001</v>
      </c>
      <c r="H26" s="328">
        <f>K43</f>
        <v>1.63</v>
      </c>
      <c r="I26" s="462"/>
      <c r="K26" s="266"/>
      <c r="L26" s="352"/>
      <c r="M26" s="352"/>
      <c r="N26" s="356"/>
      <c r="O26" s="353"/>
      <c r="P26" s="356"/>
      <c r="Q26" s="353"/>
      <c r="R26" s="352"/>
      <c r="S26" s="356"/>
      <c r="T26" s="353"/>
      <c r="U26" s="356"/>
      <c r="V26" s="353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</row>
    <row r="27" spans="1:35" hidden="1" x14ac:dyDescent="0.2">
      <c r="A27" s="127"/>
      <c r="B27" s="166" t="s">
        <v>353</v>
      </c>
      <c r="C27" s="332">
        <f>2*C8*0.05*I17</f>
        <v>33.6</v>
      </c>
      <c r="D27" s="166" t="s">
        <v>33</v>
      </c>
      <c r="E27" s="333">
        <f>[1]Основные!$F$40</f>
        <v>1061.3119999999999</v>
      </c>
      <c r="F27" s="291">
        <f t="shared" si="0"/>
        <v>35660.083200000001</v>
      </c>
      <c r="G27" s="291">
        <f t="shared" si="1"/>
        <v>201.60000000000002</v>
      </c>
      <c r="H27" s="328">
        <v>6</v>
      </c>
      <c r="I27" s="462"/>
      <c r="J27" s="266"/>
      <c r="K27" s="266"/>
      <c r="L27" s="352"/>
      <c r="M27" s="352"/>
      <c r="N27" s="356"/>
      <c r="O27" s="353"/>
      <c r="P27" s="356"/>
      <c r="Q27" s="353"/>
      <c r="R27" s="352"/>
      <c r="S27" s="356"/>
      <c r="T27" s="353"/>
      <c r="U27" s="356"/>
      <c r="V27" s="353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</row>
    <row r="28" spans="1:35" hidden="1" x14ac:dyDescent="0.2">
      <c r="A28" s="127" t="s">
        <v>277</v>
      </c>
      <c r="B28" s="166" t="s">
        <v>231</v>
      </c>
      <c r="C28" s="332">
        <f>4*C9</f>
        <v>240</v>
      </c>
      <c r="D28" s="166" t="s">
        <v>8</v>
      </c>
      <c r="E28" s="333">
        <f>J41</f>
        <v>521.85</v>
      </c>
      <c r="F28" s="291"/>
      <c r="G28" s="291"/>
      <c r="H28" s="328">
        <f>K41</f>
        <v>2.8</v>
      </c>
      <c r="I28" s="462"/>
      <c r="J28" s="266"/>
      <c r="K28" s="266"/>
      <c r="L28" s="352"/>
      <c r="M28" s="352"/>
      <c r="N28" s="356"/>
      <c r="O28" s="353"/>
      <c r="P28" s="356"/>
      <c r="Q28" s="353"/>
      <c r="R28" s="352"/>
      <c r="S28" s="356"/>
      <c r="T28" s="353"/>
      <c r="U28" s="356"/>
      <c r="V28" s="353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</row>
    <row r="29" spans="1:35" x14ac:dyDescent="0.2">
      <c r="A29" s="127"/>
      <c r="B29" s="166" t="s">
        <v>79</v>
      </c>
      <c r="C29" s="332">
        <f>I17*(C8+2*C10)/0.6</f>
        <v>880</v>
      </c>
      <c r="D29" s="166" t="s">
        <v>10</v>
      </c>
      <c r="E29" s="140">
        <f>[1]Основные!$F$544</f>
        <v>291</v>
      </c>
      <c r="F29" s="291">
        <f t="shared" si="0"/>
        <v>256080</v>
      </c>
      <c r="G29" s="291">
        <f t="shared" si="1"/>
        <v>1232</v>
      </c>
      <c r="H29" s="328">
        <v>1.4</v>
      </c>
      <c r="I29" s="464" t="s">
        <v>123</v>
      </c>
      <c r="J29" s="265">
        <f>[1]Основные!$D$259</f>
        <v>507</v>
      </c>
      <c r="K29" s="266">
        <v>2.86</v>
      </c>
      <c r="L29" s="352"/>
      <c r="M29" s="357"/>
      <c r="N29" s="357"/>
      <c r="O29" s="358"/>
      <c r="P29" s="359"/>
      <c r="Q29" s="358"/>
      <c r="R29" s="352"/>
      <c r="S29" s="356"/>
      <c r="T29" s="353"/>
      <c r="U29" s="356"/>
      <c r="V29" s="353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</row>
    <row r="30" spans="1:35" x14ac:dyDescent="0.2">
      <c r="A30" s="127"/>
      <c r="B30" s="166" t="s">
        <v>78</v>
      </c>
      <c r="C30" s="332">
        <f>2*C29</f>
        <v>1760</v>
      </c>
      <c r="D30" s="166" t="s">
        <v>10</v>
      </c>
      <c r="E30" s="140">
        <f>[1]Основные!$F$545</f>
        <v>114</v>
      </c>
      <c r="F30" s="291">
        <f t="shared" si="0"/>
        <v>200640</v>
      </c>
      <c r="G30" s="291">
        <f t="shared" si="1"/>
        <v>880</v>
      </c>
      <c r="H30" s="328">
        <v>0.5</v>
      </c>
      <c r="I30" s="465" t="s">
        <v>135</v>
      </c>
      <c r="J30" s="337">
        <f>[1]Основные!$D$265</f>
        <v>570</v>
      </c>
      <c r="K30" s="466">
        <v>3.3380000000000001</v>
      </c>
      <c r="L30" s="352"/>
      <c r="M30" s="352"/>
      <c r="N30" s="356"/>
      <c r="O30" s="353"/>
      <c r="P30" s="356"/>
      <c r="Q30" s="353"/>
      <c r="R30" s="352"/>
      <c r="S30" s="356"/>
      <c r="T30" s="353"/>
      <c r="U30" s="356"/>
      <c r="V30" s="353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</row>
    <row r="31" spans="1:35" x14ac:dyDescent="0.2">
      <c r="A31" s="127"/>
      <c r="B31" s="166" t="s">
        <v>72</v>
      </c>
      <c r="C31" s="93">
        <v>0.05</v>
      </c>
      <c r="D31" s="166"/>
      <c r="E31" s="333"/>
      <c r="F31" s="291">
        <f>SUM(F21:F30)*C31</f>
        <v>193147.46174760693</v>
      </c>
      <c r="G31" s="200"/>
      <c r="H31" s="328"/>
      <c r="I31" s="467" t="s">
        <v>136</v>
      </c>
      <c r="J31" s="337">
        <f>[1]Основные!$D$277</f>
        <v>604</v>
      </c>
      <c r="K31" s="466">
        <v>3.4569999999999999</v>
      </c>
      <c r="L31" s="356"/>
      <c r="M31" s="352"/>
      <c r="N31" s="356"/>
      <c r="O31" s="353"/>
      <c r="P31" s="356"/>
      <c r="Q31" s="353"/>
      <c r="R31" s="352"/>
      <c r="S31" s="356"/>
      <c r="T31" s="353"/>
      <c r="U31" s="356"/>
      <c r="V31" s="353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</row>
    <row r="32" spans="1:35" ht="13.5" thickBot="1" x14ac:dyDescent="0.25">
      <c r="A32" s="128"/>
      <c r="B32" s="123" t="s">
        <v>81</v>
      </c>
      <c r="C32" s="338"/>
      <c r="D32" s="339"/>
      <c r="E32" s="340"/>
      <c r="F32" s="118">
        <f>SUM(F21:F31)</f>
        <v>4056096.696699745</v>
      </c>
      <c r="G32" s="201">
        <f>SUM(G21:G31)</f>
        <v>21798.902970423278</v>
      </c>
      <c r="H32" s="328"/>
      <c r="I32" s="465" t="s">
        <v>139</v>
      </c>
      <c r="J32" s="265">
        <f>[1]Основные!$D$278</f>
        <v>779</v>
      </c>
      <c r="K32" s="266">
        <v>4.5289999999999999</v>
      </c>
      <c r="L32" s="356"/>
      <c r="M32" s="352"/>
      <c r="N32" s="356"/>
      <c r="O32" s="353"/>
      <c r="P32" s="356"/>
      <c r="Q32" s="353"/>
      <c r="R32" s="352"/>
      <c r="S32" s="352"/>
      <c r="T32" s="353"/>
      <c r="U32" s="356"/>
      <c r="V32" s="353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</row>
    <row r="33" spans="1:35" ht="13.5" thickBot="1" x14ac:dyDescent="0.25">
      <c r="A33" s="92">
        <v>2</v>
      </c>
      <c r="B33" s="129" t="s">
        <v>82</v>
      </c>
      <c r="C33" s="614"/>
      <c r="D33" s="615"/>
      <c r="E33" s="616"/>
      <c r="F33" s="617"/>
      <c r="G33" s="202"/>
      <c r="H33" s="328"/>
      <c r="I33" s="313" t="s">
        <v>137</v>
      </c>
      <c r="J33" s="258">
        <f>[1]Основные!$D$284</f>
        <v>666</v>
      </c>
      <c r="K33" s="266">
        <v>3.9359999999999999</v>
      </c>
      <c r="L33" s="297"/>
      <c r="M33" s="607"/>
      <c r="N33" s="60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</row>
    <row r="34" spans="1:35" x14ac:dyDescent="0.2">
      <c r="A34" s="120" t="s">
        <v>189</v>
      </c>
      <c r="B34" s="171" t="s">
        <v>246</v>
      </c>
      <c r="C34" s="618">
        <f>((C10+0.5)/1.2+1)*(C8+C9)*2*1.1</f>
        <v>1143.45</v>
      </c>
      <c r="D34" s="619" t="s">
        <v>8</v>
      </c>
      <c r="E34" s="620">
        <f>M38</f>
        <v>362.25</v>
      </c>
      <c r="F34" s="621">
        <f>M38</f>
        <v>362.25</v>
      </c>
      <c r="G34" s="290">
        <f>H34*C34</f>
        <v>2309.7690000000002</v>
      </c>
      <c r="H34" s="328">
        <f>N38</f>
        <v>2.02</v>
      </c>
      <c r="I34" s="335" t="s">
        <v>138</v>
      </c>
      <c r="J34" s="259">
        <f>[1]Основные!$D$285</f>
        <v>882</v>
      </c>
      <c r="K34" s="266">
        <v>5.1639999999999997</v>
      </c>
      <c r="L34" s="297"/>
      <c r="M34" s="602"/>
      <c r="N34" s="602"/>
      <c r="O34" s="602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</row>
    <row r="35" spans="1:35" s="901" customFormat="1" x14ac:dyDescent="0.2">
      <c r="A35" s="393" t="s">
        <v>190</v>
      </c>
      <c r="B35" s="893" t="str">
        <f>I41</f>
        <v>ТПС 145х1,5</v>
      </c>
      <c r="C35" s="894">
        <f>(C8+C9)*2/C11*(C10+0.5)*2*1.1+L142*J142/0.6*O142+(J142+K142)*2*2*L142*1.1</f>
        <v>579.15000000000009</v>
      </c>
      <c r="D35" s="893" t="s">
        <v>8</v>
      </c>
      <c r="E35" s="895">
        <f>J41</f>
        <v>521.85</v>
      </c>
      <c r="F35" s="896">
        <f>E35*C35</f>
        <v>302229.42750000005</v>
      </c>
      <c r="G35" s="896">
        <f>H35*C35</f>
        <v>1621.6200000000001</v>
      </c>
      <c r="H35" s="897">
        <f>K41</f>
        <v>2.8</v>
      </c>
      <c r="I35" s="898" t="s">
        <v>140</v>
      </c>
      <c r="J35" s="899">
        <f>[1]Основные!$D$288</f>
        <v>753</v>
      </c>
      <c r="K35" s="900">
        <v>4.4729999999999999</v>
      </c>
      <c r="P35" s="902"/>
      <c r="Q35" s="902"/>
      <c r="R35" s="902"/>
      <c r="S35" s="902"/>
      <c r="T35" s="902"/>
      <c r="U35" s="902"/>
      <c r="V35" s="902"/>
      <c r="W35" s="902"/>
      <c r="X35" s="902"/>
      <c r="Y35" s="902"/>
      <c r="Z35" s="902"/>
      <c r="AA35" s="902"/>
      <c r="AB35" s="902"/>
      <c r="AC35" s="902"/>
      <c r="AD35" s="902"/>
      <c r="AE35" s="902"/>
      <c r="AF35" s="902"/>
      <c r="AG35" s="902"/>
      <c r="AH35" s="902"/>
      <c r="AI35" s="902"/>
    </row>
    <row r="36" spans="1:35" ht="0.95" customHeight="1" x14ac:dyDescent="0.2">
      <c r="A36" s="414" t="s">
        <v>357</v>
      </c>
      <c r="B36" s="166" t="s">
        <v>113</v>
      </c>
      <c r="C36" s="622">
        <f>2*(C8+C9)*2*1.1</f>
        <v>356.40000000000003</v>
      </c>
      <c r="D36" s="166" t="s">
        <v>8</v>
      </c>
      <c r="E36" s="301">
        <f>J38</f>
        <v>262.5</v>
      </c>
      <c r="F36" s="291">
        <f>C36*E36</f>
        <v>93555.000000000015</v>
      </c>
      <c r="G36" s="291">
        <f>C36*H36</f>
        <v>615.50280000000009</v>
      </c>
      <c r="H36" s="328">
        <f>K38</f>
        <v>1.7270000000000001</v>
      </c>
      <c r="I36" s="335" t="s">
        <v>141</v>
      </c>
      <c r="J36" s="261">
        <f>[1]Основные!$D$289</f>
        <v>997</v>
      </c>
      <c r="K36" s="266">
        <v>5.8</v>
      </c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</row>
    <row r="37" spans="1:35" hidden="1" x14ac:dyDescent="0.2">
      <c r="A37" s="121"/>
      <c r="B37" s="166" t="s">
        <v>115</v>
      </c>
      <c r="C37" s="622">
        <f>IF(I3=J10,C41/0.6,0)</f>
        <v>0</v>
      </c>
      <c r="D37" s="166" t="s">
        <v>8</v>
      </c>
      <c r="E37" s="301">
        <f>J45</f>
        <v>190</v>
      </c>
      <c r="F37" s="291">
        <f t="shared" ref="F37:F39" si="2">C37*E37</f>
        <v>0</v>
      </c>
      <c r="G37" s="291">
        <f t="shared" ref="G37:G39" si="3">C37*H37</f>
        <v>0</v>
      </c>
      <c r="H37" s="328">
        <v>1.4</v>
      </c>
      <c r="I37" s="314" t="s">
        <v>19</v>
      </c>
      <c r="J37" s="831">
        <f>[1]Основные!$F$215</f>
        <v>218.4</v>
      </c>
      <c r="K37" s="266">
        <v>1.4059999999999999</v>
      </c>
      <c r="L37" s="623" t="s">
        <v>245</v>
      </c>
      <c r="M37" s="845">
        <f>[1]Основные!$F$216</f>
        <v>302.40000000000003</v>
      </c>
      <c r="N37" s="466">
        <v>1.69</v>
      </c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</row>
    <row r="38" spans="1:35" x14ac:dyDescent="0.2">
      <c r="A38" s="121"/>
      <c r="B38" s="166" t="s">
        <v>97</v>
      </c>
      <c r="C38" s="332">
        <f>(3*C9+2*C8)/2.9</f>
        <v>76.551724137931032</v>
      </c>
      <c r="D38" s="166" t="s">
        <v>10</v>
      </c>
      <c r="E38" s="624">
        <f>J67</f>
        <v>736</v>
      </c>
      <c r="F38" s="291">
        <f t="shared" si="2"/>
        <v>56342.068965517239</v>
      </c>
      <c r="G38" s="291">
        <f t="shared" si="3"/>
        <v>71.193103448275863</v>
      </c>
      <c r="H38" s="328">
        <f>L67</f>
        <v>0.93</v>
      </c>
      <c r="I38" s="625" t="s">
        <v>113</v>
      </c>
      <c r="J38" s="831">
        <f>[1]Основные!$F$227</f>
        <v>262.5</v>
      </c>
      <c r="K38" s="266">
        <v>1.7270000000000001</v>
      </c>
      <c r="L38" s="623" t="s">
        <v>246</v>
      </c>
      <c r="M38" s="845">
        <f>[1]Основные!$F$228</f>
        <v>362.25</v>
      </c>
      <c r="N38" s="466">
        <v>2.02</v>
      </c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</row>
    <row r="39" spans="1:35" x14ac:dyDescent="0.2">
      <c r="A39" s="121"/>
      <c r="B39" s="166" t="s">
        <v>247</v>
      </c>
      <c r="C39" s="332">
        <f>4*C10/1.9</f>
        <v>12.631578947368421</v>
      </c>
      <c r="D39" s="166" t="s">
        <v>10</v>
      </c>
      <c r="E39" s="333">
        <f>J70</f>
        <v>919.99999999999989</v>
      </c>
      <c r="F39" s="291">
        <f t="shared" si="2"/>
        <v>11621.052631578947</v>
      </c>
      <c r="G39" s="291">
        <f t="shared" si="3"/>
        <v>29.052631578947366</v>
      </c>
      <c r="H39" s="328">
        <f>L69</f>
        <v>2.2999999999999998</v>
      </c>
      <c r="I39" s="626" t="s">
        <v>211</v>
      </c>
      <c r="J39" s="832">
        <f>[1]Основные!$F$229</f>
        <v>476.70000000000005</v>
      </c>
      <c r="K39" s="627">
        <v>2.5590000000000002</v>
      </c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</row>
    <row r="40" spans="1:35" x14ac:dyDescent="0.2">
      <c r="A40" s="182" t="str">
        <f>IF(I3=2,"нар.окр","нар. оц")</f>
        <v>нар.окр</v>
      </c>
      <c r="B40" s="166" t="str">
        <f>L45</f>
        <v>МП 20 0,45</v>
      </c>
      <c r="C40" s="332">
        <f>(C8*2+C9*2)*(C10+0.5)*1.1+C8*3*1.1</f>
        <v>1227.6000000000001</v>
      </c>
      <c r="D40" s="166" t="s">
        <v>8</v>
      </c>
      <c r="E40" s="164">
        <f>M45</f>
        <v>787.74999999999989</v>
      </c>
      <c r="F40" s="291">
        <f>E40*C40</f>
        <v>967041.9</v>
      </c>
      <c r="G40" s="291">
        <f>H40*C40</f>
        <v>6506.2800000000007</v>
      </c>
      <c r="H40" s="328">
        <f>O45</f>
        <v>5.3</v>
      </c>
      <c r="I40" s="625" t="s">
        <v>143</v>
      </c>
      <c r="J40" s="831">
        <f>[1]Основные!$F$239</f>
        <v>318.15000000000003</v>
      </c>
      <c r="K40" s="266">
        <v>2.1179999999999999</v>
      </c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</row>
    <row r="41" spans="1:35" ht="0.95" customHeight="1" x14ac:dyDescent="0.2">
      <c r="A41" s="121"/>
      <c r="B41" s="166" t="s">
        <v>267</v>
      </c>
      <c r="C41" s="332">
        <f>IF(I3=J10,2*(C8+C9)*C10*1.2+C9*2.5*1.2,0)</f>
        <v>0</v>
      </c>
      <c r="D41" s="166" t="s">
        <v>33</v>
      </c>
      <c r="E41" s="164">
        <f>M50</f>
        <v>1255</v>
      </c>
      <c r="F41" s="291"/>
      <c r="G41" s="291"/>
      <c r="H41" s="328">
        <f>O50</f>
        <v>5</v>
      </c>
      <c r="I41" s="625" t="s">
        <v>121</v>
      </c>
      <c r="J41" s="831">
        <f>[1]Основные!$F$253</f>
        <v>521.85</v>
      </c>
      <c r="K41" s="266">
        <v>2.8</v>
      </c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</row>
    <row r="42" spans="1:35" x14ac:dyDescent="0.2">
      <c r="A42" s="182" t="str">
        <f>IF(I4=2,"вн.ок","вн.оц")</f>
        <v>вн.ок</v>
      </c>
      <c r="B42" s="166" t="str">
        <f>L45</f>
        <v>МП 20 0,45</v>
      </c>
      <c r="C42" s="628">
        <f>C40</f>
        <v>1227.6000000000001</v>
      </c>
      <c r="D42" s="166" t="s">
        <v>33</v>
      </c>
      <c r="E42" s="164">
        <f>M45</f>
        <v>787.74999999999989</v>
      </c>
      <c r="F42" s="291">
        <f>E42*C42</f>
        <v>967041.9</v>
      </c>
      <c r="G42" s="291">
        <f>H42*C42</f>
        <v>6506.2800000000007</v>
      </c>
      <c r="H42" s="328">
        <f>O45</f>
        <v>5.3</v>
      </c>
      <c r="I42" s="625" t="s">
        <v>142</v>
      </c>
      <c r="J42" s="831">
        <f>[1]Основные!$F$273</f>
        <v>618.45000000000005</v>
      </c>
      <c r="K42" s="266">
        <v>3.09</v>
      </c>
      <c r="L42" s="325" t="s">
        <v>147</v>
      </c>
      <c r="M42" s="326" t="s">
        <v>156</v>
      </c>
      <c r="N42" s="326" t="s">
        <v>157</v>
      </c>
      <c r="O42" s="266" t="s">
        <v>154</v>
      </c>
      <c r="P42" s="297" t="s">
        <v>320</v>
      </c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</row>
    <row r="43" spans="1:35" x14ac:dyDescent="0.2">
      <c r="A43" s="121"/>
      <c r="B43" s="166" t="s">
        <v>72</v>
      </c>
      <c r="C43" s="93">
        <v>0.05</v>
      </c>
      <c r="D43" s="166"/>
      <c r="E43" s="301"/>
      <c r="F43" s="291">
        <f>SUM(F34:F42)*C43</f>
        <v>119909.67995485483</v>
      </c>
      <c r="G43" s="200"/>
      <c r="H43" s="328"/>
      <c r="I43" s="629" t="s">
        <v>219</v>
      </c>
      <c r="J43" s="260">
        <f>[1]Основные!$F$352</f>
        <v>223</v>
      </c>
      <c r="K43" s="266">
        <v>1.63</v>
      </c>
      <c r="L43" s="266" t="s">
        <v>158</v>
      </c>
      <c r="M43" s="260" t="e">
        <f>[1]Основные!$D$29</f>
        <v>#N/A</v>
      </c>
      <c r="N43" s="835" t="e">
        <f>[1]Основные!$D$31</f>
        <v>#N/A</v>
      </c>
      <c r="O43" s="325">
        <v>4.5999999999999996</v>
      </c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</row>
    <row r="44" spans="1:35" ht="12.75" customHeight="1" thickBot="1" x14ac:dyDescent="0.25">
      <c r="A44" s="122"/>
      <c r="B44" s="123" t="s">
        <v>83</v>
      </c>
      <c r="C44" s="338"/>
      <c r="D44" s="339"/>
      <c r="E44" s="630"/>
      <c r="F44" s="118">
        <f>SUM(F34:F43)</f>
        <v>2518103.2790519511</v>
      </c>
      <c r="G44" s="201">
        <f>SUM(G34:G43)</f>
        <v>17659.697535027226</v>
      </c>
      <c r="H44" s="328"/>
      <c r="I44" s="629" t="s">
        <v>220</v>
      </c>
      <c r="J44" s="260" t="e">
        <f>[1]Основные!$F$350</f>
        <v>#N/A</v>
      </c>
      <c r="K44" s="266">
        <v>0.78</v>
      </c>
      <c r="L44" s="266"/>
      <c r="M44" s="226"/>
      <c r="N44" s="3"/>
      <c r="O44" s="631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</row>
    <row r="45" spans="1:35" hidden="1" x14ac:dyDescent="0.2">
      <c r="A45" s="191">
        <v>3</v>
      </c>
      <c r="B45" s="129" t="s">
        <v>93</v>
      </c>
      <c r="C45" s="614"/>
      <c r="D45" s="615"/>
      <c r="E45" s="632"/>
      <c r="F45" s="158"/>
      <c r="G45" s="159"/>
      <c r="H45" s="328"/>
      <c r="I45" s="629" t="s">
        <v>115</v>
      </c>
      <c r="J45" s="833">
        <f>[1]Основные!$F$355</f>
        <v>190</v>
      </c>
      <c r="K45" s="266">
        <v>1.4</v>
      </c>
      <c r="L45" s="322" t="s">
        <v>321</v>
      </c>
      <c r="M45" s="836">
        <f>[1]Основные!$F$74</f>
        <v>787.74999999999989</v>
      </c>
      <c r="N45" s="837">
        <f>[1]Основные!$F$75</f>
        <v>590.44449999999995</v>
      </c>
      <c r="O45" s="325">
        <v>5.3</v>
      </c>
      <c r="P45" s="266">
        <v>547</v>
      </c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</row>
    <row r="46" spans="1:35" hidden="1" x14ac:dyDescent="0.2">
      <c r="A46" s="414"/>
      <c r="B46" s="166" t="s">
        <v>19</v>
      </c>
      <c r="C46" s="332">
        <f>IF(E17&gt;0,D155+D156,0)</f>
        <v>0</v>
      </c>
      <c r="D46" s="166" t="s">
        <v>8</v>
      </c>
      <c r="E46" s="301">
        <f>J37</f>
        <v>218.4</v>
      </c>
      <c r="F46" s="291">
        <f>C46*E46</f>
        <v>0</v>
      </c>
      <c r="G46" s="200">
        <f>C46*H46</f>
        <v>0</v>
      </c>
      <c r="H46" s="328">
        <f>K37</f>
        <v>1.4059999999999999</v>
      </c>
      <c r="I46" s="607"/>
      <c r="J46" s="607"/>
      <c r="K46" s="297"/>
      <c r="L46" s="266"/>
      <c r="M46" s="226"/>
      <c r="N46" s="3"/>
      <c r="O46" s="633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</row>
    <row r="47" spans="1:35" hidden="1" x14ac:dyDescent="0.2">
      <c r="A47" s="414" t="s">
        <v>221</v>
      </c>
      <c r="B47" s="166" t="str">
        <f>L45</f>
        <v>МП 20 0,45</v>
      </c>
      <c r="C47" s="332">
        <f>IF(E17&gt;0,E17*2*1.1,0)</f>
        <v>0</v>
      </c>
      <c r="D47" s="166" t="s">
        <v>8</v>
      </c>
      <c r="E47" s="301">
        <f>M45</f>
        <v>787.74999999999989</v>
      </c>
      <c r="F47" s="291">
        <f>C47*E47</f>
        <v>0</v>
      </c>
      <c r="G47" s="200">
        <f>C47*H47</f>
        <v>0</v>
      </c>
      <c r="H47" s="328">
        <f>O45</f>
        <v>5.3</v>
      </c>
      <c r="I47" s="607"/>
      <c r="J47" s="607"/>
      <c r="K47" s="297"/>
      <c r="L47" s="266" t="s">
        <v>159</v>
      </c>
      <c r="M47" s="833">
        <f>[1]Основные!$F$26</f>
        <v>1</v>
      </c>
      <c r="N47" s="262">
        <f>[1]Основные!$F$23</f>
        <v>555</v>
      </c>
      <c r="O47" s="325">
        <v>4.5999999999999996</v>
      </c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</row>
    <row r="48" spans="1:35" hidden="1" x14ac:dyDescent="0.2">
      <c r="A48" s="414"/>
      <c r="B48" s="166" t="s">
        <v>72</v>
      </c>
      <c r="C48" s="93">
        <v>0.05</v>
      </c>
      <c r="D48" s="166"/>
      <c r="E48" s="301"/>
      <c r="F48" s="291">
        <f>SUM(F46:F47)*C48</f>
        <v>0</v>
      </c>
      <c r="G48" s="200"/>
      <c r="H48" s="328"/>
      <c r="I48" s="607"/>
      <c r="J48" s="607"/>
      <c r="K48" s="297"/>
      <c r="L48" s="266"/>
      <c r="M48" s="226"/>
      <c r="N48" s="3"/>
      <c r="O48" s="325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</row>
    <row r="49" spans="1:35" hidden="1" x14ac:dyDescent="0.2">
      <c r="A49" s="414"/>
      <c r="B49" s="90" t="s">
        <v>126</v>
      </c>
      <c r="C49" s="332"/>
      <c r="D49" s="166"/>
      <c r="E49" s="301"/>
      <c r="F49" s="160">
        <f>SUM(F46:F48)</f>
        <v>0</v>
      </c>
      <c r="G49" s="203">
        <f>SUM(G46:G48)</f>
        <v>0</v>
      </c>
      <c r="H49" s="328"/>
      <c r="I49" s="607"/>
      <c r="J49" s="607"/>
      <c r="K49" s="297"/>
      <c r="L49" s="266" t="s">
        <v>1</v>
      </c>
      <c r="M49" s="833">
        <f>[1]Основные!$F$86</f>
        <v>1035</v>
      </c>
      <c r="N49" s="3"/>
      <c r="O49" s="325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</row>
    <row r="50" spans="1:35" hidden="1" x14ac:dyDescent="0.2">
      <c r="A50" s="177">
        <v>3</v>
      </c>
      <c r="B50" s="178" t="s">
        <v>112</v>
      </c>
      <c r="C50" s="636"/>
      <c r="D50" s="619"/>
      <c r="E50" s="180" t="s">
        <v>116</v>
      </c>
      <c r="F50" s="181"/>
      <c r="G50" s="204"/>
      <c r="H50" s="328"/>
      <c r="I50" s="607" t="s">
        <v>144</v>
      </c>
      <c r="J50" s="607"/>
      <c r="K50" s="297"/>
      <c r="L50" s="266" t="s">
        <v>145</v>
      </c>
      <c r="M50" s="833">
        <f>[1]Основные!$F$16</f>
        <v>1255</v>
      </c>
      <c r="N50" s="3"/>
      <c r="O50" s="325">
        <v>5</v>
      </c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</row>
    <row r="51" spans="1:35" hidden="1" x14ac:dyDescent="0.2">
      <c r="A51" s="182"/>
      <c r="B51" s="166" t="s">
        <v>2</v>
      </c>
      <c r="C51" s="622">
        <f>C56*C10</f>
        <v>84</v>
      </c>
      <c r="D51" s="166" t="s">
        <v>8</v>
      </c>
      <c r="E51" s="183">
        <f>[1]Основные!$F$142</f>
        <v>840</v>
      </c>
      <c r="F51" s="291"/>
      <c r="G51" s="291"/>
      <c r="H51" s="638">
        <v>1.5</v>
      </c>
      <c r="I51" s="229">
        <f>[1]Основные!$F$130</f>
        <v>585</v>
      </c>
      <c r="J51" s="607"/>
      <c r="K51" s="297"/>
      <c r="L51" s="266" t="s">
        <v>146</v>
      </c>
      <c r="M51" s="260">
        <f>[1]Основные!$F$11</f>
        <v>1868</v>
      </c>
      <c r="N51" s="3"/>
      <c r="O51" s="325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</row>
    <row r="52" spans="1:35" hidden="1" x14ac:dyDescent="0.2">
      <c r="A52" s="182"/>
      <c r="B52" s="166" t="s">
        <v>0</v>
      </c>
      <c r="C52" s="622">
        <f>2*C9</f>
        <v>120</v>
      </c>
      <c r="D52" s="166" t="s">
        <v>8</v>
      </c>
      <c r="E52" s="183">
        <f>[1]Основные!$F$141</f>
        <v>635</v>
      </c>
      <c r="F52" s="291"/>
      <c r="G52" s="291"/>
      <c r="H52" s="638">
        <v>1.5</v>
      </c>
      <c r="I52" s="229">
        <f>[1]Основные!$F$129</f>
        <v>466</v>
      </c>
      <c r="J52" s="607"/>
      <c r="K52" s="297"/>
      <c r="L52" s="322" t="s">
        <v>160</v>
      </c>
      <c r="M52" s="833">
        <f>[1]Основные!$F$80</f>
        <v>868.24999999999989</v>
      </c>
      <c r="N52" s="834">
        <f>[1]Основные!$F$81</f>
        <v>648.53100000000006</v>
      </c>
      <c r="O52" s="325">
        <v>5.3</v>
      </c>
      <c r="P52" s="297">
        <v>541</v>
      </c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</row>
    <row r="53" spans="1:35" hidden="1" x14ac:dyDescent="0.2">
      <c r="A53" s="182"/>
      <c r="B53" s="166" t="s">
        <v>4</v>
      </c>
      <c r="C53" s="622">
        <f>C51/2</f>
        <v>42</v>
      </c>
      <c r="D53" s="166" t="s">
        <v>10</v>
      </c>
      <c r="E53" s="183">
        <f>[1]Основные!$F$144</f>
        <v>413</v>
      </c>
      <c r="F53" s="291"/>
      <c r="G53" s="291"/>
      <c r="H53" s="638">
        <v>0.5</v>
      </c>
      <c r="I53" s="229">
        <f>[1]Основные!$F$132</f>
        <v>351</v>
      </c>
      <c r="J53" s="607"/>
      <c r="K53" s="297"/>
      <c r="L53" s="266"/>
      <c r="M53" s="226"/>
      <c r="N53" s="3"/>
      <c r="O53" s="325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</row>
    <row r="54" spans="1:35" ht="36" hidden="1" customHeight="1" x14ac:dyDescent="0.2">
      <c r="A54" s="182"/>
      <c r="B54" s="166" t="s">
        <v>3</v>
      </c>
      <c r="C54" s="622">
        <f>C52/0.7</f>
        <v>171.42857142857144</v>
      </c>
      <c r="D54" s="166" t="s">
        <v>10</v>
      </c>
      <c r="E54" s="183">
        <f>E53</f>
        <v>413</v>
      </c>
      <c r="F54" s="291"/>
      <c r="G54" s="291"/>
      <c r="H54" s="638">
        <v>0.5</v>
      </c>
      <c r="I54" s="229">
        <f>[1]Основные!$F$132</f>
        <v>351</v>
      </c>
      <c r="J54" s="607"/>
      <c r="K54" s="297"/>
      <c r="L54" s="266" t="s">
        <v>161</v>
      </c>
      <c r="M54" s="836">
        <f>[1]Основные!$F$83</f>
        <v>1265</v>
      </c>
      <c r="N54" s="837">
        <f>[1]Основные!$F$84</f>
        <v>924.61149999999986</v>
      </c>
      <c r="O54" s="325">
        <v>7.4</v>
      </c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</row>
    <row r="55" spans="1:35" ht="57.75" hidden="1" customHeight="1" x14ac:dyDescent="0.2">
      <c r="A55" s="182"/>
      <c r="B55" s="166" t="s">
        <v>5</v>
      </c>
      <c r="C55" s="622">
        <f>4</f>
        <v>4</v>
      </c>
      <c r="D55" s="166" t="s">
        <v>10</v>
      </c>
      <c r="E55" s="183">
        <f>[1]Основные!$F$145</f>
        <v>146</v>
      </c>
      <c r="F55" s="291"/>
      <c r="G55" s="291"/>
      <c r="H55" s="638">
        <v>0.5</v>
      </c>
      <c r="I55" s="229">
        <f>[1]Основные!$F$134</f>
        <v>129</v>
      </c>
      <c r="J55" s="607"/>
      <c r="K55" s="297"/>
      <c r="L55" s="266"/>
      <c r="M55" s="226"/>
      <c r="N55" s="3"/>
      <c r="O55" s="325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  <c r="AC55" s="297"/>
      <c r="AD55" s="297"/>
      <c r="AE55" s="297"/>
      <c r="AF55" s="297"/>
      <c r="AG55" s="297"/>
      <c r="AH55" s="297"/>
      <c r="AI55" s="297"/>
    </row>
    <row r="56" spans="1:35" ht="65.25" hidden="1" customHeight="1" x14ac:dyDescent="0.2">
      <c r="A56" s="182"/>
      <c r="B56" s="166" t="s">
        <v>117</v>
      </c>
      <c r="C56" s="622">
        <f>CEILING(C8*C9/102,2)</f>
        <v>14</v>
      </c>
      <c r="D56" s="166" t="s">
        <v>10</v>
      </c>
      <c r="E56" s="183">
        <f>[1]Основные!$F$143</f>
        <v>495</v>
      </c>
      <c r="F56" s="291"/>
      <c r="G56" s="291"/>
      <c r="H56" s="638">
        <v>0.5</v>
      </c>
      <c r="I56" s="220">
        <f>[1]Основные!$F$131</f>
        <v>463</v>
      </c>
      <c r="J56" s="607"/>
      <c r="K56" s="297"/>
      <c r="L56" s="266" t="s">
        <v>162</v>
      </c>
      <c r="M56" s="226">
        <f>[7]Источник!$G$56</f>
        <v>0</v>
      </c>
      <c r="N56" s="3">
        <f>[7]Источник!$G$52</f>
        <v>0</v>
      </c>
      <c r="O56" s="325">
        <v>8.8000000000000007</v>
      </c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</row>
    <row r="57" spans="1:35" ht="36.950000000000003" hidden="1" customHeight="1" x14ac:dyDescent="0.2">
      <c r="A57" s="182"/>
      <c r="B57" s="166" t="s">
        <v>118</v>
      </c>
      <c r="C57" s="622">
        <f>2*C56</f>
        <v>28</v>
      </c>
      <c r="D57" s="166" t="s">
        <v>10</v>
      </c>
      <c r="E57" s="183">
        <f>E56</f>
        <v>495</v>
      </c>
      <c r="F57" s="291"/>
      <c r="G57" s="291"/>
      <c r="H57" s="638">
        <v>0.5</v>
      </c>
      <c r="I57" s="220">
        <f>[1]Основные!$F$131</f>
        <v>463</v>
      </c>
      <c r="J57" s="607"/>
      <c r="K57" s="297"/>
      <c r="L57" s="266"/>
      <c r="M57" s="226"/>
      <c r="N57" s="3"/>
      <c r="O57" s="325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</row>
    <row r="58" spans="1:35" ht="46.5" hidden="1" customHeight="1" x14ac:dyDescent="0.2">
      <c r="A58" s="182"/>
      <c r="B58" s="166" t="s">
        <v>119</v>
      </c>
      <c r="C58" s="622">
        <f>C52/5</f>
        <v>24</v>
      </c>
      <c r="D58" s="166" t="s">
        <v>10</v>
      </c>
      <c r="E58" s="183">
        <f>[1]Основные!$F$148</f>
        <v>309</v>
      </c>
      <c r="F58" s="291"/>
      <c r="G58" s="291"/>
      <c r="H58" s="638">
        <v>0.5</v>
      </c>
      <c r="I58" s="220">
        <f>[1]Основные!$F$133</f>
        <v>64</v>
      </c>
      <c r="J58" s="607"/>
      <c r="K58" s="297"/>
      <c r="L58" s="266" t="s">
        <v>322</v>
      </c>
      <c r="M58" s="226">
        <f>[7]Источник!$G$69</f>
        <v>0</v>
      </c>
      <c r="N58" s="3"/>
      <c r="O58" s="325">
        <v>7.4</v>
      </c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</row>
    <row r="59" spans="1:35" ht="54" hidden="1" customHeight="1" thickBot="1" x14ac:dyDescent="0.25">
      <c r="A59" s="184"/>
      <c r="B59" s="640" t="s">
        <v>6</v>
      </c>
      <c r="C59" s="641">
        <f>C56</f>
        <v>14</v>
      </c>
      <c r="D59" s="339" t="s">
        <v>10</v>
      </c>
      <c r="E59" s="186">
        <f>[1]Основные!$F$146</f>
        <v>408</v>
      </c>
      <c r="F59" s="386"/>
      <c r="G59" s="642"/>
      <c r="H59" s="638">
        <v>0.5</v>
      </c>
      <c r="I59" s="229">
        <f>[1]Основные!$F$135</f>
        <v>352</v>
      </c>
      <c r="J59" s="607"/>
      <c r="K59" s="297"/>
      <c r="L59" s="266" t="s">
        <v>323</v>
      </c>
      <c r="M59" s="325">
        <f>[7]Источник!$G$70</f>
        <v>0</v>
      </c>
      <c r="N59" s="466"/>
      <c r="O59" s="325">
        <v>5.4</v>
      </c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</row>
    <row r="60" spans="1:35" ht="75" hidden="1" customHeight="1" x14ac:dyDescent="0.2">
      <c r="A60" s="188"/>
      <c r="B60" s="166" t="s">
        <v>72</v>
      </c>
      <c r="C60" s="189">
        <v>0.05</v>
      </c>
      <c r="D60" s="502"/>
      <c r="E60" s="643"/>
      <c r="F60" s="190">
        <f>SUM(F51:F59)*C60</f>
        <v>0</v>
      </c>
      <c r="G60" s="206"/>
      <c r="H60" s="328"/>
      <c r="I60" s="607"/>
      <c r="J60" s="607"/>
      <c r="K60" s="297"/>
      <c r="L60" s="297"/>
      <c r="M60" s="607"/>
      <c r="N60" s="607"/>
      <c r="O60" s="60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</row>
    <row r="61" spans="1:35" ht="39" hidden="1" customHeight="1" x14ac:dyDescent="0.2">
      <c r="A61" s="182"/>
      <c r="B61" s="90" t="s">
        <v>120</v>
      </c>
      <c r="C61" s="332"/>
      <c r="D61" s="166"/>
      <c r="E61" s="644"/>
      <c r="F61" s="160">
        <f>SUM(F51:F60)</f>
        <v>0</v>
      </c>
      <c r="G61" s="203">
        <f>SUM(G51:G60)</f>
        <v>0</v>
      </c>
      <c r="H61" s="328"/>
      <c r="I61" s="607"/>
      <c r="J61" s="607"/>
      <c r="K61" s="297"/>
      <c r="L61" s="297"/>
      <c r="M61" s="607"/>
      <c r="N61" s="607"/>
      <c r="O61" s="60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</row>
    <row r="62" spans="1:35" ht="13.5" thickBot="1" x14ac:dyDescent="0.25">
      <c r="A62" s="106">
        <v>3</v>
      </c>
      <c r="B62" s="129" t="s">
        <v>84</v>
      </c>
      <c r="C62" s="614"/>
      <c r="D62" s="645"/>
      <c r="E62" s="632"/>
      <c r="F62" s="645"/>
      <c r="G62" s="646"/>
      <c r="H62" s="328"/>
      <c r="I62" s="602"/>
      <c r="J62" s="602"/>
      <c r="K62" s="297"/>
      <c r="L62" s="297"/>
      <c r="M62" s="602"/>
      <c r="N62" s="602"/>
      <c r="O62" s="602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647"/>
      <c r="AA62" s="297"/>
      <c r="AB62" s="297"/>
      <c r="AC62" s="297"/>
      <c r="AD62" s="297"/>
      <c r="AE62" s="297"/>
      <c r="AF62" s="297"/>
      <c r="AG62" s="297"/>
      <c r="AH62" s="297"/>
      <c r="AI62" s="297"/>
    </row>
    <row r="63" spans="1:35" x14ac:dyDescent="0.2">
      <c r="A63" s="114"/>
      <c r="B63" s="171" t="s">
        <v>222</v>
      </c>
      <c r="C63" s="329">
        <f>C9*0.5*1.11</f>
        <v>33.300000000000004</v>
      </c>
      <c r="D63" s="171" t="s">
        <v>33</v>
      </c>
      <c r="E63" s="141">
        <f>[1]Основные!$F$39</f>
        <v>810.15199999999982</v>
      </c>
      <c r="F63" s="621">
        <f t="shared" ref="F63" si="4">C63*E63</f>
        <v>26978.061599999997</v>
      </c>
      <c r="G63" s="290">
        <f>C63*H63</f>
        <v>233.10000000000002</v>
      </c>
      <c r="H63" s="328">
        <v>7</v>
      </c>
      <c r="M63" s="602"/>
      <c r="N63" s="602"/>
      <c r="O63" s="602"/>
      <c r="P63" s="212"/>
      <c r="Q63" s="297"/>
      <c r="R63" s="297"/>
      <c r="S63" s="297"/>
      <c r="T63" s="297"/>
      <c r="U63" s="297"/>
      <c r="V63" s="297"/>
      <c r="W63" s="297"/>
      <c r="X63" s="297"/>
      <c r="Y63" s="297"/>
      <c r="Z63" s="647"/>
      <c r="AA63" s="297"/>
      <c r="AB63" s="297"/>
      <c r="AC63" s="297"/>
      <c r="AD63" s="297"/>
      <c r="AE63" s="297"/>
      <c r="AF63" s="297"/>
      <c r="AG63" s="297"/>
      <c r="AH63" s="297"/>
      <c r="AI63" s="297"/>
    </row>
    <row r="64" spans="1:35" x14ac:dyDescent="0.2">
      <c r="A64" s="116"/>
      <c r="B64" s="166" t="s">
        <v>95</v>
      </c>
      <c r="C64" s="332">
        <f>CEILING(C9/1.9,1)</f>
        <v>32</v>
      </c>
      <c r="D64" s="166" t="s">
        <v>10</v>
      </c>
      <c r="E64" s="333">
        <f>IF(I3=1,K65,J65)</f>
        <v>1903.2499999999998</v>
      </c>
      <c r="F64" s="291">
        <f>E64*C64</f>
        <v>60903.999999999993</v>
      </c>
      <c r="G64" s="291">
        <f>H64*C64</f>
        <v>52.48</v>
      </c>
      <c r="H64" s="328">
        <f>L65</f>
        <v>1.64</v>
      </c>
      <c r="I64" s="245" t="s">
        <v>147</v>
      </c>
      <c r="J64" s="243" t="s">
        <v>206</v>
      </c>
      <c r="K64" s="228" t="s">
        <v>207</v>
      </c>
      <c r="L64" s="244" t="s">
        <v>155</v>
      </c>
      <c r="M64" s="607"/>
      <c r="N64" s="607"/>
      <c r="O64" s="602"/>
      <c r="P64" s="212"/>
      <c r="Q64" s="297"/>
      <c r="R64" s="297"/>
      <c r="S64" s="297"/>
      <c r="T64" s="297"/>
      <c r="U64" s="297"/>
      <c r="V64" s="297"/>
      <c r="W64" s="297"/>
      <c r="X64" s="297"/>
      <c r="Y64" s="297"/>
      <c r="Z64" s="647"/>
      <c r="AA64" s="297"/>
      <c r="AB64" s="297"/>
      <c r="AC64" s="297"/>
      <c r="AD64" s="297"/>
      <c r="AE64" s="297"/>
      <c r="AF64" s="297"/>
      <c r="AG64" s="297"/>
      <c r="AH64" s="297"/>
      <c r="AI64" s="297"/>
    </row>
    <row r="65" spans="1:35" x14ac:dyDescent="0.2">
      <c r="A65" s="116"/>
      <c r="B65" s="166" t="s">
        <v>96</v>
      </c>
      <c r="C65" s="648">
        <f>CEILING(2*C8/1.8,1)</f>
        <v>24</v>
      </c>
      <c r="D65" s="166" t="s">
        <v>10</v>
      </c>
      <c r="E65" s="333">
        <f>IF(I3=1,K66,J66)</f>
        <v>919.99999999999989</v>
      </c>
      <c r="F65" s="291">
        <f t="shared" ref="F65:F69" si="5">E65*C65</f>
        <v>22079.999999999996</v>
      </c>
      <c r="G65" s="291">
        <f t="shared" ref="G65:G69" si="6">H65*C65</f>
        <v>24.72</v>
      </c>
      <c r="H65" s="328">
        <f>L66</f>
        <v>1.03</v>
      </c>
      <c r="I65" s="233" t="s">
        <v>148</v>
      </c>
      <c r="J65" s="263">
        <f>[1]Основные!$F$110</f>
        <v>1903.2499999999998</v>
      </c>
      <c r="K65" s="264">
        <f>[1]Основные!$F$111</f>
        <v>1575.4999999999998</v>
      </c>
      <c r="L65" s="266">
        <v>1.64</v>
      </c>
      <c r="M65" s="602"/>
      <c r="N65" s="602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</row>
    <row r="66" spans="1:35" x14ac:dyDescent="0.2">
      <c r="A66" s="182" t="str">
        <f>IF(I4=2,"вн.ок","вн.оц")</f>
        <v>вн.ок</v>
      </c>
      <c r="B66" s="166" t="str">
        <f>L45</f>
        <v>МП 20 0,45</v>
      </c>
      <c r="C66" s="332">
        <f>C8*C9*1.1</f>
        <v>1386</v>
      </c>
      <c r="D66" s="166" t="s">
        <v>33</v>
      </c>
      <c r="E66" s="164">
        <f>M45</f>
        <v>787.74999999999989</v>
      </c>
      <c r="F66" s="291">
        <f>E66*C66</f>
        <v>1091821.4999999998</v>
      </c>
      <c r="G66" s="291">
        <f>H66*C66</f>
        <v>7345.8</v>
      </c>
      <c r="H66" s="328">
        <f>O45</f>
        <v>5.3</v>
      </c>
      <c r="I66" s="233" t="s">
        <v>149</v>
      </c>
      <c r="J66" s="263">
        <f>[1]Основные!$F$113</f>
        <v>919.99999999999989</v>
      </c>
      <c r="K66" s="264">
        <f>[1]Основные!$F$114</f>
        <v>747.49999999999989</v>
      </c>
      <c r="L66" s="266">
        <v>1.03</v>
      </c>
      <c r="M66" s="602"/>
      <c r="N66" s="602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</row>
    <row r="67" spans="1:35" x14ac:dyDescent="0.2">
      <c r="A67" s="182" t="str">
        <f>IF(I3=2,"нар.ок","нар.оц")</f>
        <v>нар.ок</v>
      </c>
      <c r="B67" s="166" t="str">
        <f>L54</f>
        <v>С-44  0,7мм</v>
      </c>
      <c r="C67" s="332">
        <f>(C8+0.6)*(C9+1)*1.1</f>
        <v>1449.3600000000004</v>
      </c>
      <c r="D67" s="166" t="s">
        <v>33</v>
      </c>
      <c r="E67" s="333">
        <f>M54</f>
        <v>1265</v>
      </c>
      <c r="F67" s="291">
        <f>E67*C67</f>
        <v>1833440.4000000004</v>
      </c>
      <c r="G67" s="291">
        <f>H67*C67</f>
        <v>10725.264000000003</v>
      </c>
      <c r="H67" s="328">
        <f>O54</f>
        <v>7.4</v>
      </c>
      <c r="I67" s="233" t="s">
        <v>150</v>
      </c>
      <c r="J67" s="265">
        <f>[1]Основные!$F$100</f>
        <v>736</v>
      </c>
      <c r="K67" s="265">
        <f>[7]Источник!$F$128</f>
        <v>486</v>
      </c>
      <c r="L67" s="266">
        <v>0.93</v>
      </c>
      <c r="M67" s="602"/>
      <c r="N67" s="602"/>
      <c r="O67" s="602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</row>
    <row r="68" spans="1:35" hidden="1" x14ac:dyDescent="0.2">
      <c r="A68" s="103"/>
      <c r="B68" s="166" t="s">
        <v>111</v>
      </c>
      <c r="C68" s="332">
        <f>IF(I13=1,0,2*C9/1.4)</f>
        <v>0</v>
      </c>
      <c r="D68" s="166" t="s">
        <v>10</v>
      </c>
      <c r="E68" s="333">
        <f>[1]Основные!$F$152</f>
        <v>2071</v>
      </c>
      <c r="F68" s="291">
        <f t="shared" si="5"/>
        <v>0</v>
      </c>
      <c r="G68" s="291">
        <f t="shared" si="6"/>
        <v>0</v>
      </c>
      <c r="H68" s="328">
        <v>4</v>
      </c>
      <c r="I68" s="233" t="s">
        <v>151</v>
      </c>
      <c r="J68" s="265">
        <f>[1]Основные!$F$100</f>
        <v>736</v>
      </c>
      <c r="K68" s="266"/>
      <c r="L68" s="266">
        <v>0.93</v>
      </c>
      <c r="M68" s="602"/>
      <c r="N68" s="602"/>
      <c r="O68" s="602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</row>
    <row r="69" spans="1:35" x14ac:dyDescent="0.2">
      <c r="A69" s="103"/>
      <c r="B69" s="166" t="s">
        <v>103</v>
      </c>
      <c r="C69" s="332">
        <f>2*C64</f>
        <v>64</v>
      </c>
      <c r="D69" s="166" t="s">
        <v>10</v>
      </c>
      <c r="E69" s="333">
        <f>[1]Основные!$F$173</f>
        <v>612</v>
      </c>
      <c r="F69" s="291">
        <f t="shared" si="5"/>
        <v>39168</v>
      </c>
      <c r="G69" s="291">
        <f t="shared" si="6"/>
        <v>0</v>
      </c>
      <c r="H69" s="328"/>
      <c r="I69" s="233" t="s">
        <v>152</v>
      </c>
      <c r="J69" s="263">
        <f>[1]Основные!$D$106</f>
        <v>339.5</v>
      </c>
      <c r="K69" s="265">
        <f>[1]Основные!$F$107</f>
        <v>747.49999999999989</v>
      </c>
      <c r="L69" s="266">
        <v>2.2999999999999998</v>
      </c>
      <c r="M69" s="602"/>
      <c r="N69" s="602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</row>
    <row r="70" spans="1:35" x14ac:dyDescent="0.2">
      <c r="A70" s="649"/>
      <c r="B70" s="166" t="s">
        <v>72</v>
      </c>
      <c r="C70" s="93">
        <v>0.05</v>
      </c>
      <c r="D70" s="466"/>
      <c r="E70" s="466"/>
      <c r="F70" s="650">
        <f>SUM(F63:F69)*C70</f>
        <v>153719.59808</v>
      </c>
      <c r="G70" s="350"/>
      <c r="H70" s="328"/>
      <c r="I70" s="233" t="s">
        <v>153</v>
      </c>
      <c r="J70" s="263">
        <f>[1]Основные!$F$103</f>
        <v>919.99999999999989</v>
      </c>
      <c r="K70" s="265">
        <f>[1]Основные!$F$104</f>
        <v>747.49999999999989</v>
      </c>
      <c r="L70" s="266">
        <v>2.2999999999999998</v>
      </c>
      <c r="M70" s="602"/>
      <c r="N70" s="602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16"/>
      <c r="AF70" s="297"/>
      <c r="AG70" s="297"/>
      <c r="AH70" s="297"/>
      <c r="AI70" s="297"/>
    </row>
    <row r="71" spans="1:35" x14ac:dyDescent="0.2">
      <c r="A71" s="649"/>
      <c r="B71" s="90" t="s">
        <v>85</v>
      </c>
      <c r="C71" s="466"/>
      <c r="D71" s="466"/>
      <c r="E71" s="466"/>
      <c r="F71" s="94">
        <f>SUM(F63:F70)</f>
        <v>3228111.5596799999</v>
      </c>
      <c r="G71" s="651">
        <f>SUM(G63:G70)</f>
        <v>18381.364000000001</v>
      </c>
      <c r="H71" s="328"/>
      <c r="I71" s="602"/>
      <c r="J71" s="297"/>
      <c r="K71" s="297"/>
      <c r="L71" s="297"/>
      <c r="M71" s="602"/>
      <c r="N71" s="602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</row>
    <row r="72" spans="1:35" ht="13.5" thickBot="1" x14ac:dyDescent="0.25">
      <c r="A72" s="117"/>
      <c r="B72" s="339"/>
      <c r="C72" s="1064" t="s">
        <v>46</v>
      </c>
      <c r="D72" s="1064"/>
      <c r="E72" s="1064"/>
      <c r="F72" s="118">
        <f>F32+F44+F71+F49+F61</f>
        <v>9802311.5354316961</v>
      </c>
      <c r="G72" s="201">
        <f>G32+G44+G71+G49+G61</f>
        <v>57839.964505450509</v>
      </c>
      <c r="H72" s="328"/>
      <c r="I72" s="607"/>
      <c r="J72" s="607"/>
      <c r="K72" s="297"/>
      <c r="L72" s="297"/>
      <c r="M72" s="607"/>
      <c r="N72" s="607"/>
      <c r="O72" s="60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</row>
    <row r="73" spans="1:35" ht="13.5" thickBot="1" x14ac:dyDescent="0.25">
      <c r="A73" s="1035" t="s">
        <v>47</v>
      </c>
      <c r="B73" s="1036"/>
      <c r="C73" s="1036"/>
      <c r="D73" s="1036"/>
      <c r="E73" s="1036"/>
      <c r="F73" s="1036"/>
      <c r="G73" s="1036"/>
      <c r="H73" s="328"/>
      <c r="I73" s="602"/>
      <c r="J73" s="297"/>
      <c r="K73" s="212"/>
      <c r="L73" s="297"/>
      <c r="M73" s="602"/>
      <c r="N73" s="602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</row>
    <row r="74" spans="1:35" ht="13.5" thickBot="1" x14ac:dyDescent="0.25">
      <c r="A74" s="101">
        <v>1</v>
      </c>
      <c r="B74" s="86" t="s">
        <v>80</v>
      </c>
      <c r="C74" s="86"/>
      <c r="D74" s="86"/>
      <c r="E74" s="86"/>
      <c r="F74" s="86"/>
      <c r="G74" s="86"/>
      <c r="H74" s="328"/>
      <c r="I74" s="235" t="s">
        <v>164</v>
      </c>
      <c r="J74" s="266" t="s">
        <v>208</v>
      </c>
      <c r="K74" s="212"/>
      <c r="L74" s="297"/>
      <c r="M74" s="607"/>
      <c r="N74" s="60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</row>
    <row r="75" spans="1:35" x14ac:dyDescent="0.2">
      <c r="A75" s="652"/>
      <c r="B75" s="619" t="s">
        <v>44</v>
      </c>
      <c r="C75" s="653">
        <f>K80*890</f>
        <v>14240</v>
      </c>
      <c r="D75" s="171" t="s">
        <v>10</v>
      </c>
      <c r="E75" s="654">
        <f>[1]Основные!$F$430</f>
        <v>1.6214999999999997</v>
      </c>
      <c r="F75" s="655">
        <f>C75*E75</f>
        <v>23090.159999999996</v>
      </c>
      <c r="G75" s="304">
        <f>C75*H75</f>
        <v>61.231999999999999</v>
      </c>
      <c r="H75" s="328">
        <v>4.3E-3</v>
      </c>
      <c r="I75" s="325" t="s">
        <v>175</v>
      </c>
      <c r="J75" s="266">
        <f>9.6/1000</f>
        <v>9.5999999999999992E-3</v>
      </c>
      <c r="K75" s="212"/>
      <c r="L75" s="297"/>
      <c r="M75" s="602"/>
      <c r="N75" s="602"/>
      <c r="O75" s="297"/>
      <c r="P75" s="212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</row>
    <row r="76" spans="1:35" x14ac:dyDescent="0.2">
      <c r="A76" s="103"/>
      <c r="B76" s="166" t="s">
        <v>77</v>
      </c>
      <c r="C76" s="656">
        <f>(C9+C8)*2/0.5*2</f>
        <v>648</v>
      </c>
      <c r="D76" s="166" t="s">
        <v>10</v>
      </c>
      <c r="E76" s="142">
        <f>[1]Основные!$F$427</f>
        <v>4.1284999999999998</v>
      </c>
      <c r="F76" s="657">
        <f>C76*E76</f>
        <v>2675.268</v>
      </c>
      <c r="G76" s="305">
        <f>H76*C76</f>
        <v>3.1103999999999998</v>
      </c>
      <c r="H76" s="328">
        <v>4.7999999999999996E-3</v>
      </c>
      <c r="I76" s="325" t="s">
        <v>165</v>
      </c>
      <c r="J76" s="266">
        <f>14.57/1000</f>
        <v>1.457E-2</v>
      </c>
      <c r="K76" s="212" t="s">
        <v>324</v>
      </c>
      <c r="L76" s="297"/>
      <c r="M76" s="602"/>
      <c r="N76" s="602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</row>
    <row r="77" spans="1:35" x14ac:dyDescent="0.2">
      <c r="A77" s="103"/>
      <c r="B77" s="466" t="s">
        <v>76</v>
      </c>
      <c r="C77" s="656">
        <f>25*K80</f>
        <v>400</v>
      </c>
      <c r="D77" s="166" t="s">
        <v>10</v>
      </c>
      <c r="E77" s="142">
        <f>[1]Перекупные!$F$54</f>
        <v>12.879999999999999</v>
      </c>
      <c r="F77" s="657">
        <f t="shared" ref="F77:F85" si="7">C77*E77</f>
        <v>5152</v>
      </c>
      <c r="G77" s="305">
        <f t="shared" ref="G77:G85" si="8">H77*C77</f>
        <v>20</v>
      </c>
      <c r="H77" s="328">
        <v>0.05</v>
      </c>
      <c r="I77" s="658" t="s">
        <v>166</v>
      </c>
      <c r="J77" s="266">
        <f>0.02433</f>
        <v>2.4330000000000001E-2</v>
      </c>
      <c r="K77" s="266">
        <v>0.29799999999999999</v>
      </c>
      <c r="L77" s="297" t="s">
        <v>9</v>
      </c>
      <c r="M77" s="607"/>
      <c r="N77" s="60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</row>
    <row r="78" spans="1:35" x14ac:dyDescent="0.2">
      <c r="A78" s="103"/>
      <c r="B78" s="166" t="s">
        <v>11</v>
      </c>
      <c r="C78" s="332">
        <f>C77</f>
        <v>400</v>
      </c>
      <c r="D78" s="166" t="s">
        <v>10</v>
      </c>
      <c r="E78" s="142">
        <f>[1]Перекупные!$F$55</f>
        <v>4.2549999999999999</v>
      </c>
      <c r="F78" s="657">
        <f t="shared" si="7"/>
        <v>1702</v>
      </c>
      <c r="G78" s="305">
        <f t="shared" si="8"/>
        <v>6.4</v>
      </c>
      <c r="H78" s="328">
        <v>1.6E-2</v>
      </c>
      <c r="I78" s="325" t="s">
        <v>325</v>
      </c>
      <c r="J78" s="266">
        <v>2.7470000000000001E-2</v>
      </c>
      <c r="K78" s="297"/>
      <c r="L78" s="297"/>
      <c r="M78" s="607"/>
      <c r="N78" s="60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</row>
    <row r="79" spans="1:35" x14ac:dyDescent="0.2">
      <c r="A79" s="103"/>
      <c r="B79" s="166" t="s">
        <v>12</v>
      </c>
      <c r="C79" s="332">
        <f>C77</f>
        <v>400</v>
      </c>
      <c r="D79" s="166" t="s">
        <v>10</v>
      </c>
      <c r="E79" s="142">
        <f>[1]Перекупные!$F$56</f>
        <v>1.0349999999999999</v>
      </c>
      <c r="F79" s="657">
        <f t="shared" si="7"/>
        <v>413.99999999999994</v>
      </c>
      <c r="G79" s="305">
        <f t="shared" si="8"/>
        <v>2</v>
      </c>
      <c r="H79" s="328">
        <v>5.0000000000000001E-3</v>
      </c>
      <c r="I79" s="235" t="s">
        <v>167</v>
      </c>
      <c r="J79" s="325"/>
      <c r="K79" s="221" t="s">
        <v>193</v>
      </c>
      <c r="L79" s="297"/>
      <c r="M79" s="607" t="s">
        <v>217</v>
      </c>
      <c r="N79" s="607" t="s">
        <v>224</v>
      </c>
      <c r="O79" s="607" t="s">
        <v>216</v>
      </c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</row>
    <row r="80" spans="1:35" x14ac:dyDescent="0.2">
      <c r="A80" s="103"/>
      <c r="B80" s="166"/>
      <c r="C80" s="332"/>
      <c r="D80" s="166"/>
      <c r="E80" s="142"/>
      <c r="F80" s="657"/>
      <c r="G80" s="305"/>
      <c r="H80" s="328"/>
      <c r="I80" s="658" t="s">
        <v>169</v>
      </c>
      <c r="J80" s="266">
        <f>4.81/1000</f>
        <v>4.81E-3</v>
      </c>
      <c r="K80" s="322">
        <f>I17</f>
        <v>16</v>
      </c>
      <c r="L80" s="297" t="s">
        <v>43</v>
      </c>
      <c r="M80" s="607">
        <f>C11</f>
        <v>4</v>
      </c>
      <c r="N80" s="607">
        <f>C9</f>
        <v>60</v>
      </c>
      <c r="O80" s="297">
        <f>C10</f>
        <v>6</v>
      </c>
      <c r="P80" s="212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</row>
    <row r="81" spans="1:35" x14ac:dyDescent="0.2">
      <c r="A81" s="103"/>
      <c r="B81" s="166"/>
      <c r="C81" s="656"/>
      <c r="D81" s="166"/>
      <c r="E81" s="142"/>
      <c r="F81" s="657"/>
      <c r="G81" s="305"/>
      <c r="H81" s="328"/>
      <c r="I81" s="325" t="s">
        <v>168</v>
      </c>
      <c r="J81" s="266">
        <f>5.8/1000</f>
        <v>5.7999999999999996E-3</v>
      </c>
      <c r="K81" s="297"/>
      <c r="L81" s="297"/>
      <c r="M81" s="607"/>
      <c r="N81" s="60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</row>
    <row r="82" spans="1:35" x14ac:dyDescent="0.2">
      <c r="A82" s="103"/>
      <c r="B82" s="166"/>
      <c r="C82" s="656"/>
      <c r="D82" s="166"/>
      <c r="E82" s="142"/>
      <c r="F82" s="657"/>
      <c r="G82" s="305"/>
      <c r="H82" s="328"/>
      <c r="I82" s="325" t="s">
        <v>173</v>
      </c>
      <c r="J82" s="266">
        <f>7.4/1000</f>
        <v>7.4000000000000003E-3</v>
      </c>
      <c r="K82" s="266" t="s">
        <v>176</v>
      </c>
      <c r="L82" s="234">
        <f>SQRT(3*3+M80*M80)</f>
        <v>5</v>
      </c>
      <c r="M82" s="234">
        <f>SQRT(4.5*4.5+M80*M80)</f>
        <v>6.0207972893961479</v>
      </c>
      <c r="N82" s="60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</row>
    <row r="83" spans="1:35" x14ac:dyDescent="0.2">
      <c r="A83" s="103"/>
      <c r="B83" s="166" t="s">
        <v>74</v>
      </c>
      <c r="C83" s="332">
        <f>L88*K80</f>
        <v>10944</v>
      </c>
      <c r="D83" s="166" t="s">
        <v>10</v>
      </c>
      <c r="E83" s="142">
        <f>[1]Перекупные!$F$62</f>
        <v>30.015000000000001</v>
      </c>
      <c r="F83" s="657">
        <f t="shared" si="7"/>
        <v>328484.16000000003</v>
      </c>
      <c r="G83" s="305">
        <f t="shared" si="8"/>
        <v>1313.28</v>
      </c>
      <c r="H83" s="328">
        <v>0.12</v>
      </c>
      <c r="I83" s="325" t="s">
        <v>170</v>
      </c>
      <c r="J83" s="266">
        <f>8.4/1000</f>
        <v>8.4000000000000012E-3</v>
      </c>
      <c r="K83" s="266" t="s">
        <v>177</v>
      </c>
      <c r="L83" s="234">
        <f>SQRT(O80*O80+M80*M80)</f>
        <v>7.2111025509279782</v>
      </c>
      <c r="M83" s="607"/>
      <c r="N83" s="60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</row>
    <row r="84" spans="1:35" x14ac:dyDescent="0.2">
      <c r="A84" s="103"/>
      <c r="B84" s="166" t="s">
        <v>75</v>
      </c>
      <c r="C84" s="332">
        <f>C83</f>
        <v>10944</v>
      </c>
      <c r="D84" s="166" t="s">
        <v>10</v>
      </c>
      <c r="E84" s="142">
        <f>[1]Перекупные!$F$63</f>
        <v>10.637499999999999</v>
      </c>
      <c r="F84" s="657">
        <f t="shared" si="7"/>
        <v>116416.79999999999</v>
      </c>
      <c r="G84" s="305">
        <f t="shared" si="8"/>
        <v>404.928</v>
      </c>
      <c r="H84" s="328">
        <v>3.6999999999999998E-2</v>
      </c>
      <c r="I84" s="420" t="s">
        <v>171</v>
      </c>
      <c r="J84" s="266">
        <f>10.79/1000</f>
        <v>1.0789999999999999E-2</v>
      </c>
      <c r="K84" s="221" t="s">
        <v>192</v>
      </c>
      <c r="L84" s="297"/>
      <c r="M84" s="607"/>
      <c r="N84" s="246" t="s">
        <v>350</v>
      </c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</row>
    <row r="85" spans="1:35" x14ac:dyDescent="0.2">
      <c r="A85" s="103"/>
      <c r="B85" s="166" t="s">
        <v>272</v>
      </c>
      <c r="C85" s="332">
        <f>C83</f>
        <v>10944</v>
      </c>
      <c r="D85" s="166" t="s">
        <v>10</v>
      </c>
      <c r="E85" s="142">
        <f>[1]Перекупные!$F$64</f>
        <v>2.9899999999999998</v>
      </c>
      <c r="F85" s="657">
        <f t="shared" si="7"/>
        <v>32722.559999999998</v>
      </c>
      <c r="G85" s="305">
        <f t="shared" si="8"/>
        <v>120.38399999999999</v>
      </c>
      <c r="H85" s="328">
        <v>1.0999999999999999E-2</v>
      </c>
      <c r="I85" s="325" t="s">
        <v>172</v>
      </c>
      <c r="J85" s="266">
        <f>11.89/1000</f>
        <v>1.1890000000000001E-2</v>
      </c>
      <c r="K85" s="297">
        <v>0</v>
      </c>
      <c r="L85" s="297" t="s">
        <v>43</v>
      </c>
      <c r="M85" s="607"/>
      <c r="N85" s="607">
        <v>5</v>
      </c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</row>
    <row r="86" spans="1:35" s="901" customFormat="1" x14ac:dyDescent="0.2">
      <c r="A86" s="103"/>
      <c r="B86" s="893" t="s">
        <v>88</v>
      </c>
      <c r="C86" s="903">
        <f>(8*(C10+0.5)*J77+0.3*L144+J75*K85*N80)*1.05+J75*L139*0</f>
        <v>1.3284180000000001</v>
      </c>
      <c r="D86" s="893" t="s">
        <v>9</v>
      </c>
      <c r="E86" s="904">
        <v>129600</v>
      </c>
      <c r="F86" s="905">
        <f>C86*E86</f>
        <v>172162.97280000002</v>
      </c>
      <c r="G86" s="906">
        <f>H86*C86</f>
        <v>1328.4180000000001</v>
      </c>
      <c r="H86" s="897">
        <v>1000</v>
      </c>
      <c r="I86" s="907" t="s">
        <v>174</v>
      </c>
      <c r="J86" s="900">
        <f>15.5/1000</f>
        <v>1.55E-2</v>
      </c>
      <c r="K86" s="902"/>
      <c r="L86" s="902"/>
      <c r="M86" s="908"/>
      <c r="N86" s="908"/>
      <c r="O86" s="902"/>
      <c r="P86" s="902"/>
      <c r="Q86" s="902"/>
      <c r="R86" s="902"/>
      <c r="S86" s="902"/>
      <c r="T86" s="902"/>
      <c r="U86" s="902"/>
      <c r="V86" s="902"/>
      <c r="W86" s="902"/>
      <c r="X86" s="902"/>
      <c r="Y86" s="902"/>
      <c r="Z86" s="902"/>
      <c r="AA86" s="902"/>
      <c r="AB86" s="902"/>
      <c r="AC86" s="902"/>
      <c r="AD86" s="902"/>
      <c r="AE86" s="902"/>
      <c r="AF86" s="902"/>
      <c r="AG86" s="902"/>
      <c r="AH86" s="902"/>
      <c r="AI86" s="902"/>
    </row>
    <row r="87" spans="1:35" s="901" customFormat="1" x14ac:dyDescent="0.2">
      <c r="A87" s="307">
        <f>C86+C87+C88</f>
        <v>13.024364189423189</v>
      </c>
      <c r="B87" s="893" t="s">
        <v>106</v>
      </c>
      <c r="C87" s="903">
        <f>((K80-2)*(C8+3*2)*2*J80+(4*3*2)*L82*J83+(2*3*2)*M82*J83+(4*2)*L83*J87)*1.05</f>
        <v>6.6895461894231891</v>
      </c>
      <c r="D87" s="893" t="s">
        <v>9</v>
      </c>
      <c r="E87" s="904">
        <v>132000</v>
      </c>
      <c r="F87" s="905">
        <f>C87*E87</f>
        <v>883020.09700386098</v>
      </c>
      <c r="G87" s="906">
        <f>H87*C87</f>
        <v>6689.5461894231894</v>
      </c>
      <c r="H87" s="897">
        <v>1000</v>
      </c>
      <c r="I87" s="909" t="s">
        <v>209</v>
      </c>
      <c r="J87" s="900">
        <f>19.41/1000</f>
        <v>1.941E-2</v>
      </c>
      <c r="K87" s="902"/>
      <c r="L87" s="902"/>
      <c r="M87" s="908"/>
      <c r="N87" s="908"/>
      <c r="O87" s="902"/>
      <c r="P87" s="902"/>
      <c r="Q87" s="902"/>
      <c r="R87" s="902"/>
      <c r="S87" s="902"/>
      <c r="T87" s="902"/>
      <c r="U87" s="902"/>
      <c r="V87" s="902"/>
      <c r="W87" s="902"/>
      <c r="X87" s="902"/>
      <c r="Y87" s="902"/>
      <c r="Z87" s="902"/>
      <c r="AA87" s="902"/>
      <c r="AB87" s="902"/>
      <c r="AC87" s="902"/>
      <c r="AD87" s="902"/>
      <c r="AE87" s="902"/>
      <c r="AF87" s="902"/>
      <c r="AG87" s="902"/>
      <c r="AH87" s="902"/>
      <c r="AI87" s="902"/>
    </row>
    <row r="88" spans="1:35" s="901" customFormat="1" x14ac:dyDescent="0.2">
      <c r="A88" s="103"/>
      <c r="B88" s="893" t="s">
        <v>107</v>
      </c>
      <c r="C88" s="910">
        <f>K80*K77*1.05</f>
        <v>5.0064000000000002</v>
      </c>
      <c r="D88" s="45" t="s">
        <v>9</v>
      </c>
      <c r="E88" s="911">
        <v>132960</v>
      </c>
      <c r="F88" s="905">
        <f>C88*E88</f>
        <v>665650.94400000002</v>
      </c>
      <c r="G88" s="906">
        <f>H88*C88</f>
        <v>5006.4000000000005</v>
      </c>
      <c r="H88" s="897">
        <v>1000</v>
      </c>
      <c r="I88" s="912">
        <f>[1]Перекупные!$F$12</f>
        <v>179400</v>
      </c>
      <c r="J88" s="902"/>
      <c r="K88" s="900" t="s">
        <v>326</v>
      </c>
      <c r="L88" s="900">
        <f>IF(K85=0,(344+20+(C9/C11+1)*4*N85),(344+20+(C9/C11+1)*4*K85))</f>
        <v>684</v>
      </c>
      <c r="M88" s="907" t="s">
        <v>327</v>
      </c>
      <c r="N88" s="908"/>
      <c r="O88" s="902"/>
      <c r="P88" s="902"/>
      <c r="Q88" s="902"/>
      <c r="R88" s="902"/>
      <c r="S88" s="902"/>
      <c r="T88" s="902"/>
      <c r="U88" s="902"/>
      <c r="V88" s="902"/>
      <c r="W88" s="902"/>
      <c r="X88" s="902"/>
      <c r="Y88" s="902"/>
      <c r="Z88" s="902"/>
      <c r="AA88" s="902"/>
      <c r="AB88" s="902"/>
      <c r="AC88" s="902"/>
      <c r="AD88" s="902"/>
      <c r="AE88" s="902"/>
      <c r="AF88" s="902"/>
      <c r="AG88" s="902"/>
      <c r="AH88" s="902"/>
      <c r="AI88" s="902"/>
    </row>
    <row r="89" spans="1:35" x14ac:dyDescent="0.2">
      <c r="A89" s="103"/>
      <c r="B89" s="166"/>
      <c r="C89" s="659"/>
      <c r="D89" s="363"/>
      <c r="E89" s="143"/>
      <c r="F89" s="657"/>
      <c r="G89" s="305"/>
      <c r="H89" s="328"/>
      <c r="I89" s="838">
        <f>[1]Перекупные!$F$13</f>
        <v>183430</v>
      </c>
      <c r="J89" s="297"/>
      <c r="K89" s="266"/>
      <c r="L89" s="266"/>
      <c r="M89" s="325"/>
      <c r="N89" s="60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</row>
    <row r="90" spans="1:35" ht="13.5" thickBot="1" x14ac:dyDescent="0.25">
      <c r="A90" s="649"/>
      <c r="B90" s="166" t="s">
        <v>72</v>
      </c>
      <c r="C90" s="75">
        <v>0.05</v>
      </c>
      <c r="D90" s="466"/>
      <c r="E90" s="660"/>
      <c r="F90" s="661">
        <f>SUM(F75:F89)*C90</f>
        <v>111574.54809019306</v>
      </c>
      <c r="G90" s="350"/>
      <c r="H90" s="328"/>
      <c r="I90" s="839">
        <f>[1]Перекупные!$F$10</f>
        <v>173650</v>
      </c>
      <c r="J90" s="297"/>
      <c r="K90" s="266" t="s">
        <v>328</v>
      </c>
      <c r="L90" s="266">
        <v>8</v>
      </c>
      <c r="M90" s="325" t="s">
        <v>327</v>
      </c>
      <c r="N90" s="60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</row>
    <row r="91" spans="1:35" ht="13.5" thickBot="1" x14ac:dyDescent="0.25">
      <c r="A91" s="662"/>
      <c r="B91" s="123" t="s">
        <v>81</v>
      </c>
      <c r="C91" s="663"/>
      <c r="D91" s="663"/>
      <c r="E91" s="664"/>
      <c r="F91" s="105">
        <f>SUM(F75:F90)</f>
        <v>2343065.5098940539</v>
      </c>
      <c r="G91" s="208">
        <f>SUM(G75:G90)</f>
        <v>14955.698589423191</v>
      </c>
      <c r="H91" s="328"/>
      <c r="I91" s="607">
        <f>A87/I129</f>
        <v>1.033679697573269E-2</v>
      </c>
      <c r="J91" s="297"/>
      <c r="K91" s="212"/>
      <c r="L91" s="297"/>
      <c r="M91" s="607"/>
      <c r="N91" s="607"/>
      <c r="O91" s="297"/>
      <c r="P91" s="639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</row>
    <row r="92" spans="1:35" ht="13.5" thickBot="1" x14ac:dyDescent="0.25">
      <c r="A92" s="106">
        <v>2</v>
      </c>
      <c r="B92" s="91" t="s">
        <v>86</v>
      </c>
      <c r="C92" s="645"/>
      <c r="D92" s="645"/>
      <c r="E92" s="665"/>
      <c r="F92" s="666"/>
      <c r="G92" s="646"/>
      <c r="H92" s="328"/>
      <c r="I92" s="607"/>
      <c r="J92" s="297"/>
      <c r="K92" s="297"/>
      <c r="L92" s="297"/>
      <c r="M92" s="607"/>
      <c r="N92" s="60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</row>
    <row r="93" spans="1:35" x14ac:dyDescent="0.2">
      <c r="A93" s="422"/>
      <c r="B93" s="171" t="s">
        <v>45</v>
      </c>
      <c r="C93" s="653">
        <f>10*(C40+C42)</f>
        <v>24552.000000000004</v>
      </c>
      <c r="D93" s="171" t="s">
        <v>10</v>
      </c>
      <c r="E93" s="847">
        <f>IF(I3=2,J94,K94)</f>
        <v>2.3459999999999996</v>
      </c>
      <c r="F93" s="657">
        <f t="shared" ref="F93:F95" si="9">C93*E93</f>
        <v>57598.991999999998</v>
      </c>
      <c r="G93" s="291">
        <f t="shared" ref="G93:G95" si="10">H93*C93</f>
        <v>63.835200000000007</v>
      </c>
      <c r="H93" s="328">
        <v>2.5999999999999999E-3</v>
      </c>
      <c r="I93" s="325"/>
      <c r="J93" s="244" t="s">
        <v>196</v>
      </c>
      <c r="K93" s="244" t="s">
        <v>195</v>
      </c>
      <c r="L93" s="297"/>
      <c r="M93" s="607"/>
      <c r="N93" s="60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</row>
    <row r="94" spans="1:35" x14ac:dyDescent="0.2">
      <c r="A94" s="424"/>
      <c r="B94" s="502" t="s">
        <v>108</v>
      </c>
      <c r="C94" s="667">
        <f>IF(G9=4,K80*(C8+0.5+2*C10)*0.2,0)</f>
        <v>0</v>
      </c>
      <c r="D94" s="502" t="s">
        <v>33</v>
      </c>
      <c r="E94" s="426">
        <f>[1]Основные!$F$38</f>
        <v>1786.4</v>
      </c>
      <c r="F94" s="657">
        <f t="shared" si="9"/>
        <v>0</v>
      </c>
      <c r="G94" s="291">
        <f t="shared" si="10"/>
        <v>0</v>
      </c>
      <c r="H94" s="328">
        <v>14</v>
      </c>
      <c r="I94" s="166" t="s">
        <v>45</v>
      </c>
      <c r="J94" s="267">
        <f>[1]Основные!$F$425</f>
        <v>2.3459999999999996</v>
      </c>
      <c r="K94" s="267">
        <f>[1]Основные!$F$426</f>
        <v>1.8974999999999997</v>
      </c>
      <c r="L94" s="297"/>
      <c r="M94" s="607"/>
      <c r="N94" s="60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</row>
    <row r="95" spans="1:35" x14ac:dyDescent="0.2">
      <c r="A95" s="103"/>
      <c r="B95" s="172" t="s">
        <v>89</v>
      </c>
      <c r="C95" s="668">
        <f>2*(C8+C9)*(C10+0.5)*E15/1000*1.05+C8*2*E15/1000*1.05</f>
        <v>172.46250000000001</v>
      </c>
      <c r="D95" s="363" t="s">
        <v>48</v>
      </c>
      <c r="E95" s="143">
        <f>J99</f>
        <v>4140</v>
      </c>
      <c r="F95" s="657">
        <f t="shared" si="9"/>
        <v>713994.75</v>
      </c>
      <c r="G95" s="291">
        <f t="shared" si="10"/>
        <v>5173.875</v>
      </c>
      <c r="H95" s="328">
        <v>30</v>
      </c>
      <c r="I95" s="669"/>
      <c r="J95" s="244">
        <v>5</v>
      </c>
      <c r="K95" s="268" t="s">
        <v>197</v>
      </c>
      <c r="L95" s="244">
        <v>2</v>
      </c>
      <c r="M95" s="297"/>
      <c r="N95" s="669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</row>
    <row r="96" spans="1:35" x14ac:dyDescent="0.2">
      <c r="A96" s="103"/>
      <c r="B96" s="822" t="str">
        <f>L132</f>
        <v>с\з 5,5х240</v>
      </c>
      <c r="C96" s="656">
        <f>C97/I101*6*1.1</f>
        <v>1382.5350000000003</v>
      </c>
      <c r="D96" s="363" t="s">
        <v>10</v>
      </c>
      <c r="E96" s="143">
        <f>M132</f>
        <v>145.69999999999999</v>
      </c>
      <c r="F96" s="657"/>
      <c r="G96" s="291"/>
      <c r="H96" s="328">
        <v>0.05</v>
      </c>
      <c r="I96" s="669"/>
      <c r="J96" s="244"/>
      <c r="K96" s="268"/>
      <c r="L96" s="244"/>
      <c r="M96" s="297"/>
      <c r="N96" s="669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</row>
    <row r="97" spans="1:35" x14ac:dyDescent="0.2">
      <c r="A97" s="103"/>
      <c r="B97" s="820" t="str">
        <f>L126</f>
        <v>СП 200</v>
      </c>
      <c r="C97" s="668">
        <f>(C8+C9)*2*(C10+1)*1.05+C8*3*1.05</f>
        <v>1256.8500000000001</v>
      </c>
      <c r="D97" s="363" t="s">
        <v>33</v>
      </c>
      <c r="E97" s="143">
        <f>M126</f>
        <v>5137</v>
      </c>
      <c r="F97" s="657"/>
      <c r="G97" s="291"/>
      <c r="H97" s="328">
        <f>O126</f>
        <v>29.6</v>
      </c>
      <c r="I97" s="669"/>
      <c r="J97" s="244"/>
      <c r="K97" s="268"/>
      <c r="L97" s="244"/>
      <c r="M97" s="297"/>
      <c r="N97" s="669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</row>
    <row r="98" spans="1:35" x14ac:dyDescent="0.2">
      <c r="A98" s="103"/>
      <c r="B98" s="360" t="s">
        <v>362</v>
      </c>
      <c r="C98" s="85">
        <f>C96/I101*(I101+1)*1.1*2</f>
        <v>3548.5065000000009</v>
      </c>
      <c r="D98" s="3" t="s">
        <v>8</v>
      </c>
      <c r="E98" s="168">
        <f>[1]Перекупные!$F$85</f>
        <v>63.249999999999993</v>
      </c>
      <c r="F98" s="657"/>
      <c r="G98" s="291"/>
      <c r="H98" s="270"/>
      <c r="I98" s="669"/>
      <c r="J98" s="244"/>
      <c r="K98" s="268"/>
      <c r="L98" s="394"/>
      <c r="M98" s="297"/>
      <c r="N98" s="669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</row>
    <row r="99" spans="1:35" x14ac:dyDescent="0.2">
      <c r="A99" s="103"/>
      <c r="B99" s="670" t="s">
        <v>101</v>
      </c>
      <c r="C99" s="668">
        <f>(C8+C9)*2*C10</f>
        <v>972</v>
      </c>
      <c r="D99" s="363" t="s">
        <v>33</v>
      </c>
      <c r="E99" s="143">
        <f>J105</f>
        <v>280.59999999999997</v>
      </c>
      <c r="F99" s="657"/>
      <c r="G99" s="291"/>
      <c r="H99" s="328">
        <v>18</v>
      </c>
      <c r="I99" s="671" t="s">
        <v>89</v>
      </c>
      <c r="J99" s="258">
        <f>[1]Основные!$F$161</f>
        <v>4140</v>
      </c>
      <c r="K99" s="258">
        <f>[1]Основные!$F$162</f>
        <v>4150</v>
      </c>
      <c r="L99" s="395">
        <f>[1]Основные!$F$160</f>
        <v>4650</v>
      </c>
      <c r="M99" s="297"/>
      <c r="N99" s="669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</row>
    <row r="100" spans="1:35" ht="13.5" thickBot="1" x14ac:dyDescent="0.25">
      <c r="A100" s="103"/>
      <c r="B100" s="166" t="s">
        <v>102</v>
      </c>
      <c r="C100" s="668">
        <f>20*C99</f>
        <v>19440</v>
      </c>
      <c r="D100" s="363" t="s">
        <v>10</v>
      </c>
      <c r="E100" s="143">
        <f>[1]Перекупные!$F$29</f>
        <v>0.91999999999999993</v>
      </c>
      <c r="F100" s="657"/>
      <c r="G100" s="291"/>
      <c r="H100" s="328">
        <v>3.0000000000000001E-3</v>
      </c>
      <c r="I100" s="669"/>
      <c r="J100" s="224">
        <f>[1]Основные!$F$158</f>
        <v>3450</v>
      </c>
      <c r="K100" s="192"/>
      <c r="L100" s="192"/>
      <c r="M100" s="297"/>
      <c r="N100" s="669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</row>
    <row r="101" spans="1:35" ht="13.5" thickBot="1" x14ac:dyDescent="0.25">
      <c r="A101" s="103"/>
      <c r="B101" s="502" t="s">
        <v>223</v>
      </c>
      <c r="C101" s="668">
        <f>C99/0.6</f>
        <v>1620</v>
      </c>
      <c r="D101" s="363" t="s">
        <v>8</v>
      </c>
      <c r="E101" s="143">
        <f>[1]Перекупные!$F$79</f>
        <v>241.5</v>
      </c>
      <c r="F101" s="657"/>
      <c r="G101" s="291"/>
      <c r="H101" s="328">
        <v>0.7</v>
      </c>
      <c r="I101" s="865">
        <v>6</v>
      </c>
      <c r="J101" s="866" t="s">
        <v>361</v>
      </c>
      <c r="K101" s="297"/>
      <c r="L101" s="297"/>
      <c r="M101" s="297"/>
      <c r="N101" s="669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</row>
    <row r="102" spans="1:35" x14ac:dyDescent="0.2">
      <c r="A102" s="103"/>
      <c r="B102" s="169" t="s">
        <v>104</v>
      </c>
      <c r="C102" s="672">
        <f>(C8+C9)*2*(C10+0.5)*1.2</f>
        <v>1263.5999999999999</v>
      </c>
      <c r="D102" s="45" t="s">
        <v>33</v>
      </c>
      <c r="E102" s="144">
        <f>[1]Основные!$F$169</f>
        <v>42</v>
      </c>
      <c r="F102" s="657">
        <f t="shared" ref="F102:F103" si="11">C102*E102</f>
        <v>53071.199999999997</v>
      </c>
      <c r="G102" s="291">
        <f t="shared" ref="G102:G103" si="12">H102*C102</f>
        <v>252.72</v>
      </c>
      <c r="H102" s="328">
        <v>0.2</v>
      </c>
      <c r="I102" s="669"/>
      <c r="J102" s="297"/>
      <c r="K102" s="297"/>
      <c r="L102" s="297"/>
      <c r="M102" s="297"/>
      <c r="N102" s="669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</row>
    <row r="103" spans="1:35" x14ac:dyDescent="0.2">
      <c r="A103" s="103"/>
      <c r="B103" s="45" t="s">
        <v>105</v>
      </c>
      <c r="C103" s="673">
        <f>C102</f>
        <v>1263.5999999999999</v>
      </c>
      <c r="D103" s="45" t="s">
        <v>33</v>
      </c>
      <c r="E103" s="144">
        <f>[1]Основные!$F$168</f>
        <v>89.14</v>
      </c>
      <c r="F103" s="657">
        <f t="shared" si="11"/>
        <v>112637.30399999999</v>
      </c>
      <c r="G103" s="291">
        <f t="shared" si="12"/>
        <v>252.72</v>
      </c>
      <c r="H103" s="328">
        <v>0.2</v>
      </c>
      <c r="I103" s="669"/>
      <c r="J103" s="297"/>
      <c r="K103" s="297"/>
      <c r="L103" s="297"/>
      <c r="M103" s="297"/>
      <c r="N103" s="669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</row>
    <row r="104" spans="1:35" x14ac:dyDescent="0.2">
      <c r="A104" s="649"/>
      <c r="B104" s="166" t="s">
        <v>72</v>
      </c>
      <c r="C104" s="75">
        <v>0.05</v>
      </c>
      <c r="D104" s="466"/>
      <c r="E104" s="660"/>
      <c r="F104" s="661">
        <f>SUM(F93:F103)*C104</f>
        <v>46865.112300000001</v>
      </c>
      <c r="G104" s="350"/>
      <c r="H104" s="328"/>
      <c r="I104" s="669"/>
      <c r="J104" s="297"/>
      <c r="K104" s="297"/>
      <c r="L104" s="297"/>
      <c r="M104" s="297"/>
      <c r="N104" s="669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</row>
    <row r="105" spans="1:35" ht="13.5" thickBot="1" x14ac:dyDescent="0.25">
      <c r="A105" s="662"/>
      <c r="B105" s="123" t="s">
        <v>87</v>
      </c>
      <c r="C105" s="663"/>
      <c r="D105" s="663"/>
      <c r="E105" s="664"/>
      <c r="F105" s="105">
        <f>SUM(F93:F104)</f>
        <v>984167.35829999996</v>
      </c>
      <c r="G105" s="208">
        <f>SUM(G93:G104)</f>
        <v>5743.150200000001</v>
      </c>
      <c r="H105" s="328"/>
      <c r="I105" s="325" t="s">
        <v>198</v>
      </c>
      <c r="J105" s="219">
        <f>[1]Перекупные!$F$25</f>
        <v>280.59999999999997</v>
      </c>
      <c r="K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</row>
    <row r="106" spans="1:35" ht="0.95" customHeight="1" x14ac:dyDescent="0.2">
      <c r="A106" s="308">
        <v>3</v>
      </c>
      <c r="B106" s="129" t="s">
        <v>93</v>
      </c>
      <c r="C106" s="645"/>
      <c r="D106" s="645"/>
      <c r="E106" s="665"/>
      <c r="F106" s="161"/>
      <c r="G106" s="162"/>
      <c r="H106" s="328"/>
      <c r="I106" s="325" t="s">
        <v>199</v>
      </c>
      <c r="J106" s="219"/>
      <c r="K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</row>
    <row r="107" spans="1:35" hidden="1" x14ac:dyDescent="0.2">
      <c r="A107" s="466"/>
      <c r="B107" s="413" t="s">
        <v>7</v>
      </c>
      <c r="C107" s="466">
        <f>D157</f>
        <v>0</v>
      </c>
      <c r="D107" s="466" t="s">
        <v>10</v>
      </c>
      <c r="E107" s="637">
        <f>[1]Основные!$F$428</f>
        <v>0.60949999999999993</v>
      </c>
      <c r="F107" s="661">
        <f>C107*E107</f>
        <v>0</v>
      </c>
      <c r="G107" s="675">
        <f>C107*H107</f>
        <v>0</v>
      </c>
      <c r="H107" s="328">
        <v>2E-3</v>
      </c>
      <c r="I107" s="325" t="s">
        <v>200</v>
      </c>
      <c r="J107" s="219">
        <f>[1]Перекупные!$F$23</f>
        <v>337.71666666666664</v>
      </c>
      <c r="K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</row>
    <row r="108" spans="1:35" hidden="1" x14ac:dyDescent="0.2">
      <c r="A108" s="466"/>
      <c r="B108" s="413" t="s">
        <v>61</v>
      </c>
      <c r="C108" s="466">
        <f>D158</f>
        <v>0</v>
      </c>
      <c r="D108" s="466" t="s">
        <v>48</v>
      </c>
      <c r="E108" s="674">
        <f>E95</f>
        <v>4140</v>
      </c>
      <c r="F108" s="661">
        <f t="shared" ref="F108:F114" si="13">C108*E108</f>
        <v>0</v>
      </c>
      <c r="G108" s="675">
        <f t="shared" ref="G108:G114" si="14">C108*H108</f>
        <v>0</v>
      </c>
      <c r="H108" s="328">
        <v>30</v>
      </c>
      <c r="I108" s="607"/>
      <c r="J108" s="297"/>
      <c r="K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</row>
    <row r="109" spans="1:35" hidden="1" x14ac:dyDescent="0.2">
      <c r="A109" s="466"/>
      <c r="B109" s="821" t="str">
        <f>L122</f>
        <v>СП 100</v>
      </c>
      <c r="C109" s="622">
        <f>E17</f>
        <v>0</v>
      </c>
      <c r="D109" s="466" t="s">
        <v>33</v>
      </c>
      <c r="E109" s="674">
        <f>M122</f>
        <v>4185.5</v>
      </c>
      <c r="F109" s="661"/>
      <c r="G109" s="675"/>
      <c r="H109" s="328"/>
      <c r="I109" s="817"/>
      <c r="J109" s="297"/>
      <c r="K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</row>
    <row r="110" spans="1:35" hidden="1" x14ac:dyDescent="0.2">
      <c r="A110" s="466"/>
      <c r="B110" s="822" t="str">
        <f>L131</f>
        <v>с\з 5,5х160</v>
      </c>
      <c r="C110" s="466">
        <f>8*C109</f>
        <v>0</v>
      </c>
      <c r="D110" s="466" t="s">
        <v>10</v>
      </c>
      <c r="E110" s="674">
        <f>M131</f>
        <v>71.099999999999994</v>
      </c>
      <c r="F110" s="661"/>
      <c r="G110" s="675"/>
      <c r="H110" s="328"/>
      <c r="I110" s="817"/>
      <c r="J110" s="297"/>
      <c r="K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</row>
    <row r="111" spans="1:35" hidden="1" x14ac:dyDescent="0.2">
      <c r="A111" s="466"/>
      <c r="B111" s="360" t="s">
        <v>362</v>
      </c>
      <c r="C111" s="3">
        <f>C109/I101*(I101+1)*1.1*2</f>
        <v>0</v>
      </c>
      <c r="D111" s="3" t="s">
        <v>8</v>
      </c>
      <c r="E111" s="168">
        <f>E98</f>
        <v>63.249999999999993</v>
      </c>
      <c r="F111" s="163"/>
      <c r="G111" s="309"/>
      <c r="H111" s="270"/>
      <c r="I111" s="869"/>
      <c r="J111" s="297"/>
      <c r="K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</row>
    <row r="112" spans="1:35" hidden="1" x14ac:dyDescent="0.2">
      <c r="A112" s="466"/>
      <c r="B112" s="670" t="str">
        <f>I94</f>
        <v>Саморез 4,8x20</v>
      </c>
      <c r="C112" s="466">
        <f>8*C47</f>
        <v>0</v>
      </c>
      <c r="D112" s="466" t="s">
        <v>10</v>
      </c>
      <c r="E112" s="674">
        <f>J94</f>
        <v>2.3459999999999996</v>
      </c>
      <c r="F112" s="661"/>
      <c r="G112" s="675"/>
      <c r="H112" s="328">
        <f>H93</f>
        <v>2.5999999999999999E-3</v>
      </c>
      <c r="I112" s="817"/>
      <c r="J112" s="297"/>
      <c r="K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</row>
    <row r="113" spans="1:35" hidden="1" x14ac:dyDescent="0.2">
      <c r="A113" s="466"/>
      <c r="B113" s="670" t="s">
        <v>101</v>
      </c>
      <c r="C113" s="466">
        <f>E17*2</f>
        <v>0</v>
      </c>
      <c r="D113" s="466" t="s">
        <v>33</v>
      </c>
      <c r="E113" s="674">
        <f>E99</f>
        <v>280.59999999999997</v>
      </c>
      <c r="F113" s="661">
        <f t="shared" si="13"/>
        <v>0</v>
      </c>
      <c r="G113" s="675">
        <f t="shared" si="14"/>
        <v>0</v>
      </c>
      <c r="H113" s="328">
        <v>10</v>
      </c>
      <c r="I113" s="607"/>
      <c r="J113" s="297"/>
      <c r="K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</row>
    <row r="114" spans="1:35" ht="13.5" hidden="1" thickBot="1" x14ac:dyDescent="0.25">
      <c r="A114" s="466"/>
      <c r="B114" s="640" t="s">
        <v>102</v>
      </c>
      <c r="C114" s="466">
        <f>C113*20</f>
        <v>0</v>
      </c>
      <c r="D114" s="466" t="s">
        <v>10</v>
      </c>
      <c r="E114" s="674">
        <f>E100</f>
        <v>0.91999999999999993</v>
      </c>
      <c r="F114" s="661">
        <f t="shared" si="13"/>
        <v>0</v>
      </c>
      <c r="G114" s="675">
        <f t="shared" si="14"/>
        <v>0</v>
      </c>
      <c r="H114" s="328">
        <v>3.0000000000000001E-3</v>
      </c>
      <c r="I114" s="607"/>
      <c r="J114" s="297"/>
      <c r="K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</row>
    <row r="115" spans="1:35" hidden="1" x14ac:dyDescent="0.2">
      <c r="A115" s="466"/>
      <c r="B115" s="166" t="s">
        <v>72</v>
      </c>
      <c r="C115" s="75">
        <v>0.05</v>
      </c>
      <c r="D115" s="466"/>
      <c r="E115" s="660"/>
      <c r="F115" s="661">
        <f>SUM(F107:F114)*C115</f>
        <v>0</v>
      </c>
      <c r="G115" s="651"/>
      <c r="H115" s="328"/>
      <c r="I115" s="607"/>
      <c r="J115" s="297"/>
      <c r="K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</row>
    <row r="116" spans="1:35" hidden="1" x14ac:dyDescent="0.2">
      <c r="A116" s="466"/>
      <c r="B116" s="90" t="s">
        <v>100</v>
      </c>
      <c r="C116" s="466"/>
      <c r="D116" s="466"/>
      <c r="E116" s="660"/>
      <c r="F116" s="95">
        <f>SUM(F107:F115)</f>
        <v>0</v>
      </c>
      <c r="G116" s="209">
        <f>SUM(G107:G115)</f>
        <v>0</v>
      </c>
      <c r="H116" s="328"/>
      <c r="I116" s="607"/>
      <c r="J116" s="297"/>
      <c r="K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</row>
    <row r="117" spans="1:35" ht="13.5" thickBot="1" x14ac:dyDescent="0.25">
      <c r="A117" s="106">
        <v>3</v>
      </c>
      <c r="B117" s="91" t="s">
        <v>84</v>
      </c>
      <c r="C117" s="645"/>
      <c r="D117" s="645"/>
      <c r="E117" s="665"/>
      <c r="F117" s="666"/>
      <c r="G117" s="646"/>
      <c r="H117" s="328"/>
      <c r="I117" s="607"/>
      <c r="J117" s="297"/>
      <c r="K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</row>
    <row r="118" spans="1:35" x14ac:dyDescent="0.2">
      <c r="A118" s="676"/>
      <c r="B118" s="171" t="s">
        <v>45</v>
      </c>
      <c r="C118" s="653">
        <f>(C66+C67)*8</f>
        <v>22682.880000000005</v>
      </c>
      <c r="D118" s="677" t="s">
        <v>10</v>
      </c>
      <c r="E118" s="848">
        <f>E93</f>
        <v>2.3459999999999996</v>
      </c>
      <c r="F118" s="661">
        <f>C118*E118</f>
        <v>53214.036480000002</v>
      </c>
      <c r="G118" s="680">
        <f>H118*C118</f>
        <v>58.975488000000013</v>
      </c>
      <c r="H118" s="328">
        <f>H93</f>
        <v>2.5999999999999999E-3</v>
      </c>
      <c r="I118" s="607"/>
      <c r="J118" s="297"/>
      <c r="K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</row>
    <row r="119" spans="1:35" x14ac:dyDescent="0.2">
      <c r="A119" s="678"/>
      <c r="B119" s="821" t="str">
        <f>L126</f>
        <v>СП 200</v>
      </c>
      <c r="C119" s="667">
        <f>I129*1.1</f>
        <v>1386</v>
      </c>
      <c r="D119" s="634" t="s">
        <v>33</v>
      </c>
      <c r="E119" s="679">
        <f>N126</f>
        <v>5417.5</v>
      </c>
      <c r="F119" s="661"/>
      <c r="G119" s="680"/>
      <c r="H119" s="328">
        <f>O126</f>
        <v>29.6</v>
      </c>
      <c r="I119" s="607"/>
      <c r="J119" s="297"/>
      <c r="K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</row>
    <row r="120" spans="1:35" x14ac:dyDescent="0.2">
      <c r="A120" s="678"/>
      <c r="B120" s="822" t="str">
        <f>L132</f>
        <v>с\з 5,5х240</v>
      </c>
      <c r="C120" s="667">
        <f>I120*4*C9*1.1</f>
        <v>2640</v>
      </c>
      <c r="D120" s="634" t="s">
        <v>10</v>
      </c>
      <c r="E120" s="679">
        <f>M132</f>
        <v>145.69999999999999</v>
      </c>
      <c r="F120" s="661"/>
      <c r="G120" s="680"/>
      <c r="H120" s="328"/>
      <c r="I120" s="296">
        <v>10</v>
      </c>
      <c r="J120" s="809" t="s">
        <v>360</v>
      </c>
      <c r="K120" s="297"/>
      <c r="L120" s="3"/>
      <c r="M120" s="226" t="s">
        <v>82</v>
      </c>
      <c r="N120" s="226" t="s">
        <v>84</v>
      </c>
      <c r="O120" s="219" t="s">
        <v>255</v>
      </c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</row>
    <row r="121" spans="1:35" x14ac:dyDescent="0.2">
      <c r="A121" s="649"/>
      <c r="B121" s="166" t="s">
        <v>89</v>
      </c>
      <c r="C121" s="668">
        <f>(C8+0.3)*C9*E14/1000*1.05</f>
        <v>268.38</v>
      </c>
      <c r="D121" s="466" t="s">
        <v>48</v>
      </c>
      <c r="E121" s="146">
        <f>J99</f>
        <v>4140</v>
      </c>
      <c r="F121" s="661">
        <f t="shared" ref="F121:F127" si="15">C121*E121</f>
        <v>1111093.2</v>
      </c>
      <c r="G121" s="680">
        <f t="shared" ref="G121:G127" si="16">H121*C121</f>
        <v>8051.4</v>
      </c>
      <c r="H121" s="328">
        <v>30</v>
      </c>
      <c r="I121" s="607"/>
      <c r="J121" s="297"/>
      <c r="K121" s="297"/>
      <c r="L121" s="396" t="s">
        <v>249</v>
      </c>
      <c r="M121" s="226">
        <f>[1]СП!$B$4</f>
        <v>4048.0000000000005</v>
      </c>
      <c r="N121" s="219">
        <f>[1]СП!$C$4</f>
        <v>2920</v>
      </c>
      <c r="O121" s="219">
        <f>[1]СП!$D$4</f>
        <v>18.2</v>
      </c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</row>
    <row r="122" spans="1:35" x14ac:dyDescent="0.2">
      <c r="A122" s="649"/>
      <c r="B122" s="820" t="s">
        <v>109</v>
      </c>
      <c r="C122" s="668">
        <f>2.5*(C8+0.5+2*C10)*K80</f>
        <v>1340</v>
      </c>
      <c r="D122" s="466" t="s">
        <v>33</v>
      </c>
      <c r="E122" s="146">
        <f>E113</f>
        <v>280.59999999999997</v>
      </c>
      <c r="F122" s="661"/>
      <c r="G122" s="680"/>
      <c r="H122" s="328">
        <v>10</v>
      </c>
      <c r="I122" s="607"/>
      <c r="J122" s="297"/>
      <c r="K122" s="297"/>
      <c r="L122" s="396" t="s">
        <v>250</v>
      </c>
      <c r="M122" s="226">
        <f>[1]СП!$B$5</f>
        <v>4185.5</v>
      </c>
      <c r="N122" s="219">
        <f>[1]СП!$C$5</f>
        <v>4471.5</v>
      </c>
      <c r="O122" s="219">
        <f>[1]СП!$D$5</f>
        <v>20.100000000000001</v>
      </c>
      <c r="P122" s="316"/>
    </row>
    <row r="123" spans="1:35" x14ac:dyDescent="0.2">
      <c r="A123" s="649"/>
      <c r="B123" s="820" t="s">
        <v>102</v>
      </c>
      <c r="C123" s="668">
        <f>30*C122</f>
        <v>40200</v>
      </c>
      <c r="D123" s="466" t="s">
        <v>33</v>
      </c>
      <c r="E123" s="146">
        <f>E114</f>
        <v>0.91999999999999993</v>
      </c>
      <c r="F123" s="661"/>
      <c r="G123" s="680"/>
      <c r="H123" s="328">
        <f>H100</f>
        <v>3.0000000000000001E-3</v>
      </c>
      <c r="I123" s="607"/>
      <c r="J123" s="297"/>
      <c r="K123" s="297"/>
      <c r="L123" s="791" t="s">
        <v>251</v>
      </c>
      <c r="M123" s="792">
        <f>[1]СП!$B$7</f>
        <v>4746.5</v>
      </c>
      <c r="N123" s="793">
        <f>[1]СП!$C$7</f>
        <v>4983</v>
      </c>
      <c r="O123" s="793">
        <f>[1]СП!$D$7</f>
        <v>24.85</v>
      </c>
      <c r="P123" s="316"/>
    </row>
    <row r="124" spans="1:35" x14ac:dyDescent="0.2">
      <c r="A124" s="649"/>
      <c r="B124" s="360" t="s">
        <v>362</v>
      </c>
      <c r="C124" s="85">
        <f>C9/1*J16*1.1*2</f>
        <v>2869.6835441924418</v>
      </c>
      <c r="D124" s="3" t="s">
        <v>8</v>
      </c>
      <c r="E124" s="168">
        <f>E111</f>
        <v>63.249999999999993</v>
      </c>
      <c r="F124" s="661"/>
      <c r="G124" s="680"/>
      <c r="H124" s="270"/>
      <c r="I124" s="869"/>
      <c r="J124" s="297"/>
      <c r="K124" s="297"/>
      <c r="L124" s="791"/>
      <c r="M124" s="792"/>
      <c r="N124" s="793"/>
      <c r="O124" s="793"/>
      <c r="P124" s="316"/>
    </row>
    <row r="125" spans="1:35" x14ac:dyDescent="0.2">
      <c r="A125" s="649"/>
      <c r="B125" s="166" t="s">
        <v>122</v>
      </c>
      <c r="C125" s="668">
        <f>C24</f>
        <v>1929.6</v>
      </c>
      <c r="D125" s="466" t="s">
        <v>8</v>
      </c>
      <c r="E125" s="146">
        <f>[1]Перекупные!$F$18</f>
        <v>69</v>
      </c>
      <c r="F125" s="661">
        <f t="shared" si="15"/>
        <v>133142.39999999999</v>
      </c>
      <c r="G125" s="680">
        <f t="shared" si="16"/>
        <v>0</v>
      </c>
      <c r="H125" s="328"/>
      <c r="I125" s="607"/>
      <c r="J125" s="297"/>
      <c r="K125" s="297"/>
      <c r="L125" s="396" t="s">
        <v>252</v>
      </c>
      <c r="M125" s="397">
        <f>[1]СП!$B$6</f>
        <v>4449.5</v>
      </c>
      <c r="N125" s="219">
        <f>[1]СП!$C$6</f>
        <v>4730</v>
      </c>
      <c r="O125" s="219">
        <f>[1]СП!$D$6</f>
        <v>22</v>
      </c>
      <c r="P125" s="316"/>
    </row>
    <row r="126" spans="1:35" x14ac:dyDescent="0.2">
      <c r="A126" s="649"/>
      <c r="B126" s="169" t="s">
        <v>104</v>
      </c>
      <c r="C126" s="672">
        <f>C8*(C9)*1.25</f>
        <v>1575</v>
      </c>
      <c r="D126" s="466" t="s">
        <v>33</v>
      </c>
      <c r="E126" s="146">
        <f>E102</f>
        <v>42</v>
      </c>
      <c r="F126" s="661">
        <f t="shared" si="15"/>
        <v>66150</v>
      </c>
      <c r="G126" s="680">
        <f t="shared" si="16"/>
        <v>315</v>
      </c>
      <c r="H126" s="328">
        <v>0.2</v>
      </c>
      <c r="I126" s="607"/>
      <c r="J126" s="297"/>
      <c r="K126" s="297"/>
      <c r="L126" s="791" t="s">
        <v>253</v>
      </c>
      <c r="M126" s="794">
        <f>[1]СП!$B$9</f>
        <v>5137</v>
      </c>
      <c r="N126" s="793">
        <f>[1]СП!$C$9</f>
        <v>5417.5</v>
      </c>
      <c r="O126" s="793">
        <f>[1]СП!$D$9</f>
        <v>29.6</v>
      </c>
      <c r="P126" s="316"/>
    </row>
    <row r="127" spans="1:35" x14ac:dyDescent="0.2">
      <c r="A127" s="103"/>
      <c r="B127" s="45" t="s">
        <v>105</v>
      </c>
      <c r="C127" s="673">
        <f>C8*C9*1.25</f>
        <v>1575</v>
      </c>
      <c r="D127" s="45" t="s">
        <v>33</v>
      </c>
      <c r="E127" s="144">
        <f>E103</f>
        <v>89.14</v>
      </c>
      <c r="F127" s="661">
        <f t="shared" si="15"/>
        <v>140395.5</v>
      </c>
      <c r="G127" s="680">
        <f t="shared" si="16"/>
        <v>315</v>
      </c>
      <c r="H127" s="328">
        <v>0.2</v>
      </c>
      <c r="I127" s="607"/>
      <c r="J127" s="297"/>
      <c r="K127" s="297"/>
      <c r="L127" s="396" t="s">
        <v>254</v>
      </c>
      <c r="M127" s="397">
        <f>[1]СП!$I$11</f>
        <v>6682.5000000000009</v>
      </c>
      <c r="N127" s="219">
        <f>[1]СП!$K$11</f>
        <v>6979.5000000000009</v>
      </c>
      <c r="O127" s="219">
        <f>[1]СП!$L$11</f>
        <v>36.85</v>
      </c>
      <c r="P127" s="316"/>
    </row>
    <row r="128" spans="1:35" x14ac:dyDescent="0.2">
      <c r="A128" s="649"/>
      <c r="B128" s="166" t="s">
        <v>72</v>
      </c>
      <c r="C128" s="75">
        <v>0.05</v>
      </c>
      <c r="D128" s="466"/>
      <c r="E128" s="660"/>
      <c r="F128" s="657">
        <f>SUM(F118:F127)*C128</f>
        <v>75199.756823999996</v>
      </c>
      <c r="G128" s="681"/>
      <c r="H128" s="328"/>
      <c r="I128" s="246" t="s">
        <v>201</v>
      </c>
      <c r="J128" s="297"/>
      <c r="K128" s="297"/>
      <c r="L128" s="219" t="s">
        <v>256</v>
      </c>
      <c r="M128" s="833">
        <f>[1]СП!$B$19</f>
        <v>43.1</v>
      </c>
      <c r="N128" s="192"/>
      <c r="O128" s="192"/>
      <c r="P128" s="316"/>
    </row>
    <row r="129" spans="1:18" x14ac:dyDescent="0.2">
      <c r="A129" s="649"/>
      <c r="B129" s="90" t="s">
        <v>85</v>
      </c>
      <c r="C129" s="466"/>
      <c r="D129" s="466"/>
      <c r="E129" s="622"/>
      <c r="F129" s="95">
        <f>SUM(F118:F128)</f>
        <v>1579194.8933039999</v>
      </c>
      <c r="G129" s="203">
        <f>SUM(G118:G128)</f>
        <v>8740.3754879999997</v>
      </c>
      <c r="H129" s="328"/>
      <c r="I129" s="607">
        <f>C8*C9</f>
        <v>1260</v>
      </c>
      <c r="J129" s="297" t="s">
        <v>202</v>
      </c>
      <c r="K129" s="297"/>
      <c r="L129" s="219" t="s">
        <v>257</v>
      </c>
      <c r="M129" s="833">
        <f>[1]СП!$B$20</f>
        <v>51.9</v>
      </c>
      <c r="N129" s="192"/>
      <c r="O129" s="192"/>
      <c r="P129" s="316"/>
    </row>
    <row r="130" spans="1:18" ht="13.5" thickBot="1" x14ac:dyDescent="0.25">
      <c r="A130" s="682"/>
      <c r="B130" s="1038" t="s">
        <v>49</v>
      </c>
      <c r="C130" s="1038"/>
      <c r="D130" s="1038"/>
      <c r="E130" s="1038"/>
      <c r="F130" s="683">
        <f>F129+F105+F91+F116</f>
        <v>4906427.7614980545</v>
      </c>
      <c r="G130" s="684">
        <f>G91+G105+G129+G116</f>
        <v>29439.224277423193</v>
      </c>
      <c r="H130" s="328"/>
      <c r="I130" s="297"/>
      <c r="J130" s="297"/>
      <c r="K130" s="297"/>
      <c r="L130" s="793" t="s">
        <v>258</v>
      </c>
      <c r="M130" s="846">
        <f>[1]СП!$B$22</f>
        <v>94.8</v>
      </c>
      <c r="N130" s="192"/>
      <c r="O130" s="192"/>
      <c r="P130" s="316"/>
    </row>
    <row r="131" spans="1:18" x14ac:dyDescent="0.2">
      <c r="A131" s="685"/>
      <c r="B131" s="1065" t="s">
        <v>73</v>
      </c>
      <c r="C131" s="1065"/>
      <c r="D131" s="1065"/>
      <c r="E131" s="1065"/>
      <c r="F131" s="429">
        <f>F72+F130</f>
        <v>14708739.296929751</v>
      </c>
      <c r="G131" s="686"/>
      <c r="H131" s="376"/>
      <c r="I131" s="687"/>
      <c r="J131" s="297"/>
      <c r="K131" s="297"/>
      <c r="L131" s="219" t="s">
        <v>259</v>
      </c>
      <c r="M131" s="833">
        <f>[1]СП!$B$21</f>
        <v>71.099999999999994</v>
      </c>
      <c r="N131" s="192"/>
      <c r="O131" s="192"/>
      <c r="P131" s="316"/>
      <c r="Q131" s="316"/>
      <c r="R131" s="316"/>
    </row>
    <row r="132" spans="1:18" x14ac:dyDescent="0.2">
      <c r="A132" s="688"/>
      <c r="B132" s="689" t="s">
        <v>98</v>
      </c>
      <c r="C132" s="689"/>
      <c r="D132" s="689"/>
      <c r="E132" s="690">
        <v>0.02</v>
      </c>
      <c r="F132" s="434">
        <f>F131*E132</f>
        <v>294174.78593859501</v>
      </c>
      <c r="G132" s="691"/>
      <c r="H132" s="376"/>
      <c r="I132" s="687"/>
      <c r="J132" s="297"/>
      <c r="K132" s="297"/>
      <c r="L132" s="793" t="s">
        <v>260</v>
      </c>
      <c r="M132" s="846">
        <f>[1]СП!$B$23</f>
        <v>145.69999999999999</v>
      </c>
      <c r="N132" s="192"/>
      <c r="O132" s="192"/>
      <c r="P132" s="316"/>
      <c r="Q132" s="316"/>
      <c r="R132" s="316"/>
    </row>
    <row r="133" spans="1:18" ht="13.5" thickBot="1" x14ac:dyDescent="0.25">
      <c r="A133" s="692"/>
      <c r="B133" s="693" t="s">
        <v>99</v>
      </c>
      <c r="C133" s="693"/>
      <c r="D133" s="693"/>
      <c r="E133" s="693"/>
      <c r="F133" s="438">
        <f>SUM(F131:F132)</f>
        <v>15002914.082868345</v>
      </c>
      <c r="G133" s="694"/>
      <c r="H133" s="695"/>
      <c r="I133" s="687"/>
      <c r="J133" s="297"/>
      <c r="K133" s="297"/>
      <c r="L133" s="219" t="s">
        <v>261</v>
      </c>
      <c r="M133" s="833">
        <f>[1]СП!$B$24</f>
        <v>188.9</v>
      </c>
      <c r="N133" s="192"/>
      <c r="O133" s="192"/>
      <c r="P133" s="316"/>
      <c r="Q133" s="316"/>
      <c r="R133" s="316"/>
    </row>
    <row r="134" spans="1:18" ht="13.5" thickBot="1" x14ac:dyDescent="0.25">
      <c r="A134" s="696"/>
      <c r="C134" s="697"/>
      <c r="D134" s="443" t="s">
        <v>203</v>
      </c>
      <c r="E134" s="444">
        <f>F131/I129</f>
        <v>11673.602616610913</v>
      </c>
      <c r="F134" s="445" t="s">
        <v>204</v>
      </c>
      <c r="G134" s="698">
        <f>(G130+G72)/I129</f>
        <v>69.269197446725173</v>
      </c>
      <c r="H134" s="376"/>
      <c r="I134" s="687"/>
      <c r="J134" s="297"/>
      <c r="K134" s="297"/>
      <c r="L134" s="219"/>
      <c r="M134" s="397"/>
      <c r="N134" s="192"/>
      <c r="O134" s="192"/>
      <c r="P134" s="316"/>
      <c r="Q134" s="316"/>
      <c r="R134" s="316"/>
    </row>
    <row r="135" spans="1:18" ht="13.5" thickBot="1" x14ac:dyDescent="0.25">
      <c r="A135" s="319"/>
      <c r="B135" s="699"/>
      <c r="C135" s="49"/>
      <c r="D135" s="49"/>
      <c r="E135" s="49"/>
      <c r="F135" s="50"/>
      <c r="G135" s="700"/>
      <c r="H135" s="701"/>
      <c r="I135" s="702"/>
      <c r="J135" s="316"/>
      <c r="K135" s="316"/>
      <c r="L135" s="219"/>
      <c r="M135" s="397"/>
      <c r="N135" s="192"/>
      <c r="O135" s="192"/>
      <c r="P135" s="316"/>
      <c r="Q135" s="316"/>
      <c r="R135" s="316"/>
    </row>
    <row r="136" spans="1:18" x14ac:dyDescent="0.2">
      <c r="A136" s="316"/>
      <c r="B136" s="1066" t="s">
        <v>50</v>
      </c>
      <c r="C136" s="1068" t="str">
        <f>F7</f>
        <v>альбом</v>
      </c>
      <c r="D136" s="1069"/>
      <c r="E136" s="1070"/>
      <c r="F136" s="703"/>
      <c r="G136" s="319"/>
      <c r="H136" s="704"/>
      <c r="I136" s="705"/>
      <c r="J136" s="316"/>
      <c r="K136" s="316"/>
      <c r="L136" s="316"/>
      <c r="M136" s="316"/>
      <c r="N136" s="316"/>
      <c r="O136" s="316"/>
      <c r="P136" s="316"/>
      <c r="Q136" s="316"/>
      <c r="R136" s="316"/>
    </row>
    <row r="137" spans="1:18" ht="13.5" thickBot="1" x14ac:dyDescent="0.25">
      <c r="A137" s="706"/>
      <c r="B137" s="1067"/>
      <c r="C137" s="1010" t="s">
        <v>370</v>
      </c>
      <c r="D137" s="1071"/>
      <c r="E137" s="1072"/>
      <c r="F137" s="707"/>
      <c r="G137" s="319" t="s">
        <v>71</v>
      </c>
      <c r="O137" s="297"/>
      <c r="P137" s="297"/>
      <c r="Q137" s="297"/>
    </row>
    <row r="138" spans="1:18" ht="13.5" thickBot="1" x14ac:dyDescent="0.25">
      <c r="A138" s="706"/>
      <c r="B138" s="170" t="s">
        <v>114</v>
      </c>
      <c r="C138" s="150"/>
      <c r="D138" s="323"/>
      <c r="E138" s="323"/>
      <c r="F138" s="151">
        <f>(M142*N142+M143*N143+M144*N144)</f>
        <v>0</v>
      </c>
      <c r="H138" s="280" t="s">
        <v>275</v>
      </c>
      <c r="O138" s="297"/>
      <c r="P138" s="297"/>
      <c r="Q138" s="297"/>
    </row>
    <row r="139" spans="1:18" ht="13.5" thickBot="1" x14ac:dyDescent="0.25">
      <c r="A139" s="706"/>
      <c r="B139" s="173" t="s">
        <v>80</v>
      </c>
      <c r="C139" s="150"/>
      <c r="D139" s="323"/>
      <c r="E139" s="152">
        <f>(F32+(F86+F88+F87+F89)*1.05)*1.02</f>
        <v>5980231.8594176751</v>
      </c>
      <c r="F139" s="151"/>
      <c r="H139" s="447">
        <f>E139+E140+E141+E142+E143+E144*1.02</f>
        <v>15002914.082868345</v>
      </c>
      <c r="L139" s="317">
        <f>(J142+K142)*2*L142*1.2</f>
        <v>0</v>
      </c>
      <c r="O139" s="297"/>
      <c r="P139" s="297"/>
      <c r="Q139" s="297"/>
    </row>
    <row r="140" spans="1:18" x14ac:dyDescent="0.2">
      <c r="A140" s="319"/>
      <c r="B140" s="173" t="s">
        <v>90</v>
      </c>
      <c r="C140" s="150"/>
      <c r="D140" s="323"/>
      <c r="E140" s="152">
        <f>(F44+F71)*1.02</f>
        <v>5861139.1355065899</v>
      </c>
      <c r="F140" s="151"/>
      <c r="J140" s="317" t="s">
        <v>65</v>
      </c>
      <c r="O140" s="297"/>
      <c r="P140" s="297"/>
      <c r="Q140" s="297"/>
    </row>
    <row r="141" spans="1:18" x14ac:dyDescent="0.2">
      <c r="B141" s="173" t="s">
        <v>91</v>
      </c>
      <c r="C141" s="150"/>
      <c r="D141" s="323"/>
      <c r="E141" s="152">
        <f>(F75+F76+F77+F78+F79+F80+F81+F82+F83+F84+F85+F93+F95+F102+F103+F118+F121+F126+F127+F99+F100+F122+F123+F125+F94+F96+F97+F119+F120)*1.05*1.02</f>
        <v>3161543.0879440797</v>
      </c>
      <c r="F141" s="151"/>
      <c r="H141" s="709"/>
      <c r="I141" s="671"/>
      <c r="J141" s="166" t="s">
        <v>66</v>
      </c>
      <c r="K141" s="710" t="s">
        <v>67</v>
      </c>
      <c r="L141" s="466" t="s">
        <v>69</v>
      </c>
      <c r="M141" s="671" t="s">
        <v>68</v>
      </c>
      <c r="N141" s="166" t="s">
        <v>70</v>
      </c>
      <c r="O141" s="297" t="s">
        <v>218</v>
      </c>
      <c r="P141" s="297"/>
      <c r="Q141" s="297"/>
      <c r="R141" s="319"/>
    </row>
    <row r="142" spans="1:18" x14ac:dyDescent="0.2">
      <c r="B142" s="173" t="s">
        <v>92</v>
      </c>
      <c r="C142" s="150"/>
      <c r="D142" s="323"/>
      <c r="E142" s="153"/>
      <c r="F142" s="151"/>
      <c r="G142" s="711"/>
      <c r="H142" s="709"/>
      <c r="I142" s="671" t="s">
        <v>51</v>
      </c>
      <c r="J142" s="712">
        <v>1</v>
      </c>
      <c r="K142" s="713">
        <v>0.8</v>
      </c>
      <c r="L142" s="712">
        <v>0</v>
      </c>
      <c r="M142" s="713">
        <f>J142*K142*L142</f>
        <v>0</v>
      </c>
      <c r="N142" s="11">
        <f>[1]Перекупные!$F$72</f>
        <v>5914.2857142857138</v>
      </c>
      <c r="O142" s="297">
        <v>4</v>
      </c>
      <c r="P142" s="297"/>
      <c r="Q142" s="297"/>
      <c r="R142" s="319"/>
    </row>
    <row r="143" spans="1:18" x14ac:dyDescent="0.2">
      <c r="B143" s="170" t="s">
        <v>93</v>
      </c>
      <c r="C143" s="150"/>
      <c r="D143" s="323"/>
      <c r="E143" s="153">
        <f>(F49+F116)*1.02</f>
        <v>0</v>
      </c>
      <c r="F143" s="151"/>
      <c r="G143" s="711"/>
      <c r="H143" s="709"/>
      <c r="I143" s="671" t="s">
        <v>53</v>
      </c>
      <c r="J143" s="712">
        <v>1</v>
      </c>
      <c r="K143" s="713">
        <v>2</v>
      </c>
      <c r="L143" s="712">
        <v>0</v>
      </c>
      <c r="M143" s="713">
        <f>J143*K143*L143</f>
        <v>0</v>
      </c>
      <c r="N143" s="11">
        <f>[1]Перекупные!$F$71</f>
        <v>26164.02116402116</v>
      </c>
      <c r="O143" s="297"/>
      <c r="P143" s="297"/>
      <c r="Q143" s="297"/>
      <c r="R143" s="319"/>
    </row>
    <row r="144" spans="1:18" x14ac:dyDescent="0.2">
      <c r="B144" s="173" t="s">
        <v>112</v>
      </c>
      <c r="C144" s="150"/>
      <c r="D144" s="323"/>
      <c r="E144" s="153">
        <f>F61</f>
        <v>0</v>
      </c>
      <c r="F144" s="151"/>
      <c r="G144" s="711"/>
      <c r="H144" s="709"/>
      <c r="I144" s="714" t="s">
        <v>52</v>
      </c>
      <c r="J144" s="715">
        <v>4.5</v>
      </c>
      <c r="K144" s="716">
        <v>4</v>
      </c>
      <c r="L144" s="715">
        <v>0</v>
      </c>
      <c r="M144" s="713">
        <f t="shared" ref="M144" si="17">J144*K144*L144</f>
        <v>0</v>
      </c>
      <c r="N144" s="11">
        <v>27000</v>
      </c>
      <c r="O144" s="297"/>
      <c r="P144" s="297"/>
      <c r="Q144" s="297"/>
      <c r="R144" s="319"/>
    </row>
    <row r="145" spans="1:19" x14ac:dyDescent="0.2">
      <c r="B145" s="1080" t="s">
        <v>94</v>
      </c>
      <c r="C145" s="1081"/>
      <c r="D145" s="1081"/>
      <c r="E145" s="1082"/>
      <c r="F145" s="53"/>
      <c r="G145" s="319" t="s">
        <v>205</v>
      </c>
      <c r="H145" s="1063"/>
      <c r="I145" s="1063"/>
      <c r="J145" s="297"/>
      <c r="K145" s="297"/>
      <c r="L145" s="319"/>
      <c r="M145" s="319"/>
      <c r="N145" s="319"/>
      <c r="O145" s="319"/>
      <c r="P145" s="319"/>
      <c r="Q145" s="319"/>
      <c r="R145" s="319"/>
    </row>
    <row r="146" spans="1:19" ht="13.5" thickBot="1" x14ac:dyDescent="0.25">
      <c r="B146" s="1073"/>
      <c r="C146" s="1074"/>
      <c r="D146" s="1074"/>
      <c r="E146" s="1075"/>
      <c r="F146" s="717"/>
      <c r="G146" s="316"/>
      <c r="H146" s="324"/>
      <c r="I146" s="297"/>
      <c r="J146" s="297"/>
      <c r="K146" s="297"/>
      <c r="O146" s="316"/>
      <c r="P146" s="316"/>
    </row>
    <row r="147" spans="1:19" x14ac:dyDescent="0.2">
      <c r="B147" s="718" t="s">
        <v>364</v>
      </c>
      <c r="C147" s="718"/>
      <c r="G147" s="56"/>
      <c r="H147" s="324"/>
      <c r="I147" s="297"/>
      <c r="J147" s="297"/>
      <c r="K147" s="297"/>
      <c r="O147" s="316"/>
      <c r="P147" s="316"/>
    </row>
    <row r="148" spans="1:19" x14ac:dyDescent="0.2">
      <c r="G148" s="56"/>
      <c r="H148" s="324"/>
      <c r="I148" s="297"/>
      <c r="J148" s="297"/>
      <c r="K148" s="297"/>
      <c r="O148" s="316"/>
      <c r="P148" s="316"/>
    </row>
    <row r="149" spans="1:19" x14ac:dyDescent="0.2">
      <c r="A149" s="1076"/>
      <c r="B149" s="297"/>
      <c r="C149" s="687"/>
      <c r="D149" s="719"/>
      <c r="E149" s="297"/>
      <c r="F149" s="1043"/>
      <c r="G149" s="297"/>
      <c r="H149" s="324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</row>
    <row r="150" spans="1:19" x14ac:dyDescent="0.2">
      <c r="A150" s="1076"/>
      <c r="B150" s="297"/>
      <c r="C150" s="719"/>
      <c r="D150" s="719"/>
      <c r="E150" s="297"/>
      <c r="F150" s="1043"/>
      <c r="G150" s="297"/>
      <c r="H150" s="324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</row>
    <row r="151" spans="1:19" x14ac:dyDescent="0.2">
      <c r="A151" s="1076"/>
      <c r="B151" s="297"/>
      <c r="C151" s="687"/>
      <c r="D151" s="719"/>
      <c r="E151" s="297"/>
      <c r="F151" s="1043"/>
      <c r="G151" s="297"/>
      <c r="H151" s="324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</row>
    <row r="152" spans="1:19" x14ac:dyDescent="0.2">
      <c r="A152" s="1076"/>
      <c r="B152" s="297"/>
      <c r="C152" s="687"/>
      <c r="D152" s="719"/>
      <c r="E152" s="297"/>
      <c r="F152" s="1043"/>
      <c r="G152" s="297"/>
      <c r="H152" s="324"/>
      <c r="I152" s="297"/>
      <c r="J152" s="297"/>
      <c r="K152" s="297"/>
      <c r="L152" s="297"/>
      <c r="M152" s="719"/>
      <c r="N152" s="297"/>
      <c r="O152" s="297"/>
      <c r="P152" s="297"/>
      <c r="Q152" s="297"/>
      <c r="R152" s="297"/>
      <c r="S152" s="297"/>
    </row>
    <row r="153" spans="1:19" x14ac:dyDescent="0.2">
      <c r="A153" s="1076"/>
      <c r="B153" s="297"/>
      <c r="C153" s="687"/>
      <c r="D153" s="719"/>
      <c r="E153" s="297"/>
      <c r="F153" s="1043"/>
      <c r="G153" s="297"/>
      <c r="H153" s="279"/>
      <c r="I153" s="221"/>
      <c r="J153" s="297"/>
      <c r="K153" s="297"/>
      <c r="L153" s="297"/>
      <c r="M153" s="719"/>
      <c r="N153" s="297"/>
      <c r="O153" s="297"/>
      <c r="P153" s="297"/>
      <c r="Q153" s="297"/>
      <c r="R153" s="297"/>
      <c r="S153" s="297"/>
    </row>
    <row r="154" spans="1:19" ht="13.5" thickBot="1" x14ac:dyDescent="0.25">
      <c r="B154" s="316"/>
      <c r="C154" s="316" t="s">
        <v>57</v>
      </c>
      <c r="D154" s="316"/>
      <c r="E154" s="316"/>
      <c r="F154" s="316"/>
      <c r="G154" s="316" t="s">
        <v>39</v>
      </c>
      <c r="H154" s="324"/>
      <c r="I154" s="222"/>
      <c r="J154" s="607"/>
      <c r="K154" s="297"/>
      <c r="L154" s="297"/>
      <c r="O154" s="316"/>
      <c r="P154" s="316"/>
    </row>
    <row r="155" spans="1:19" ht="13.5" thickBot="1" x14ac:dyDescent="0.25">
      <c r="A155" s="1077">
        <f>E17</f>
        <v>0</v>
      </c>
      <c r="B155" s="720" t="s">
        <v>42</v>
      </c>
      <c r="C155" s="721">
        <v>1</v>
      </c>
      <c r="D155" s="722">
        <f t="shared" ref="D155:D160" si="18">C155*$A$155</f>
        <v>0</v>
      </c>
      <c r="E155" s="720" t="s">
        <v>54</v>
      </c>
      <c r="F155" s="1030" t="s">
        <v>32</v>
      </c>
      <c r="G155" s="702">
        <f>[10]прайс!K24</f>
        <v>93</v>
      </c>
      <c r="O155" s="316"/>
      <c r="P155" s="316"/>
    </row>
    <row r="156" spans="1:19" ht="13.5" thickBot="1" x14ac:dyDescent="0.25">
      <c r="A156" s="1078"/>
      <c r="B156" s="413" t="s">
        <v>60</v>
      </c>
      <c r="C156" s="671">
        <v>2</v>
      </c>
      <c r="D156" s="722">
        <f t="shared" si="18"/>
        <v>0</v>
      </c>
      <c r="E156" s="413" t="s">
        <v>54</v>
      </c>
      <c r="F156" s="1031"/>
      <c r="G156" s="702">
        <f>[10]прайс!K37</f>
        <v>61</v>
      </c>
      <c r="H156" s="611">
        <f>CEILING(E16/140,1)</f>
        <v>0</v>
      </c>
      <c r="I156" s="466" t="s">
        <v>56</v>
      </c>
      <c r="O156" s="316"/>
      <c r="P156" s="316"/>
    </row>
    <row r="157" spans="1:19" ht="13.5" thickBot="1" x14ac:dyDescent="0.25">
      <c r="A157" s="1078"/>
      <c r="B157" s="413" t="s">
        <v>7</v>
      </c>
      <c r="C157" s="671">
        <v>10</v>
      </c>
      <c r="D157" s="722">
        <f t="shared" si="18"/>
        <v>0</v>
      </c>
      <c r="E157" s="413" t="s">
        <v>43</v>
      </c>
      <c r="F157" s="1031"/>
      <c r="G157" s="316">
        <f>[10]прайс!G28</f>
        <v>0.33</v>
      </c>
      <c r="H157" s="280"/>
      <c r="O157" s="316"/>
      <c r="P157" s="316"/>
    </row>
    <row r="158" spans="1:19" ht="13.5" thickBot="1" x14ac:dyDescent="0.25">
      <c r="A158" s="1078"/>
      <c r="B158" s="413" t="s">
        <v>61</v>
      </c>
      <c r="C158" s="671">
        <v>0.11</v>
      </c>
      <c r="D158" s="722">
        <f t="shared" si="18"/>
        <v>0</v>
      </c>
      <c r="E158" s="413" t="s">
        <v>48</v>
      </c>
      <c r="F158" s="1031"/>
      <c r="G158" s="702">
        <f>[10]прайс!E34</f>
        <v>1741</v>
      </c>
      <c r="H158" s="281"/>
      <c r="O158" s="316"/>
      <c r="P158" s="316"/>
    </row>
    <row r="159" spans="1:19" ht="13.5" thickBot="1" x14ac:dyDescent="0.25">
      <c r="A159" s="1078"/>
      <c r="B159" s="413" t="s">
        <v>62</v>
      </c>
      <c r="C159" s="723">
        <v>2.2000000000000002</v>
      </c>
      <c r="D159" s="722">
        <f t="shared" si="18"/>
        <v>0</v>
      </c>
      <c r="E159" s="413" t="s">
        <v>33</v>
      </c>
      <c r="F159" s="1031"/>
      <c r="G159" s="316">
        <f>IF(I4=1,[10]прайс!J43,IF('[10]типовые рамники до 15м'!I4=2,[10]прайс!B8,0))</f>
        <v>210</v>
      </c>
      <c r="H159" s="708" t="s">
        <v>40</v>
      </c>
      <c r="I159" s="317" t="s">
        <v>58</v>
      </c>
      <c r="J159" s="317" t="s">
        <v>59</v>
      </c>
      <c r="O159" s="316"/>
      <c r="P159" s="316"/>
    </row>
    <row r="160" spans="1:19" ht="13.5" thickBot="1" x14ac:dyDescent="0.25">
      <c r="A160" s="1079"/>
      <c r="B160" s="640" t="s">
        <v>55</v>
      </c>
      <c r="C160" s="724">
        <v>14</v>
      </c>
      <c r="D160" s="722">
        <f t="shared" si="18"/>
        <v>0</v>
      </c>
      <c r="E160" s="640" t="s">
        <v>43</v>
      </c>
      <c r="F160" s="1032"/>
      <c r="G160" s="702">
        <f>[10]прайс!D17</f>
        <v>2.63</v>
      </c>
      <c r="H160" s="708">
        <f t="shared" ref="H160:H165" si="19">G155*D155</f>
        <v>0</v>
      </c>
      <c r="I160" s="317">
        <v>1.56</v>
      </c>
      <c r="J160" s="317">
        <f t="shared" ref="J160:J165" si="20">I160*D155</f>
        <v>0</v>
      </c>
      <c r="O160" s="316"/>
      <c r="P160" s="316"/>
    </row>
    <row r="161" spans="8:16" x14ac:dyDescent="0.2">
      <c r="H161" s="708">
        <f t="shared" si="19"/>
        <v>0</v>
      </c>
      <c r="I161" s="317">
        <v>1.1499999999999999</v>
      </c>
      <c r="J161" s="317">
        <f t="shared" si="20"/>
        <v>0</v>
      </c>
      <c r="O161" s="316"/>
      <c r="P161" s="316"/>
    </row>
    <row r="162" spans="8:16" x14ac:dyDescent="0.2">
      <c r="H162" s="708">
        <f t="shared" si="19"/>
        <v>0</v>
      </c>
      <c r="I162" s="317">
        <f>0.18/100</f>
        <v>1.8E-3</v>
      </c>
      <c r="J162" s="317">
        <f t="shared" si="20"/>
        <v>0</v>
      </c>
      <c r="O162" s="316"/>
      <c r="P162" s="316"/>
    </row>
    <row r="163" spans="8:16" x14ac:dyDescent="0.2">
      <c r="H163" s="708">
        <f t="shared" si="19"/>
        <v>0</v>
      </c>
      <c r="I163" s="317">
        <v>22</v>
      </c>
      <c r="J163" s="317">
        <f t="shared" si="20"/>
        <v>0</v>
      </c>
      <c r="O163" s="316"/>
      <c r="P163" s="316"/>
    </row>
    <row r="164" spans="8:16" x14ac:dyDescent="0.2">
      <c r="H164" s="725">
        <f t="shared" si="19"/>
        <v>0</v>
      </c>
      <c r="I164" s="317">
        <v>4.4119999999999999</v>
      </c>
      <c r="J164" s="317">
        <f t="shared" si="20"/>
        <v>0</v>
      </c>
      <c r="O164" s="316"/>
      <c r="P164" s="316"/>
    </row>
    <row r="165" spans="8:16" x14ac:dyDescent="0.2">
      <c r="H165" s="708">
        <f t="shared" si="19"/>
        <v>0</v>
      </c>
      <c r="I165" s="317">
        <f>0.53/100</f>
        <v>5.3E-3</v>
      </c>
      <c r="J165" s="317">
        <f t="shared" si="20"/>
        <v>0</v>
      </c>
      <c r="O165" s="316"/>
      <c r="P165" s="316"/>
    </row>
    <row r="166" spans="8:16" x14ac:dyDescent="0.2">
      <c r="H166" s="283">
        <f>SUM(H160:H165)</f>
        <v>0</v>
      </c>
      <c r="J166" s="726">
        <f>SUM(J160:J165)</f>
        <v>0</v>
      </c>
      <c r="O166" s="316"/>
      <c r="P166" s="316"/>
    </row>
    <row r="167" spans="8:16" x14ac:dyDescent="0.2">
      <c r="O167" s="316"/>
      <c r="P167" s="316"/>
    </row>
    <row r="168" spans="8:16" x14ac:dyDescent="0.2">
      <c r="O168" s="316"/>
      <c r="P168" s="316"/>
    </row>
    <row r="169" spans="8:16" x14ac:dyDescent="0.2">
      <c r="H169" s="727">
        <f>E66/1.15*($E$9+FLOOR($E$9/6,1)*0.2)*1.17</f>
        <v>0</v>
      </c>
      <c r="I169" s="317" t="s">
        <v>63</v>
      </c>
      <c r="O169" s="316"/>
      <c r="P169" s="316"/>
    </row>
  </sheetData>
  <mergeCells count="24">
    <mergeCell ref="H145:I145"/>
    <mergeCell ref="B146:E146"/>
    <mergeCell ref="A149:A153"/>
    <mergeCell ref="F149:F153"/>
    <mergeCell ref="A155:A160"/>
    <mergeCell ref="F155:F160"/>
    <mergeCell ref="B145:E145"/>
    <mergeCell ref="B130:E130"/>
    <mergeCell ref="B131:E131"/>
    <mergeCell ref="B136:B137"/>
    <mergeCell ref="C136:E136"/>
    <mergeCell ref="C137:E137"/>
    <mergeCell ref="AF6:AH6"/>
    <mergeCell ref="A11:B11"/>
    <mergeCell ref="C16:D16"/>
    <mergeCell ref="A18:D18"/>
    <mergeCell ref="C72:E72"/>
    <mergeCell ref="AB6:AD6"/>
    <mergeCell ref="A73:G73"/>
    <mergeCell ref="A1:B2"/>
    <mergeCell ref="C1:G4"/>
    <mergeCell ref="L1:O1"/>
    <mergeCell ref="P1:S1"/>
    <mergeCell ref="A3:B4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  <headerFooter>
    <oddFooter>&amp;LИнженер по расчетам&amp;CАрхиреева И.А.&amp;R&amp;D</oddFooter>
  </headerFooter>
  <rowBreaks count="1" manualBreakCount="1">
    <brk id="72" max="6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68"/>
  <sheetViews>
    <sheetView topLeftCell="A24" zoomScaleNormal="100" workbookViewId="0">
      <selection activeCell="B24" sqref="B24"/>
    </sheetView>
  </sheetViews>
  <sheetFormatPr defaultRowHeight="12.75" x14ac:dyDescent="0.2"/>
  <cols>
    <col min="1" max="1" width="9.140625" customWidth="1"/>
    <col min="2" max="2" width="28.140625" customWidth="1"/>
    <col min="3" max="3" width="9" customWidth="1"/>
    <col min="4" max="4" width="8.28515625" customWidth="1"/>
    <col min="5" max="5" width="13.140625" customWidth="1"/>
    <col min="6" max="6" width="15.42578125" customWidth="1"/>
    <col min="7" max="7" width="11.85546875" customWidth="1"/>
    <col min="8" max="8" width="14.85546875" style="236" customWidth="1"/>
    <col min="9" max="9" width="17.5703125" customWidth="1"/>
    <col min="10" max="10" width="12.5703125" customWidth="1"/>
    <col min="11" max="11" width="12.42578125" customWidth="1"/>
    <col min="12" max="12" width="17" customWidth="1"/>
    <col min="13" max="13" width="13.28515625" bestFit="1" customWidth="1"/>
    <col min="14" max="14" width="12.42578125" bestFit="1" customWidth="1"/>
    <col min="15" max="15" width="11" bestFit="1" customWidth="1"/>
    <col min="16" max="16" width="13.140625" bestFit="1" customWidth="1"/>
    <col min="17" max="17" width="5.5703125" bestFit="1" customWidth="1"/>
    <col min="18" max="18" width="11.42578125" bestFit="1" customWidth="1"/>
    <col min="19" max="19" width="7.140625" customWidth="1"/>
    <col min="20" max="20" width="11.42578125" bestFit="1" customWidth="1"/>
    <col min="21" max="21" width="5.5703125" bestFit="1" customWidth="1"/>
    <col min="23" max="23" width="8.140625" bestFit="1" customWidth="1"/>
    <col min="24" max="24" width="10.140625" bestFit="1" customWidth="1"/>
    <col min="30" max="30" width="14" customWidth="1"/>
  </cols>
  <sheetData>
    <row r="1" spans="1:35" x14ac:dyDescent="0.2">
      <c r="A1" s="1047"/>
      <c r="B1" s="1047"/>
      <c r="C1" s="1048" t="s">
        <v>13</v>
      </c>
      <c r="D1" s="1048"/>
      <c r="E1" s="1048"/>
      <c r="F1" s="1048"/>
      <c r="G1" s="1048"/>
      <c r="H1" s="285" t="s">
        <v>14</v>
      </c>
      <c r="I1" s="14"/>
      <c r="J1" s="14"/>
      <c r="K1" s="192"/>
      <c r="L1" s="1033"/>
      <c r="M1" s="1033"/>
      <c r="N1" s="1033"/>
      <c r="O1" s="1033"/>
      <c r="P1" s="1033"/>
      <c r="Q1" s="1033"/>
      <c r="R1" s="1033"/>
      <c r="S1" s="1033"/>
      <c r="T1" s="76"/>
    </row>
    <row r="2" spans="1:35" x14ac:dyDescent="0.2">
      <c r="A2" s="1047"/>
      <c r="B2" s="1047"/>
      <c r="C2" s="1048"/>
      <c r="D2" s="1048"/>
      <c r="E2" s="1048"/>
      <c r="F2" s="1048"/>
      <c r="G2" s="1048"/>
      <c r="H2" s="286"/>
      <c r="I2" s="16"/>
      <c r="J2" s="16"/>
      <c r="K2" s="192"/>
      <c r="L2" s="193"/>
      <c r="M2" s="193"/>
      <c r="N2" s="192"/>
      <c r="O2" s="192"/>
      <c r="P2" s="194"/>
      <c r="Q2" s="193"/>
      <c r="R2" s="192"/>
      <c r="S2" s="192"/>
      <c r="T2" s="76"/>
    </row>
    <row r="3" spans="1:35" x14ac:dyDescent="0.2">
      <c r="A3" s="1049" t="s">
        <v>64</v>
      </c>
      <c r="B3" s="1049"/>
      <c r="C3" s="1048"/>
      <c r="D3" s="1048"/>
      <c r="E3" s="1048"/>
      <c r="F3" s="1048"/>
      <c r="G3" s="1048"/>
      <c r="H3" s="287" t="s">
        <v>15</v>
      </c>
      <c r="I3" s="65">
        <v>2</v>
      </c>
      <c r="J3" s="16"/>
      <c r="K3" s="192"/>
      <c r="L3" s="193"/>
      <c r="M3" s="193"/>
      <c r="N3" s="192"/>
      <c r="O3" s="192"/>
      <c r="P3" s="195"/>
      <c r="Q3" s="193"/>
      <c r="R3" s="196"/>
      <c r="S3" s="192"/>
      <c r="T3" s="801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spans="1:35" x14ac:dyDescent="0.2">
      <c r="A4" s="1049"/>
      <c r="B4" s="1049"/>
      <c r="C4" s="1048"/>
      <c r="D4" s="1048"/>
      <c r="E4" s="1048"/>
      <c r="F4" s="1048"/>
      <c r="G4" s="1048"/>
      <c r="H4" s="287" t="s">
        <v>16</v>
      </c>
      <c r="I4" s="65">
        <v>2</v>
      </c>
      <c r="J4" s="16"/>
      <c r="K4" s="192"/>
      <c r="L4" s="197"/>
      <c r="M4" s="197"/>
      <c r="N4" s="192"/>
      <c r="O4" s="192"/>
      <c r="P4" s="197"/>
      <c r="Q4" s="197"/>
      <c r="R4" s="198"/>
      <c r="S4" s="192"/>
      <c r="T4" s="197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</row>
    <row r="5" spans="1:35" ht="15.75" x14ac:dyDescent="0.25">
      <c r="A5" s="17"/>
      <c r="B5" s="18" t="s">
        <v>180</v>
      </c>
      <c r="C5" s="298">
        <v>3</v>
      </c>
      <c r="D5" s="299">
        <v>2</v>
      </c>
      <c r="E5" s="19"/>
      <c r="F5" s="20" t="s">
        <v>183</v>
      </c>
      <c r="G5" s="853">
        <v>10256</v>
      </c>
      <c r="H5" s="286"/>
      <c r="I5" s="16"/>
      <c r="J5" s="16"/>
      <c r="K5" s="192"/>
      <c r="L5" s="192"/>
      <c r="M5" s="192"/>
      <c r="N5" s="192"/>
      <c r="O5" s="192"/>
      <c r="P5" s="192"/>
      <c r="Q5" s="192"/>
      <c r="R5" s="80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</row>
    <row r="6" spans="1:35" ht="15" x14ac:dyDescent="0.2">
      <c r="A6" s="239" t="s">
        <v>181</v>
      </c>
      <c r="B6" s="240" t="s">
        <v>229</v>
      </c>
      <c r="C6" s="19"/>
      <c r="D6" s="21"/>
      <c r="E6" s="1000"/>
      <c r="F6" s="1000"/>
      <c r="G6" s="21"/>
      <c r="H6" s="286" t="s">
        <v>17</v>
      </c>
      <c r="I6" s="16"/>
      <c r="J6" s="16">
        <v>0</v>
      </c>
      <c r="M6" s="192"/>
      <c r="N6" s="192"/>
      <c r="O6" s="192"/>
      <c r="P6" s="192"/>
      <c r="Q6" s="192"/>
      <c r="R6" s="802"/>
      <c r="S6" s="192"/>
      <c r="T6" s="192"/>
      <c r="U6" s="216"/>
      <c r="V6" s="192"/>
      <c r="W6" s="192"/>
      <c r="X6" s="192"/>
      <c r="Y6" s="192"/>
      <c r="Z6" s="192"/>
      <c r="AA6" s="216"/>
      <c r="AB6" s="1004"/>
      <c r="AC6" s="1004"/>
      <c r="AD6" s="1004"/>
      <c r="AE6" s="192"/>
      <c r="AF6" s="1004"/>
      <c r="AG6" s="1004"/>
      <c r="AH6" s="1004"/>
      <c r="AI6" s="192"/>
    </row>
    <row r="7" spans="1:35" x14ac:dyDescent="0.2">
      <c r="A7" s="241" t="s">
        <v>182</v>
      </c>
      <c r="B7" s="240" t="s">
        <v>369</v>
      </c>
      <c r="C7" s="22"/>
      <c r="D7" s="22"/>
      <c r="F7" s="23" t="str">
        <f>IF(I13=1,"альбом","проект")</f>
        <v>альбом</v>
      </c>
      <c r="G7" s="22"/>
      <c r="H7" s="286" t="s">
        <v>18</v>
      </c>
      <c r="I7" s="16"/>
      <c r="J7" s="16">
        <v>1</v>
      </c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</row>
    <row r="8" spans="1:35" x14ac:dyDescent="0.2">
      <c r="A8" s="18"/>
      <c r="B8" s="20" t="s">
        <v>20</v>
      </c>
      <c r="C8" s="66">
        <v>12</v>
      </c>
      <c r="E8" s="24"/>
      <c r="F8" s="237" t="s">
        <v>178</v>
      </c>
      <c r="G8" s="238">
        <v>3</v>
      </c>
      <c r="H8" s="286" t="s">
        <v>21</v>
      </c>
      <c r="I8" s="16"/>
      <c r="J8" s="16">
        <v>2</v>
      </c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7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</row>
    <row r="9" spans="1:35" x14ac:dyDescent="0.2">
      <c r="A9" s="25"/>
      <c r="B9" s="20" t="s">
        <v>22</v>
      </c>
      <c r="C9" s="66">
        <v>60</v>
      </c>
      <c r="E9" s="26"/>
      <c r="F9" s="237" t="s">
        <v>179</v>
      </c>
      <c r="G9" s="238">
        <v>5</v>
      </c>
      <c r="H9" s="286" t="s">
        <v>23</v>
      </c>
      <c r="I9" s="16"/>
      <c r="J9" s="16">
        <v>3</v>
      </c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7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</row>
    <row r="10" spans="1:35" x14ac:dyDescent="0.2">
      <c r="A10" s="1"/>
      <c r="B10" s="20" t="s">
        <v>24</v>
      </c>
      <c r="C10" s="66">
        <v>6</v>
      </c>
      <c r="E10" s="26"/>
      <c r="F10" s="5"/>
      <c r="H10" s="286" t="s">
        <v>25</v>
      </c>
      <c r="I10" s="16"/>
      <c r="J10" s="16">
        <v>4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7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</row>
    <row r="11" spans="1:35" x14ac:dyDescent="0.2">
      <c r="A11" s="999" t="s">
        <v>26</v>
      </c>
      <c r="B11" s="999"/>
      <c r="C11" s="27">
        <v>6</v>
      </c>
      <c r="D11" s="1"/>
      <c r="E11" s="1"/>
      <c r="F11" s="5"/>
      <c r="H11" s="286" t="s">
        <v>101</v>
      </c>
      <c r="I11" s="242"/>
      <c r="J11" s="16">
        <v>5</v>
      </c>
      <c r="K11" s="192"/>
      <c r="L11" s="192"/>
      <c r="M11" s="192"/>
      <c r="N11" s="192"/>
      <c r="O11" s="192"/>
      <c r="P11" s="192"/>
      <c r="Q11" s="192"/>
      <c r="R11" s="192"/>
      <c r="S11" s="192"/>
      <c r="T11" s="197"/>
      <c r="U11" s="192"/>
      <c r="V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</row>
    <row r="12" spans="1:35" ht="13.5" thickBot="1" x14ac:dyDescent="0.25">
      <c r="B12" s="20" t="s">
        <v>27</v>
      </c>
      <c r="C12" s="346" t="str">
        <f>IF(I3=0,"нет",IF(I3=1,"оцинкованный профлист",IF(I3=2,"окрашенный профлист",IF(I3=3,"окрашенный профлист, сайдинг","окрашенный профлист, фасадная кассета"))))</f>
        <v>окрашенный профлист</v>
      </c>
      <c r="E12" s="29"/>
      <c r="F12" s="176"/>
      <c r="H12" s="294" t="s">
        <v>214</v>
      </c>
      <c r="I12" s="295" t="s">
        <v>213</v>
      </c>
      <c r="J12" s="8"/>
      <c r="K12" s="192"/>
      <c r="L12" s="192"/>
      <c r="M12" s="192"/>
      <c r="N12" s="192"/>
      <c r="O12" s="192"/>
      <c r="P12" s="192"/>
      <c r="Q12" s="192"/>
      <c r="R12" s="192"/>
      <c r="S12" s="192"/>
      <c r="T12" s="297"/>
      <c r="U12" s="192"/>
      <c r="V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</row>
    <row r="13" spans="1:35" x14ac:dyDescent="0.2">
      <c r="A13" s="15"/>
      <c r="B13" s="30" t="s">
        <v>28</v>
      </c>
      <c r="C13" s="346" t="str">
        <f>IF(I4=0,"нет",IF(I4=1,"оцинкованный профлист",IF(I4=2,"окрашенный профлист",IF(I4=3,"окрашенный профлист, сайдинг","окрашенный профлист, фасадная панель"))))</f>
        <v>окрашенный профлист</v>
      </c>
      <c r="D13" s="31"/>
      <c r="E13" s="175"/>
      <c r="F13" s="13"/>
      <c r="G13" s="15"/>
      <c r="H13" s="294" t="s">
        <v>215</v>
      </c>
      <c r="I13" s="296">
        <v>1</v>
      </c>
      <c r="J13" s="856" t="s">
        <v>358</v>
      </c>
      <c r="K13" s="859" t="s">
        <v>359</v>
      </c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</row>
    <row r="14" spans="1:35" s="317" customFormat="1" x14ac:dyDescent="0.2">
      <c r="A14" s="316"/>
      <c r="D14" s="30" t="s">
        <v>29</v>
      </c>
      <c r="E14" s="67">
        <v>200</v>
      </c>
      <c r="F14" s="32" t="s">
        <v>30</v>
      </c>
      <c r="G14" s="316"/>
      <c r="H14" s="318"/>
      <c r="I14" s="319"/>
      <c r="J14" s="857">
        <f>10*3.14/180</f>
        <v>0.17444444444444446</v>
      </c>
      <c r="K14" s="860">
        <f>SIN(J14)</f>
        <v>0.17356104045380674</v>
      </c>
      <c r="L14" s="352"/>
      <c r="M14" s="354"/>
      <c r="N14" s="354"/>
      <c r="O14" s="355"/>
      <c r="P14" s="354"/>
      <c r="Q14" s="355"/>
      <c r="R14" s="354"/>
      <c r="S14" s="354"/>
      <c r="T14" s="355"/>
      <c r="U14" s="354"/>
      <c r="V14" s="355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</row>
    <row r="15" spans="1:35" s="317" customFormat="1" x14ac:dyDescent="0.2">
      <c r="A15" s="316"/>
      <c r="D15" s="30" t="s">
        <v>31</v>
      </c>
      <c r="E15" s="67">
        <v>150</v>
      </c>
      <c r="F15" s="32" t="s">
        <v>30</v>
      </c>
      <c r="G15" s="316"/>
      <c r="H15" s="271"/>
      <c r="I15" s="319"/>
      <c r="J15" s="857">
        <f>COS(J14)</f>
        <v>0.98482311367909725</v>
      </c>
      <c r="K15" s="860">
        <f>K14*J16</f>
        <v>2.1148290048402898</v>
      </c>
      <c r="L15" s="352"/>
      <c r="M15" s="354"/>
      <c r="N15" s="354"/>
      <c r="O15" s="355"/>
      <c r="P15" s="354"/>
      <c r="Q15" s="355"/>
      <c r="R15" s="354"/>
      <c r="S15" s="354"/>
      <c r="T15" s="355"/>
      <c r="U15" s="354"/>
      <c r="V15" s="355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</row>
    <row r="16" spans="1:35" s="317" customFormat="1" ht="13.5" thickBot="1" x14ac:dyDescent="0.25">
      <c r="A16" s="316"/>
      <c r="B16" s="33"/>
      <c r="C16" s="1002"/>
      <c r="D16" s="1002"/>
      <c r="E16" s="157"/>
      <c r="F16" s="34"/>
      <c r="G16" s="320"/>
      <c r="H16" s="321"/>
      <c r="I16" s="322" t="s">
        <v>212</v>
      </c>
      <c r="J16" s="858">
        <f>C8/J15</f>
        <v>12.184929286611135</v>
      </c>
      <c r="K16" s="861">
        <f>C10+K15</f>
        <v>8.1148290048402902</v>
      </c>
      <c r="L16" s="352"/>
      <c r="M16" s="354"/>
      <c r="N16" s="354"/>
      <c r="O16" s="355"/>
      <c r="P16" s="354"/>
      <c r="Q16" s="355"/>
      <c r="R16" s="354"/>
      <c r="S16" s="354"/>
      <c r="T16" s="355"/>
      <c r="U16" s="354"/>
      <c r="V16" s="355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</row>
    <row r="17" spans="1:35" s="317" customFormat="1" x14ac:dyDescent="0.2">
      <c r="A17" s="316"/>
      <c r="B17" s="323"/>
      <c r="C17" s="323"/>
      <c r="D17" s="35" t="s">
        <v>32</v>
      </c>
      <c r="E17" s="165">
        <v>0</v>
      </c>
      <c r="F17" s="36" t="s">
        <v>33</v>
      </c>
      <c r="G17" s="323"/>
      <c r="H17" s="324"/>
      <c r="I17" s="293">
        <f>CEILING(C9/C11+1,1)</f>
        <v>11</v>
      </c>
      <c r="J17" s="297"/>
      <c r="K17" s="297"/>
      <c r="L17" s="352"/>
      <c r="M17" s="354"/>
      <c r="N17" s="354"/>
      <c r="O17" s="355"/>
      <c r="P17" s="354"/>
      <c r="Q17" s="355"/>
      <c r="R17" s="351"/>
      <c r="S17" s="352"/>
      <c r="T17" s="353"/>
      <c r="U17" s="352"/>
      <c r="V17" s="353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</row>
    <row r="18" spans="1:35" s="317" customFormat="1" ht="13.5" thickBot="1" x14ac:dyDescent="0.25">
      <c r="A18" s="1003" t="s">
        <v>34</v>
      </c>
      <c r="B18" s="1003"/>
      <c r="C18" s="1003"/>
      <c r="D18" s="1003"/>
      <c r="E18" s="37"/>
      <c r="F18" s="37"/>
      <c r="G18" s="37"/>
      <c r="H18" s="324"/>
      <c r="I18" s="325" t="s">
        <v>130</v>
      </c>
      <c r="J18" s="326" t="s">
        <v>128</v>
      </c>
      <c r="K18" s="348" t="s">
        <v>129</v>
      </c>
      <c r="L18" s="356"/>
      <c r="M18" s="352"/>
      <c r="N18" s="828"/>
      <c r="O18" s="353"/>
      <c r="P18" s="352"/>
      <c r="Q18" s="353"/>
      <c r="R18" s="352"/>
      <c r="S18" s="356"/>
      <c r="T18" s="353"/>
      <c r="U18" s="356"/>
      <c r="V18" s="353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</row>
    <row r="19" spans="1:35" s="317" customFormat="1" ht="26.25" thickBot="1" x14ac:dyDescent="0.25">
      <c r="A19" s="40" t="s">
        <v>35</v>
      </c>
      <c r="B19" s="38" t="s">
        <v>36</v>
      </c>
      <c r="C19" s="38" t="s">
        <v>37</v>
      </c>
      <c r="D19" s="39" t="s">
        <v>38</v>
      </c>
      <c r="E19" s="40" t="s">
        <v>39</v>
      </c>
      <c r="F19" s="38" t="s">
        <v>40</v>
      </c>
      <c r="G19" s="39" t="s">
        <v>41</v>
      </c>
      <c r="H19" s="269" t="s">
        <v>210</v>
      </c>
      <c r="I19" s="311" t="s">
        <v>127</v>
      </c>
      <c r="J19" s="829">
        <f>[1]Основные!$F$342</f>
        <v>1043.7</v>
      </c>
      <c r="K19" s="348">
        <v>5.9740000000000002</v>
      </c>
      <c r="L19" s="356"/>
      <c r="M19" s="352"/>
      <c r="N19" s="356"/>
      <c r="O19" s="353"/>
      <c r="P19" s="356"/>
      <c r="Q19" s="353"/>
      <c r="R19" s="352"/>
      <c r="S19" s="356"/>
      <c r="T19" s="353"/>
      <c r="U19" s="356"/>
      <c r="V19" s="353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</row>
    <row r="20" spans="1:35" s="317" customFormat="1" ht="13.5" thickBot="1" x14ac:dyDescent="0.25">
      <c r="A20" s="327">
        <v>1</v>
      </c>
      <c r="B20" s="130" t="s">
        <v>80</v>
      </c>
      <c r="C20" s="87"/>
      <c r="D20" s="88"/>
      <c r="E20" s="89"/>
      <c r="F20" s="87"/>
      <c r="G20" s="88"/>
      <c r="H20" s="328"/>
      <c r="I20" s="311" t="s">
        <v>124</v>
      </c>
      <c r="J20" s="829">
        <f>[1]Основные!$F$343</f>
        <v>1370.25</v>
      </c>
      <c r="K20" s="348">
        <v>7.9130000000000003</v>
      </c>
      <c r="L20" s="460" t="s">
        <v>232</v>
      </c>
      <c r="M20" s="829">
        <f>[1]Основные!$F$344</f>
        <v>1693.65</v>
      </c>
      <c r="N20" s="849">
        <f>9.668</f>
        <v>9.6679999999999993</v>
      </c>
      <c r="O20" s="352"/>
      <c r="P20" s="352"/>
      <c r="Q20" s="352"/>
      <c r="R20" s="352"/>
      <c r="S20" s="356"/>
      <c r="T20" s="353"/>
      <c r="U20" s="356"/>
      <c r="V20" s="353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</row>
    <row r="21" spans="1:35" s="317" customFormat="1" x14ac:dyDescent="0.2">
      <c r="A21" s="126" t="s">
        <v>184</v>
      </c>
      <c r="B21" s="171" t="str">
        <f>I20</f>
        <v>ПГС-S 300х80х2</v>
      </c>
      <c r="C21" s="329">
        <f>I17*(J16)*2</f>
        <v>268.06844430544498</v>
      </c>
      <c r="D21" s="171" t="s">
        <v>8</v>
      </c>
      <c r="E21" s="330">
        <f>J20</f>
        <v>1370.25</v>
      </c>
      <c r="F21" s="331">
        <f t="shared" ref="F21:F30" si="0">C21*E21</f>
        <v>367320.785809536</v>
      </c>
      <c r="G21" s="290">
        <f>C21*H21</f>
        <v>2121.2255997889861</v>
      </c>
      <c r="H21" s="328">
        <f>K20</f>
        <v>7.9130000000000003</v>
      </c>
      <c r="I21" s="311" t="s">
        <v>134</v>
      </c>
      <c r="J21" s="829">
        <f>[1]Основные!$F$345</f>
        <v>2020.2</v>
      </c>
      <c r="K21" s="349">
        <v>11.744</v>
      </c>
      <c r="L21" s="352"/>
      <c r="M21" s="352"/>
      <c r="N21" s="356"/>
      <c r="O21" s="353"/>
      <c r="P21" s="356"/>
      <c r="Q21" s="353"/>
      <c r="R21" s="352"/>
      <c r="S21" s="356"/>
      <c r="T21" s="353"/>
      <c r="U21" s="356"/>
      <c r="V21" s="353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</row>
    <row r="22" spans="1:35" s="317" customFormat="1" x14ac:dyDescent="0.2">
      <c r="A22" s="127" t="s">
        <v>185</v>
      </c>
      <c r="B22" s="413" t="str">
        <f>I20</f>
        <v>ПГС-S 300х80х2</v>
      </c>
      <c r="C22" s="332">
        <f>I17*(2*(C10+0.5)+2*(K16+0.5))</f>
        <v>332.5262381064864</v>
      </c>
      <c r="D22" s="166" t="s">
        <v>8</v>
      </c>
      <c r="E22" s="333">
        <f>J20</f>
        <v>1370.25</v>
      </c>
      <c r="F22" s="291">
        <f t="shared" si="0"/>
        <v>455644.07776541298</v>
      </c>
      <c r="G22" s="291">
        <f t="shared" ref="G22:G30" si="1">C22*H22</f>
        <v>2631.2801221366271</v>
      </c>
      <c r="H22" s="328">
        <f>K20</f>
        <v>7.9130000000000003</v>
      </c>
      <c r="I22" s="334" t="s">
        <v>132</v>
      </c>
      <c r="J22" s="829">
        <f>[1]Основные!$F$294</f>
        <v>532.35</v>
      </c>
      <c r="K22" s="266">
        <v>3.07</v>
      </c>
      <c r="L22" s="352"/>
      <c r="M22" s="352"/>
      <c r="N22" s="352"/>
      <c r="O22" s="353"/>
      <c r="P22" s="356"/>
      <c r="Q22" s="353"/>
      <c r="R22" s="352"/>
      <c r="S22" s="356"/>
      <c r="T22" s="353"/>
      <c r="U22" s="356"/>
      <c r="V22" s="353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</row>
    <row r="23" spans="1:35" s="317" customFormat="1" x14ac:dyDescent="0.2">
      <c r="A23" s="127" t="s">
        <v>186</v>
      </c>
      <c r="B23" s="166" t="str">
        <f>I22</f>
        <v>ПГС 145х50х1,5</v>
      </c>
      <c r="C23" s="332">
        <f>3*C9</f>
        <v>180</v>
      </c>
      <c r="D23" s="166" t="s">
        <v>8</v>
      </c>
      <c r="E23" s="333">
        <f>J22</f>
        <v>532.35</v>
      </c>
      <c r="F23" s="291"/>
      <c r="G23" s="291"/>
      <c r="H23" s="328">
        <f>K25</f>
        <v>4.82</v>
      </c>
      <c r="I23" s="334" t="s">
        <v>133</v>
      </c>
      <c r="J23" s="829">
        <f>[1]Основные!$F$295</f>
        <v>704.55000000000007</v>
      </c>
      <c r="K23" s="266">
        <v>4.08</v>
      </c>
      <c r="L23" s="352"/>
      <c r="M23" s="352"/>
      <c r="N23" s="356"/>
      <c r="O23" s="353"/>
      <c r="P23" s="356"/>
      <c r="Q23" s="353"/>
      <c r="R23" s="352"/>
      <c r="S23" s="356"/>
      <c r="T23" s="353"/>
      <c r="U23" s="356"/>
      <c r="V23" s="353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</row>
    <row r="24" spans="1:35" s="317" customFormat="1" x14ac:dyDescent="0.2">
      <c r="A24" s="127" t="s">
        <v>187</v>
      </c>
      <c r="B24" s="166" t="str">
        <f>I34</f>
        <v>ТПС 200х65х2</v>
      </c>
      <c r="C24" s="332">
        <f>IF(I13=1,10*2*(C9+1),11*2*(C9+1))</f>
        <v>1220</v>
      </c>
      <c r="D24" s="166" t="s">
        <v>8</v>
      </c>
      <c r="E24" s="333">
        <f>J33</f>
        <v>666</v>
      </c>
      <c r="F24" s="291">
        <f t="shared" si="0"/>
        <v>812520</v>
      </c>
      <c r="G24" s="291">
        <f t="shared" si="1"/>
        <v>4801.92</v>
      </c>
      <c r="H24" s="328">
        <f>K33</f>
        <v>3.9359999999999999</v>
      </c>
      <c r="I24" s="312" t="s">
        <v>125</v>
      </c>
      <c r="J24" s="829">
        <f>[1]Основные!$F$299</f>
        <v>630</v>
      </c>
      <c r="K24" s="266">
        <v>3.64</v>
      </c>
      <c r="L24" s="352"/>
      <c r="M24" s="352"/>
      <c r="N24" s="352"/>
      <c r="O24" s="352"/>
      <c r="P24" s="352"/>
      <c r="Q24" s="352"/>
      <c r="R24" s="352"/>
      <c r="S24" s="356"/>
      <c r="T24" s="353"/>
      <c r="U24" s="356"/>
      <c r="V24" s="353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</row>
    <row r="25" spans="1:35" s="317" customFormat="1" ht="1.5" customHeight="1" x14ac:dyDescent="0.2">
      <c r="A25" s="127" t="s">
        <v>188</v>
      </c>
      <c r="B25" s="166" t="s">
        <v>110</v>
      </c>
      <c r="C25" s="332">
        <f>IF(I13=1,0,2*(C9+1))</f>
        <v>0</v>
      </c>
      <c r="D25" s="166" t="s">
        <v>8</v>
      </c>
      <c r="E25" s="333">
        <f>J39</f>
        <v>476.70000000000005</v>
      </c>
      <c r="F25" s="291">
        <f t="shared" si="0"/>
        <v>0</v>
      </c>
      <c r="G25" s="291">
        <f t="shared" si="1"/>
        <v>0</v>
      </c>
      <c r="H25" s="328">
        <f>K39</f>
        <v>2.5590000000000002</v>
      </c>
      <c r="I25" s="334" t="s">
        <v>131</v>
      </c>
      <c r="J25" s="829">
        <f>[1]Основные!$F$301</f>
        <v>833.7</v>
      </c>
      <c r="K25" s="266">
        <v>4.82</v>
      </c>
      <c r="L25" s="352"/>
      <c r="M25" s="352"/>
      <c r="N25" s="356"/>
      <c r="O25" s="353"/>
      <c r="P25" s="356"/>
      <c r="Q25" s="353"/>
      <c r="R25" s="352"/>
      <c r="S25" s="356"/>
      <c r="T25" s="353"/>
      <c r="U25" s="356"/>
      <c r="V25" s="353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</row>
    <row r="26" spans="1:35" s="317" customFormat="1" hidden="1" x14ac:dyDescent="0.2">
      <c r="A26" s="127" t="s">
        <v>230</v>
      </c>
      <c r="B26" s="741" t="s">
        <v>231</v>
      </c>
      <c r="C26" s="742">
        <f>4*C9</f>
        <v>240</v>
      </c>
      <c r="D26" s="741" t="s">
        <v>8</v>
      </c>
      <c r="E26" s="743">
        <f>J41</f>
        <v>521.85</v>
      </c>
      <c r="F26" s="744"/>
      <c r="G26" s="744"/>
      <c r="H26" s="328">
        <f>3</f>
        <v>3</v>
      </c>
      <c r="I26" s="334"/>
      <c r="J26" s="266"/>
      <c r="K26" s="348"/>
      <c r="L26" s="352"/>
      <c r="M26" s="352"/>
      <c r="N26" s="356"/>
      <c r="O26" s="353"/>
      <c r="P26" s="356"/>
      <c r="Q26" s="353"/>
      <c r="R26" s="352"/>
      <c r="S26" s="356"/>
      <c r="T26" s="353"/>
      <c r="U26" s="356"/>
      <c r="V26" s="353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</row>
    <row r="27" spans="1:35" s="317" customFormat="1" hidden="1" x14ac:dyDescent="0.2">
      <c r="A27" s="127"/>
      <c r="B27" s="741" t="s">
        <v>336</v>
      </c>
      <c r="C27" s="332">
        <f>I17*(2*C8*0.05)*1.1</f>
        <v>14.520000000000005</v>
      </c>
      <c r="D27" s="166" t="s">
        <v>33</v>
      </c>
      <c r="E27" s="333">
        <f>[1]Основные!$F$40</f>
        <v>1061.3119999999999</v>
      </c>
      <c r="F27" s="291"/>
      <c r="G27" s="291"/>
      <c r="H27" s="328">
        <v>6</v>
      </c>
      <c r="I27" s="334"/>
      <c r="J27" s="266"/>
      <c r="K27" s="348"/>
      <c r="L27" s="352"/>
      <c r="M27" s="352"/>
      <c r="N27" s="356"/>
      <c r="O27" s="353"/>
      <c r="P27" s="356"/>
      <c r="Q27" s="353"/>
      <c r="R27" s="352"/>
      <c r="S27" s="356"/>
      <c r="T27" s="353"/>
      <c r="U27" s="356"/>
      <c r="V27" s="353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</row>
    <row r="28" spans="1:35" s="317" customFormat="1" hidden="1" x14ac:dyDescent="0.2">
      <c r="A28" s="127"/>
      <c r="B28" s="741" t="s">
        <v>219</v>
      </c>
      <c r="C28" s="332">
        <f>2*(C8+2*C10)*1.1</f>
        <v>52.800000000000004</v>
      </c>
      <c r="D28" s="166" t="s">
        <v>8</v>
      </c>
      <c r="E28" s="333">
        <f>J43</f>
        <v>223</v>
      </c>
      <c r="F28" s="291"/>
      <c r="G28" s="291"/>
      <c r="H28" s="328">
        <f>K43</f>
        <v>1.63</v>
      </c>
      <c r="I28" s="334"/>
      <c r="J28" s="266"/>
      <c r="K28" s="348"/>
      <c r="L28" s="352"/>
      <c r="M28" s="352"/>
      <c r="N28" s="356"/>
      <c r="O28" s="353"/>
      <c r="P28" s="356"/>
      <c r="Q28" s="353"/>
      <c r="R28" s="352"/>
      <c r="S28" s="356"/>
      <c r="T28" s="353"/>
      <c r="U28" s="356"/>
      <c r="V28" s="353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</row>
    <row r="29" spans="1:35" s="317" customFormat="1" x14ac:dyDescent="0.2">
      <c r="A29" s="127"/>
      <c r="B29" s="166" t="s">
        <v>79</v>
      </c>
      <c r="C29" s="332">
        <f>I17*(C8+2*C10)/0.6</f>
        <v>440</v>
      </c>
      <c r="D29" s="166" t="s">
        <v>10</v>
      </c>
      <c r="E29" s="140">
        <f>[1]Основные!$F$544</f>
        <v>291</v>
      </c>
      <c r="F29" s="291">
        <f t="shared" si="0"/>
        <v>128040</v>
      </c>
      <c r="G29" s="291">
        <f t="shared" si="1"/>
        <v>616</v>
      </c>
      <c r="H29" s="328">
        <v>1.4</v>
      </c>
      <c r="I29" s="335" t="s">
        <v>123</v>
      </c>
      <c r="J29" s="840">
        <f>[1]Основные!$D$259</f>
        <v>507</v>
      </c>
      <c r="K29" s="348">
        <v>2.86</v>
      </c>
      <c r="L29" s="352"/>
      <c r="M29" s="357"/>
      <c r="N29" s="357"/>
      <c r="O29" s="358"/>
      <c r="P29" s="359"/>
      <c r="Q29" s="358"/>
      <c r="R29" s="352"/>
      <c r="S29" s="356"/>
      <c r="T29" s="353"/>
      <c r="U29" s="356"/>
      <c r="V29" s="353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</row>
    <row r="30" spans="1:35" s="317" customFormat="1" x14ac:dyDescent="0.2">
      <c r="A30" s="127"/>
      <c r="B30" s="166" t="s">
        <v>78</v>
      </c>
      <c r="C30" s="332">
        <f>2*C29</f>
        <v>880</v>
      </c>
      <c r="D30" s="166" t="s">
        <v>10</v>
      </c>
      <c r="E30" s="140">
        <f>[1]Основные!$F$545</f>
        <v>114</v>
      </c>
      <c r="F30" s="291">
        <f t="shared" si="0"/>
        <v>100320</v>
      </c>
      <c r="G30" s="291">
        <f t="shared" si="1"/>
        <v>440</v>
      </c>
      <c r="H30" s="328">
        <v>0.5</v>
      </c>
      <c r="I30" s="336" t="s">
        <v>135</v>
      </c>
      <c r="J30" s="635">
        <f>[1]Основные!$D$265</f>
        <v>570</v>
      </c>
      <c r="K30" s="350">
        <v>3.3380000000000001</v>
      </c>
      <c r="L30" s="352"/>
      <c r="M30" s="352"/>
      <c r="N30" s="356"/>
      <c r="O30" s="353"/>
      <c r="P30" s="356"/>
      <c r="Q30" s="353"/>
      <c r="R30" s="352"/>
      <c r="S30" s="356"/>
      <c r="T30" s="353"/>
      <c r="U30" s="356"/>
      <c r="V30" s="353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</row>
    <row r="31" spans="1:35" s="317" customFormat="1" x14ac:dyDescent="0.2">
      <c r="A31" s="127"/>
      <c r="B31" s="166" t="s">
        <v>72</v>
      </c>
      <c r="C31" s="93">
        <v>0.05</v>
      </c>
      <c r="D31" s="166"/>
      <c r="E31" s="333"/>
      <c r="F31" s="291">
        <f>SUM(F21:F30)*C31</f>
        <v>93192.243178747463</v>
      </c>
      <c r="G31" s="200"/>
      <c r="H31" s="328"/>
      <c r="I31" s="315" t="s">
        <v>136</v>
      </c>
      <c r="J31" s="635">
        <f>[1]Основные!$D$277</f>
        <v>604</v>
      </c>
      <c r="K31" s="350">
        <v>3.4569999999999999</v>
      </c>
      <c r="L31" s="356"/>
      <c r="M31" s="352"/>
      <c r="N31" s="356"/>
      <c r="O31" s="353"/>
      <c r="P31" s="356"/>
      <c r="Q31" s="353"/>
      <c r="R31" s="352"/>
      <c r="S31" s="356"/>
      <c r="T31" s="353"/>
      <c r="U31" s="356"/>
      <c r="V31" s="353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</row>
    <row r="32" spans="1:35" s="317" customFormat="1" ht="13.5" thickBot="1" x14ac:dyDescent="0.25">
      <c r="A32" s="128"/>
      <c r="B32" s="123" t="s">
        <v>81</v>
      </c>
      <c r="C32" s="338"/>
      <c r="D32" s="339"/>
      <c r="E32" s="340"/>
      <c r="F32" s="118">
        <f>SUM(F21:F31)</f>
        <v>1957037.1067536965</v>
      </c>
      <c r="G32" s="201">
        <f>SUM(G21:G31)</f>
        <v>10610.425721925614</v>
      </c>
      <c r="H32" s="328"/>
      <c r="I32" s="336" t="s">
        <v>139</v>
      </c>
      <c r="J32" s="840">
        <f>[1]Основные!$D$278</f>
        <v>779</v>
      </c>
      <c r="K32" s="348">
        <v>4.5289999999999999</v>
      </c>
      <c r="L32" s="356"/>
      <c r="M32" s="352"/>
      <c r="N32" s="356"/>
      <c r="O32" s="353"/>
      <c r="P32" s="356"/>
      <c r="Q32" s="353"/>
      <c r="R32" s="352"/>
      <c r="S32" s="352"/>
      <c r="T32" s="353"/>
      <c r="U32" s="356"/>
      <c r="V32" s="353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</row>
    <row r="33" spans="1:35" ht="13.5" thickBot="1" x14ac:dyDescent="0.25">
      <c r="A33" s="92">
        <v>2</v>
      </c>
      <c r="B33" s="129" t="s">
        <v>82</v>
      </c>
      <c r="C33" s="119"/>
      <c r="D33" s="7"/>
      <c r="E33" s="133"/>
      <c r="F33" s="125"/>
      <c r="G33" s="202"/>
      <c r="H33" s="270"/>
      <c r="I33" s="313" t="s">
        <v>137</v>
      </c>
      <c r="J33" s="841">
        <f>[1]Основные!$D$284</f>
        <v>666</v>
      </c>
      <c r="K33" s="219">
        <v>3.9359999999999999</v>
      </c>
      <c r="L33" s="192"/>
      <c r="M33" s="802"/>
      <c r="N33" s="80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</row>
    <row r="34" spans="1:35" x14ac:dyDescent="0.2">
      <c r="A34" s="120" t="s">
        <v>189</v>
      </c>
      <c r="B34" s="54" t="str">
        <f>I39</f>
        <v>ТПП 150х1,5</v>
      </c>
      <c r="C34" s="345">
        <f>(C10/1.2+1)*(C8+C9)*2*1.1</f>
        <v>950.40000000000009</v>
      </c>
      <c r="D34" s="77" t="s">
        <v>8</v>
      </c>
      <c r="E34" s="134">
        <f>J41</f>
        <v>521.85</v>
      </c>
      <c r="F34" s="43">
        <f t="shared" ref="F34:F35" si="2">C34*E34</f>
        <v>495966.24000000005</v>
      </c>
      <c r="G34" s="291">
        <f t="shared" ref="G34:G35" si="3">C34*H34</f>
        <v>2851.2000000000003</v>
      </c>
      <c r="H34" s="270">
        <v>3</v>
      </c>
      <c r="I34" s="230" t="s">
        <v>138</v>
      </c>
      <c r="J34" s="841">
        <f>[1]Основные!$D$285</f>
        <v>882</v>
      </c>
      <c r="K34" s="219">
        <v>5.1639999999999997</v>
      </c>
      <c r="L34" s="192"/>
      <c r="M34" s="194"/>
      <c r="N34" s="194"/>
      <c r="O34" s="194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</row>
    <row r="35" spans="1:35" ht="12" customHeight="1" x14ac:dyDescent="0.2">
      <c r="A35" s="414" t="s">
        <v>190</v>
      </c>
      <c r="B35" s="4" t="s">
        <v>121</v>
      </c>
      <c r="C35" s="85">
        <f>(C8+C9)*2/C11*C10*2*1.1+L141*J141/0.6*O141+(J141+K141)*2*2*L141*1.1</f>
        <v>316.8</v>
      </c>
      <c r="D35" s="4" t="s">
        <v>8</v>
      </c>
      <c r="E35" s="135">
        <f>J41</f>
        <v>521.85</v>
      </c>
      <c r="F35" s="43">
        <f t="shared" si="2"/>
        <v>165322.08000000002</v>
      </c>
      <c r="G35" s="291">
        <f t="shared" si="3"/>
        <v>887.04</v>
      </c>
      <c r="H35" s="270">
        <f>K41</f>
        <v>2.8</v>
      </c>
      <c r="I35" s="230" t="s">
        <v>140</v>
      </c>
      <c r="J35" s="841">
        <f>[1]Основные!$D$288</f>
        <v>753</v>
      </c>
      <c r="K35" s="219">
        <v>4.4729999999999999</v>
      </c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</row>
    <row r="36" spans="1:35" hidden="1" x14ac:dyDescent="0.2">
      <c r="A36" s="414" t="s">
        <v>191</v>
      </c>
      <c r="B36" s="4" t="s">
        <v>113</v>
      </c>
      <c r="C36" s="85">
        <f>2*(C8+C9)*2</f>
        <v>288</v>
      </c>
      <c r="D36" s="4" t="s">
        <v>8</v>
      </c>
      <c r="E36" s="135">
        <f>J38</f>
        <v>262.5</v>
      </c>
      <c r="F36" s="43"/>
      <c r="G36" s="291"/>
      <c r="H36" s="270">
        <f>K38</f>
        <v>1.7270000000000001</v>
      </c>
      <c r="I36" s="230" t="s">
        <v>141</v>
      </c>
      <c r="J36" s="841">
        <f>[1]Основные!$D$289</f>
        <v>997</v>
      </c>
      <c r="K36" s="219">
        <v>5.8</v>
      </c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</row>
    <row r="37" spans="1:35" hidden="1" x14ac:dyDescent="0.2">
      <c r="A37" s="121"/>
      <c r="B37" s="166" t="str">
        <f>I43</f>
        <v>ПШ 61х1</v>
      </c>
      <c r="C37" s="85">
        <f>IF(I3=J10,C41/0.6,0)</f>
        <v>0</v>
      </c>
      <c r="D37" s="4" t="s">
        <v>8</v>
      </c>
      <c r="E37" s="301">
        <f>J43</f>
        <v>223</v>
      </c>
      <c r="F37" s="43">
        <f t="shared" ref="F37:F39" si="4">C37*E37</f>
        <v>0</v>
      </c>
      <c r="G37" s="291">
        <f t="shared" ref="G37:G39" si="5">C37*H37</f>
        <v>0</v>
      </c>
      <c r="H37" s="270">
        <f>K43</f>
        <v>1.63</v>
      </c>
      <c r="I37" s="314" t="s">
        <v>19</v>
      </c>
      <c r="J37" s="831">
        <f>[1]Основные!$F$215</f>
        <v>218.4</v>
      </c>
      <c r="K37" s="219">
        <v>1.4059999999999999</v>
      </c>
      <c r="L37" s="3" t="s">
        <v>245</v>
      </c>
      <c r="M37" s="834">
        <f>[1]Основные!$F$216</f>
        <v>302.40000000000003</v>
      </c>
      <c r="N37" s="3">
        <v>1.69</v>
      </c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</row>
    <row r="38" spans="1:35" x14ac:dyDescent="0.2">
      <c r="A38" s="121"/>
      <c r="B38" s="4" t="s">
        <v>97</v>
      </c>
      <c r="C38" s="82">
        <f>(3*C9+2*C8)/2.9</f>
        <v>70.344827586206904</v>
      </c>
      <c r="D38" s="4" t="s">
        <v>10</v>
      </c>
      <c r="E38" s="136">
        <f>[7]Источник!$F$491</f>
        <v>445</v>
      </c>
      <c r="F38" s="43">
        <f t="shared" si="4"/>
        <v>31303.448275862072</v>
      </c>
      <c r="G38" s="291">
        <f t="shared" si="5"/>
        <v>65.420689655172424</v>
      </c>
      <c r="H38" s="270">
        <f>L67</f>
        <v>0.93</v>
      </c>
      <c r="I38" s="231" t="s">
        <v>113</v>
      </c>
      <c r="J38" s="831">
        <f>[1]Основные!$F$227</f>
        <v>262.5</v>
      </c>
      <c r="K38" s="219">
        <v>1.7270000000000001</v>
      </c>
      <c r="L38" s="3"/>
      <c r="M38" s="3"/>
      <c r="N38" s="3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</row>
    <row r="39" spans="1:35" x14ac:dyDescent="0.2">
      <c r="A39" s="121"/>
      <c r="B39" s="4" t="s">
        <v>247</v>
      </c>
      <c r="C39" s="82">
        <f>4*C10/1.9</f>
        <v>12.631578947368421</v>
      </c>
      <c r="D39" s="4" t="s">
        <v>10</v>
      </c>
      <c r="E39" s="132" t="str">
        <f>[7]Источник!$F$500</f>
        <v>339,5</v>
      </c>
      <c r="F39" s="43">
        <f t="shared" si="4"/>
        <v>4288.4210526315792</v>
      </c>
      <c r="G39" s="291">
        <f t="shared" si="5"/>
        <v>29.052631578947366</v>
      </c>
      <c r="H39" s="270">
        <f>L69</f>
        <v>2.2999999999999998</v>
      </c>
      <c r="I39" s="288" t="s">
        <v>211</v>
      </c>
      <c r="J39" s="832">
        <f>[1]Основные!$F$229</f>
        <v>476.70000000000005</v>
      </c>
      <c r="K39" s="289">
        <v>2.5590000000000002</v>
      </c>
      <c r="L39" s="3" t="s">
        <v>246</v>
      </c>
      <c r="M39" s="834">
        <f>[1]Основные!$F$228</f>
        <v>362.25</v>
      </c>
      <c r="N39" s="3">
        <v>2.02</v>
      </c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</row>
    <row r="40" spans="1:35" x14ac:dyDescent="0.2">
      <c r="A40" s="182" t="str">
        <f>IF(I3=2,"нар.окр","нар. оц")</f>
        <v>нар.окр</v>
      </c>
      <c r="B40" s="4" t="str">
        <f>L45</f>
        <v>МП 20 0,5мм</v>
      </c>
      <c r="C40" s="82">
        <f>(C8*2+C9*2)*C10*1.1+C8*2*1.1+C9*2*1.1</f>
        <v>1108.8000000000002</v>
      </c>
      <c r="D40" s="4" t="s">
        <v>8</v>
      </c>
      <c r="E40" s="164">
        <f>N45</f>
        <v>590.44449999999995</v>
      </c>
      <c r="F40" s="43">
        <f t="shared" ref="F40" si="6">C40*E40</f>
        <v>654684.86160000006</v>
      </c>
      <c r="G40" s="291">
        <f t="shared" ref="G40" si="7">C40*H40</f>
        <v>5876.64</v>
      </c>
      <c r="H40" s="270">
        <f>O45</f>
        <v>5.3</v>
      </c>
      <c r="I40" s="231" t="s">
        <v>143</v>
      </c>
      <c r="J40" s="831">
        <f>[1]Основные!$F$239</f>
        <v>318.15000000000003</v>
      </c>
      <c r="K40" s="219">
        <v>2.1179999999999999</v>
      </c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</row>
    <row r="41" spans="1:35" x14ac:dyDescent="0.2">
      <c r="A41" s="121"/>
      <c r="B41" s="4" t="str">
        <f>L51</f>
        <v>КФ</v>
      </c>
      <c r="C41" s="82">
        <f>IF(I3=J10,2*(C8+C9)*C10*1.2+C9*2.5*1.2,0)</f>
        <v>0</v>
      </c>
      <c r="D41" s="4" t="s">
        <v>33</v>
      </c>
      <c r="E41" s="164">
        <f>M51</f>
        <v>1868</v>
      </c>
      <c r="F41" s="43"/>
      <c r="G41" s="291"/>
      <c r="H41" s="270">
        <f>O50</f>
        <v>5</v>
      </c>
      <c r="I41" s="231" t="s">
        <v>121</v>
      </c>
      <c r="J41" s="831">
        <f>[1]Основные!$F$253</f>
        <v>521.85</v>
      </c>
      <c r="K41" s="219">
        <v>2.8</v>
      </c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</row>
    <row r="42" spans="1:35" x14ac:dyDescent="0.2">
      <c r="A42" s="182" t="str">
        <f>IF(I4=2,"вн.ок","вн.оц")</f>
        <v>вн.ок</v>
      </c>
      <c r="B42" s="4" t="str">
        <f>L45</f>
        <v>МП 20 0,5мм</v>
      </c>
      <c r="C42" s="415">
        <f>C40</f>
        <v>1108.8000000000002</v>
      </c>
      <c r="D42" s="4" t="s">
        <v>33</v>
      </c>
      <c r="E42" s="164">
        <f>M45</f>
        <v>787.74999999999989</v>
      </c>
      <c r="F42" s="43"/>
      <c r="G42" s="291"/>
      <c r="H42" s="270">
        <f>O45</f>
        <v>5.3</v>
      </c>
      <c r="I42" s="231" t="s">
        <v>142</v>
      </c>
      <c r="J42" s="831">
        <f>[1]Основные!$F$273</f>
        <v>618.45000000000005</v>
      </c>
      <c r="K42" s="219">
        <v>3.09</v>
      </c>
      <c r="L42" s="226" t="s">
        <v>147</v>
      </c>
      <c r="M42" s="227" t="s">
        <v>156</v>
      </c>
      <c r="N42" s="227" t="s">
        <v>157</v>
      </c>
      <c r="O42" s="219" t="s">
        <v>154</v>
      </c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</row>
    <row r="43" spans="1:35" x14ac:dyDescent="0.2">
      <c r="A43" s="121"/>
      <c r="B43" s="4" t="s">
        <v>72</v>
      </c>
      <c r="C43" s="93">
        <v>0.05</v>
      </c>
      <c r="D43" s="4"/>
      <c r="E43" s="135"/>
      <c r="F43" s="43">
        <f>SUM(F34:F42)*C43</f>
        <v>67578.252546424686</v>
      </c>
      <c r="G43" s="200"/>
      <c r="H43" s="270"/>
      <c r="I43" s="300" t="s">
        <v>219</v>
      </c>
      <c r="J43" s="260">
        <f>[1]Основные!$F$352</f>
        <v>223</v>
      </c>
      <c r="K43" s="219">
        <v>1.63</v>
      </c>
      <c r="L43" s="219" t="s">
        <v>158</v>
      </c>
      <c r="M43" s="260" t="e">
        <f>[1]Основные!$D$29</f>
        <v>#N/A</v>
      </c>
      <c r="N43" s="835" t="e">
        <f>[1]Основные!$D$31</f>
        <v>#N/A</v>
      </c>
      <c r="O43" s="226">
        <v>4.5999999999999996</v>
      </c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</row>
    <row r="44" spans="1:35" ht="13.5" thickBot="1" x14ac:dyDescent="0.25">
      <c r="A44" s="122"/>
      <c r="B44" s="123" t="s">
        <v>83</v>
      </c>
      <c r="C44" s="124"/>
      <c r="D44" s="44"/>
      <c r="E44" s="137"/>
      <c r="F44" s="118">
        <f>SUM(F34:F43)</f>
        <v>1419143.3034749185</v>
      </c>
      <c r="G44" s="201">
        <f>SUM(G34:G43)</f>
        <v>9709.3533212341208</v>
      </c>
      <c r="H44" s="270"/>
      <c r="I44" s="300" t="s">
        <v>220</v>
      </c>
      <c r="J44" s="260" t="e">
        <f>[1]Основные!$F$350</f>
        <v>#N/A</v>
      </c>
      <c r="K44" s="219">
        <v>0.78</v>
      </c>
      <c r="L44" s="219"/>
      <c r="M44" s="226"/>
      <c r="N44" s="3"/>
      <c r="O44" s="226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</row>
    <row r="45" spans="1:35" x14ac:dyDescent="0.2">
      <c r="A45" s="191">
        <v>3</v>
      </c>
      <c r="B45" s="129" t="s">
        <v>93</v>
      </c>
      <c r="C45" s="119"/>
      <c r="D45" s="7"/>
      <c r="E45" s="138"/>
      <c r="F45" s="158"/>
      <c r="G45" s="159"/>
      <c r="H45" s="270"/>
      <c r="I45" s="300" t="s">
        <v>115</v>
      </c>
      <c r="J45" s="833">
        <f>[1]Основные!$F$355</f>
        <v>190</v>
      </c>
      <c r="K45" s="219">
        <v>1.4</v>
      </c>
      <c r="L45" s="292" t="s">
        <v>234</v>
      </c>
      <c r="M45" s="836">
        <f>[1]Основные!$F$74</f>
        <v>787.74999999999989</v>
      </c>
      <c r="N45" s="837">
        <f>[1]Основные!$F$75</f>
        <v>590.44449999999995</v>
      </c>
      <c r="O45" s="226">
        <v>5.3</v>
      </c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</row>
    <row r="46" spans="1:35" x14ac:dyDescent="0.2">
      <c r="A46" s="414"/>
      <c r="B46" s="166" t="s">
        <v>19</v>
      </c>
      <c r="C46" s="82">
        <f>IF(E17&gt;0,D154+D155,0)</f>
        <v>0</v>
      </c>
      <c r="D46" s="4" t="s">
        <v>8</v>
      </c>
      <c r="E46" s="135">
        <f>J37</f>
        <v>218.4</v>
      </c>
      <c r="F46" s="43">
        <f>C46*E46</f>
        <v>0</v>
      </c>
      <c r="G46" s="803">
        <f>C46*H46</f>
        <v>0</v>
      </c>
      <c r="H46" s="270">
        <f>K37</f>
        <v>1.4059999999999999</v>
      </c>
      <c r="I46" s="802"/>
      <c r="J46" s="802"/>
      <c r="K46" s="192"/>
      <c r="L46" s="219"/>
      <c r="M46" s="226"/>
      <c r="N46" s="3"/>
      <c r="O46" s="226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</row>
    <row r="47" spans="1:35" x14ac:dyDescent="0.2">
      <c r="A47" s="414" t="s">
        <v>221</v>
      </c>
      <c r="B47" s="166" t="str">
        <f>L45</f>
        <v>МП 20 0,5мм</v>
      </c>
      <c r="C47" s="82">
        <f>IF(E17&gt;0,E17*2*1.1,0)</f>
        <v>0</v>
      </c>
      <c r="D47" s="4" t="s">
        <v>33</v>
      </c>
      <c r="E47" s="135">
        <f>M45</f>
        <v>787.74999999999989</v>
      </c>
      <c r="F47" s="43">
        <f>C47*E47</f>
        <v>0</v>
      </c>
      <c r="G47" s="803">
        <f>C47*H47</f>
        <v>0</v>
      </c>
      <c r="H47" s="270">
        <f>O45</f>
        <v>5.3</v>
      </c>
      <c r="I47" s="802"/>
      <c r="J47" s="802"/>
      <c r="K47" s="192"/>
      <c r="L47" s="219" t="s">
        <v>159</v>
      </c>
      <c r="M47" s="833">
        <f>[1]Основные!$F$26</f>
        <v>1</v>
      </c>
      <c r="N47" s="262">
        <f>[1]Основные!$F$23</f>
        <v>555</v>
      </c>
      <c r="O47" s="226">
        <v>4.5999999999999996</v>
      </c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</row>
    <row r="48" spans="1:35" x14ac:dyDescent="0.2">
      <c r="A48" s="414"/>
      <c r="B48" s="4" t="s">
        <v>72</v>
      </c>
      <c r="C48" s="93">
        <v>0.05</v>
      </c>
      <c r="D48" s="4"/>
      <c r="E48" s="135"/>
      <c r="F48" s="43">
        <f>SUM(F46:F47)*C48</f>
        <v>0</v>
      </c>
      <c r="G48" s="803"/>
      <c r="H48" s="270"/>
      <c r="I48" s="802"/>
      <c r="J48" s="802"/>
      <c r="K48" s="192"/>
      <c r="L48" s="219"/>
      <c r="M48" s="226"/>
      <c r="N48" s="3"/>
      <c r="O48" s="226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</row>
    <row r="49" spans="1:35" ht="13.5" thickBot="1" x14ac:dyDescent="0.25">
      <c r="A49" s="414"/>
      <c r="B49" s="90" t="s">
        <v>126</v>
      </c>
      <c r="C49" s="82"/>
      <c r="D49" s="4"/>
      <c r="E49" s="135"/>
      <c r="F49" s="160">
        <f>SUM(F46:F48)</f>
        <v>0</v>
      </c>
      <c r="G49" s="203">
        <f>SUM(G46:G48)</f>
        <v>0</v>
      </c>
      <c r="H49" s="270"/>
      <c r="I49" s="802"/>
      <c r="J49" s="802"/>
      <c r="K49" s="192"/>
      <c r="L49" s="219" t="s">
        <v>1</v>
      </c>
      <c r="M49" s="833">
        <f>[1]Основные!$F$86</f>
        <v>1035</v>
      </c>
      <c r="N49" s="3"/>
      <c r="O49" s="226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</row>
    <row r="50" spans="1:35" x14ac:dyDescent="0.2">
      <c r="A50" s="177">
        <v>3</v>
      </c>
      <c r="B50" s="178" t="s">
        <v>112</v>
      </c>
      <c r="C50" s="179"/>
      <c r="D50" s="77"/>
      <c r="E50" s="180" t="s">
        <v>116</v>
      </c>
      <c r="F50" s="181"/>
      <c r="G50" s="204"/>
      <c r="H50" s="270"/>
      <c r="I50" s="802" t="s">
        <v>144</v>
      </c>
      <c r="J50" s="802"/>
      <c r="K50" s="192"/>
      <c r="L50" s="219" t="s">
        <v>145</v>
      </c>
      <c r="M50" s="833">
        <f>[1]Основные!$F$16</f>
        <v>1255</v>
      </c>
      <c r="N50" s="3"/>
      <c r="O50" s="226">
        <v>5</v>
      </c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</row>
    <row r="51" spans="1:35" x14ac:dyDescent="0.2">
      <c r="A51" s="182"/>
      <c r="B51" s="4" t="s">
        <v>2</v>
      </c>
      <c r="C51" s="85">
        <f>C56*C10</f>
        <v>48</v>
      </c>
      <c r="D51" s="4" t="s">
        <v>8</v>
      </c>
      <c r="E51" s="522">
        <f>[1]Основные!$F$142</f>
        <v>840</v>
      </c>
      <c r="F51" s="43">
        <f>E51*C51</f>
        <v>40320</v>
      </c>
      <c r="G51" s="43">
        <f>H51*C51</f>
        <v>72</v>
      </c>
      <c r="H51" s="302">
        <v>1.5</v>
      </c>
      <c r="I51" s="229">
        <f>[1]Основные!$F$130</f>
        <v>585</v>
      </c>
      <c r="J51" s="802"/>
      <c r="K51" s="192"/>
      <c r="L51" s="219" t="s">
        <v>146</v>
      </c>
      <c r="M51" s="260">
        <f>[1]Основные!$F$11</f>
        <v>1868</v>
      </c>
      <c r="N51" s="3"/>
      <c r="O51" s="226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</row>
    <row r="52" spans="1:35" x14ac:dyDescent="0.2">
      <c r="A52" s="182"/>
      <c r="B52" s="4" t="s">
        <v>0</v>
      </c>
      <c r="C52" s="85">
        <f>2*C9</f>
        <v>120</v>
      </c>
      <c r="D52" s="4" t="s">
        <v>8</v>
      </c>
      <c r="E52" s="183">
        <f>[1]Основные!$F$141</f>
        <v>635</v>
      </c>
      <c r="F52" s="43">
        <f t="shared" ref="F52:F59" si="8">E52*C52</f>
        <v>76200</v>
      </c>
      <c r="G52" s="43">
        <f t="shared" ref="G52:G59" si="9">H52*C52</f>
        <v>180</v>
      </c>
      <c r="H52" s="302">
        <v>1.5</v>
      </c>
      <c r="I52" s="229">
        <f>[1]Основные!$F$129</f>
        <v>466</v>
      </c>
      <c r="J52" s="802"/>
      <c r="K52" s="192"/>
      <c r="L52" s="292" t="s">
        <v>160</v>
      </c>
      <c r="M52" s="833">
        <f>[1]Основные!$F$80</f>
        <v>868.24999999999989</v>
      </c>
      <c r="N52" s="834">
        <f>[1]Основные!$F$81</f>
        <v>648.53100000000006</v>
      </c>
      <c r="O52" s="226">
        <v>5.3</v>
      </c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</row>
    <row r="53" spans="1:35" x14ac:dyDescent="0.2">
      <c r="A53" s="182"/>
      <c r="B53" s="166" t="s">
        <v>4</v>
      </c>
      <c r="C53" s="85">
        <f>C51/2</f>
        <v>24</v>
      </c>
      <c r="D53" s="4" t="s">
        <v>10</v>
      </c>
      <c r="E53" s="183">
        <f>[1]Основные!$F$144</f>
        <v>413</v>
      </c>
      <c r="F53" s="43">
        <f t="shared" si="8"/>
        <v>9912</v>
      </c>
      <c r="G53" s="43">
        <f t="shared" si="9"/>
        <v>12</v>
      </c>
      <c r="H53" s="302">
        <v>0.5</v>
      </c>
      <c r="I53" s="229">
        <f>[1]Основные!$F$132</f>
        <v>351</v>
      </c>
      <c r="J53" s="802"/>
      <c r="K53" s="192"/>
      <c r="L53" s="219"/>
      <c r="M53" s="226"/>
      <c r="N53" s="3"/>
      <c r="O53" s="226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</row>
    <row r="54" spans="1:35" x14ac:dyDescent="0.2">
      <c r="A54" s="182"/>
      <c r="B54" s="4" t="s">
        <v>3</v>
      </c>
      <c r="C54" s="85">
        <f>C52/0.7</f>
        <v>171.42857142857144</v>
      </c>
      <c r="D54" s="4" t="s">
        <v>10</v>
      </c>
      <c r="E54" s="183">
        <f>[1]Основные!$F$144</f>
        <v>413</v>
      </c>
      <c r="F54" s="43">
        <f t="shared" si="8"/>
        <v>70800</v>
      </c>
      <c r="G54" s="43">
        <f t="shared" si="9"/>
        <v>85.714285714285722</v>
      </c>
      <c r="H54" s="302">
        <v>0.5</v>
      </c>
      <c r="I54" s="229">
        <f>[1]Основные!$F$132</f>
        <v>351</v>
      </c>
      <c r="J54" s="802"/>
      <c r="K54" s="192"/>
      <c r="L54" s="219" t="s">
        <v>161</v>
      </c>
      <c r="M54" s="836">
        <f>[1]Основные!$F$83</f>
        <v>1265</v>
      </c>
      <c r="N54" s="837">
        <f>[1]Основные!$F$84</f>
        <v>924.61149999999986</v>
      </c>
      <c r="O54" s="226">
        <v>7.4</v>
      </c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</row>
    <row r="55" spans="1:35" x14ac:dyDescent="0.2">
      <c r="A55" s="182"/>
      <c r="B55" s="4" t="s">
        <v>5</v>
      </c>
      <c r="C55" s="85">
        <f>4</f>
        <v>4</v>
      </c>
      <c r="D55" s="4" t="s">
        <v>10</v>
      </c>
      <c r="E55" s="183">
        <f>[1]Основные!$F$145</f>
        <v>146</v>
      </c>
      <c r="F55" s="43">
        <f t="shared" si="8"/>
        <v>584</v>
      </c>
      <c r="G55" s="43">
        <f t="shared" si="9"/>
        <v>2</v>
      </c>
      <c r="H55" s="302">
        <v>0.5</v>
      </c>
      <c r="I55" s="229">
        <f>[1]Основные!$F$134</f>
        <v>129</v>
      </c>
      <c r="J55" s="802"/>
      <c r="K55" s="192"/>
      <c r="L55" s="219"/>
      <c r="M55" s="226"/>
      <c r="N55" s="3"/>
      <c r="O55" s="226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</row>
    <row r="56" spans="1:35" x14ac:dyDescent="0.2">
      <c r="A56" s="182"/>
      <c r="B56" s="4" t="s">
        <v>117</v>
      </c>
      <c r="C56" s="85">
        <f>CEILING(C8*C9/100,2)</f>
        <v>8</v>
      </c>
      <c r="D56" s="4" t="s">
        <v>10</v>
      </c>
      <c r="E56" s="183">
        <f>[1]Основные!$F$143</f>
        <v>495</v>
      </c>
      <c r="F56" s="43">
        <f t="shared" si="8"/>
        <v>3960</v>
      </c>
      <c r="G56" s="43">
        <f t="shared" si="9"/>
        <v>4</v>
      </c>
      <c r="H56" s="302">
        <v>0.5</v>
      </c>
      <c r="I56" s="220">
        <f>[1]Основные!$F$131</f>
        <v>463</v>
      </c>
      <c r="J56" s="802"/>
      <c r="K56" s="192"/>
      <c r="L56" s="219" t="s">
        <v>162</v>
      </c>
      <c r="M56" s="226">
        <f>[7]Источник!$G$56</f>
        <v>0</v>
      </c>
      <c r="N56" s="3">
        <f>[7]Источник!$G$52</f>
        <v>0</v>
      </c>
      <c r="O56" s="226">
        <v>8.8000000000000007</v>
      </c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</row>
    <row r="57" spans="1:35" x14ac:dyDescent="0.2">
      <c r="A57" s="182"/>
      <c r="B57" s="4" t="s">
        <v>118</v>
      </c>
      <c r="C57" s="85">
        <f>2*C56</f>
        <v>16</v>
      </c>
      <c r="D57" s="4" t="s">
        <v>10</v>
      </c>
      <c r="E57" s="183">
        <f>[1]Основные!$F$143</f>
        <v>495</v>
      </c>
      <c r="F57" s="43">
        <f t="shared" si="8"/>
        <v>7920</v>
      </c>
      <c r="G57" s="43">
        <f t="shared" si="9"/>
        <v>8</v>
      </c>
      <c r="H57" s="302">
        <v>0.5</v>
      </c>
      <c r="I57" s="220">
        <f>[1]Основные!$F$131</f>
        <v>463</v>
      </c>
      <c r="J57" s="802"/>
      <c r="K57" s="192"/>
      <c r="L57" s="219"/>
      <c r="M57" s="226"/>
      <c r="N57" s="3"/>
      <c r="O57" s="226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</row>
    <row r="58" spans="1:35" x14ac:dyDescent="0.2">
      <c r="A58" s="182"/>
      <c r="B58" s="4" t="s">
        <v>119</v>
      </c>
      <c r="C58" s="85">
        <f>C52/5</f>
        <v>24</v>
      </c>
      <c r="D58" s="4" t="s">
        <v>10</v>
      </c>
      <c r="E58" s="183">
        <f>[1]Основные!$F$148</f>
        <v>309</v>
      </c>
      <c r="F58" s="43">
        <f t="shared" si="8"/>
        <v>7416</v>
      </c>
      <c r="G58" s="43">
        <f t="shared" si="9"/>
        <v>12</v>
      </c>
      <c r="H58" s="302">
        <v>0.5</v>
      </c>
      <c r="I58" s="220">
        <f>[1]Основные!$F$133</f>
        <v>64</v>
      </c>
      <c r="J58" s="802"/>
      <c r="K58" s="192"/>
      <c r="L58" s="219" t="s">
        <v>163</v>
      </c>
      <c r="M58" s="226">
        <f>[7]Источник!$G$69</f>
        <v>0</v>
      </c>
      <c r="N58" s="3"/>
      <c r="O58" s="226">
        <v>7.4</v>
      </c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</row>
    <row r="59" spans="1:35" ht="13.5" thickBot="1" x14ac:dyDescent="0.25">
      <c r="A59" s="184"/>
      <c r="B59" s="61" t="s">
        <v>6</v>
      </c>
      <c r="C59" s="185">
        <f>C56</f>
        <v>8</v>
      </c>
      <c r="D59" s="44" t="s">
        <v>10</v>
      </c>
      <c r="E59" s="186">
        <f>[1]Основные!$F$146</f>
        <v>408</v>
      </c>
      <c r="F59" s="43">
        <f t="shared" si="8"/>
        <v>3264</v>
      </c>
      <c r="G59" s="43">
        <f t="shared" si="9"/>
        <v>4</v>
      </c>
      <c r="H59" s="302">
        <v>0.5</v>
      </c>
      <c r="I59" s="229">
        <f>[1]Основные!$F$135</f>
        <v>352</v>
      </c>
      <c r="J59" s="802"/>
      <c r="K59" s="192"/>
      <c r="L59" s="219"/>
      <c r="M59" s="226"/>
      <c r="N59" s="3"/>
      <c r="O59" s="226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</row>
    <row r="60" spans="1:35" x14ac:dyDescent="0.2">
      <c r="A60" s="188"/>
      <c r="B60" s="4" t="s">
        <v>72</v>
      </c>
      <c r="C60" s="189">
        <v>0.05</v>
      </c>
      <c r="D60" s="9"/>
      <c r="E60" s="804"/>
      <c r="F60" s="190">
        <f>SUM(F51:F59)*C60</f>
        <v>11018.800000000001</v>
      </c>
      <c r="G60" s="206"/>
      <c r="H60" s="270"/>
      <c r="I60" s="802"/>
      <c r="J60" s="802"/>
      <c r="K60" s="192"/>
      <c r="L60" s="192"/>
      <c r="M60" s="802"/>
      <c r="N60" s="802"/>
      <c r="O60" s="80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</row>
    <row r="61" spans="1:35" x14ac:dyDescent="0.2">
      <c r="A61" s="182"/>
      <c r="B61" s="90" t="s">
        <v>120</v>
      </c>
      <c r="C61" s="805"/>
      <c r="D61" s="4"/>
      <c r="E61" s="806"/>
      <c r="F61" s="160">
        <f>SUM(F51:F60)</f>
        <v>231394.8</v>
      </c>
      <c r="G61" s="203">
        <f>SUM(G51:G60)</f>
        <v>379.71428571428572</v>
      </c>
      <c r="H61" s="270"/>
      <c r="I61" s="802"/>
      <c r="J61" s="802"/>
      <c r="K61" s="192"/>
      <c r="L61" s="192"/>
      <c r="M61" s="802"/>
      <c r="N61" s="802"/>
      <c r="O61" s="80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</row>
    <row r="62" spans="1:35" ht="13.5" thickBot="1" x14ac:dyDescent="0.25">
      <c r="A62" s="106">
        <v>3</v>
      </c>
      <c r="B62" s="129" t="s">
        <v>84</v>
      </c>
      <c r="C62" s="119"/>
      <c r="D62" s="6"/>
      <c r="E62" s="138"/>
      <c r="F62" s="6"/>
      <c r="G62" s="207"/>
      <c r="H62" s="270"/>
      <c r="I62" s="194"/>
      <c r="J62" s="194"/>
      <c r="K62" s="192"/>
      <c r="L62" s="192"/>
      <c r="M62" s="194"/>
      <c r="N62" s="194"/>
      <c r="O62" s="194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217"/>
      <c r="AA62" s="192"/>
      <c r="AB62" s="192"/>
      <c r="AC62" s="192"/>
      <c r="AD62" s="192"/>
      <c r="AE62" s="192"/>
      <c r="AF62" s="192"/>
      <c r="AG62" s="192"/>
      <c r="AH62" s="192"/>
      <c r="AI62" s="192"/>
    </row>
    <row r="63" spans="1:35" x14ac:dyDescent="0.2">
      <c r="A63" s="114"/>
      <c r="B63" s="54"/>
      <c r="C63" s="115"/>
      <c r="D63" s="54"/>
      <c r="E63" s="141"/>
      <c r="F63" s="139"/>
      <c r="G63" s="290"/>
      <c r="H63" s="270"/>
      <c r="M63" s="194"/>
      <c r="N63" s="194"/>
      <c r="O63" s="194"/>
      <c r="P63" s="212"/>
      <c r="Q63" s="192"/>
      <c r="R63" s="192"/>
      <c r="S63" s="192"/>
      <c r="T63" s="192"/>
      <c r="U63" s="192"/>
      <c r="V63" s="192"/>
      <c r="W63" s="192"/>
      <c r="X63" s="192"/>
      <c r="Y63" s="192"/>
      <c r="Z63" s="217"/>
      <c r="AA63" s="192"/>
      <c r="AB63" s="192"/>
      <c r="AC63" s="192"/>
      <c r="AD63" s="192"/>
      <c r="AE63" s="192"/>
      <c r="AF63" s="192"/>
      <c r="AG63" s="192"/>
      <c r="AH63" s="192"/>
      <c r="AI63" s="192"/>
    </row>
    <row r="64" spans="1:35" x14ac:dyDescent="0.2">
      <c r="A64" s="116"/>
      <c r="B64" s="4"/>
      <c r="C64" s="82"/>
      <c r="D64" s="4"/>
      <c r="E64" s="132"/>
      <c r="F64" s="43"/>
      <c r="G64" s="291"/>
      <c r="H64" s="270"/>
      <c r="I64" s="245" t="s">
        <v>147</v>
      </c>
      <c r="J64" s="243" t="s">
        <v>206</v>
      </c>
      <c r="K64" s="228" t="s">
        <v>207</v>
      </c>
      <c r="L64" s="244" t="s">
        <v>155</v>
      </c>
      <c r="M64" s="802"/>
      <c r="N64" s="802"/>
      <c r="O64" s="194"/>
      <c r="P64" s="212"/>
      <c r="Q64" s="192"/>
      <c r="R64" s="192"/>
      <c r="S64" s="192"/>
      <c r="T64" s="192"/>
      <c r="U64" s="192"/>
      <c r="V64" s="192"/>
      <c r="W64" s="192"/>
      <c r="X64" s="192"/>
      <c r="Y64" s="192"/>
      <c r="Z64" s="217"/>
      <c r="AA64" s="192"/>
      <c r="AB64" s="192"/>
      <c r="AC64" s="192"/>
      <c r="AD64" s="192"/>
      <c r="AE64" s="192"/>
      <c r="AF64" s="192"/>
      <c r="AG64" s="192"/>
      <c r="AH64" s="192"/>
      <c r="AI64" s="192"/>
    </row>
    <row r="65" spans="1:35" x14ac:dyDescent="0.2">
      <c r="A65" s="116"/>
      <c r="B65" s="4" t="s">
        <v>96</v>
      </c>
      <c r="C65" s="131">
        <f>CEILING(2*C8/1.8,1)</f>
        <v>14</v>
      </c>
      <c r="D65" s="4" t="s">
        <v>10</v>
      </c>
      <c r="E65" s="132">
        <f>K66</f>
        <v>747.49999999999989</v>
      </c>
      <c r="F65" s="43">
        <f t="shared" ref="F65:F68" si="10">C65*E65</f>
        <v>10464.999999999998</v>
      </c>
      <c r="G65" s="291">
        <f t="shared" ref="G65:G68" si="11">C65*H65</f>
        <v>14.42</v>
      </c>
      <c r="H65" s="270">
        <f>L66</f>
        <v>1.03</v>
      </c>
      <c r="I65" s="232" t="s">
        <v>148</v>
      </c>
      <c r="J65" s="263"/>
      <c r="K65" s="264"/>
      <c r="L65" s="219"/>
      <c r="M65" s="194"/>
      <c r="N65" s="194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</row>
    <row r="66" spans="1:35" x14ac:dyDescent="0.2">
      <c r="A66" s="182" t="str">
        <f>IF(I4=2,"вн.ок","вн.оц")</f>
        <v>вн.ок</v>
      </c>
      <c r="B66" s="4" t="s">
        <v>337</v>
      </c>
      <c r="C66" s="82">
        <f>C8*C9*1.1</f>
        <v>792.00000000000011</v>
      </c>
      <c r="D66" s="4" t="s">
        <v>33</v>
      </c>
      <c r="E66" s="164">
        <f>M45</f>
        <v>787.74999999999989</v>
      </c>
      <c r="F66" s="43"/>
      <c r="G66" s="291"/>
      <c r="H66" s="273">
        <f>O45</f>
        <v>5.3</v>
      </c>
      <c r="I66" s="232" t="s">
        <v>149</v>
      </c>
      <c r="J66" s="263">
        <f>[1]Основные!$F$113</f>
        <v>919.99999999999989</v>
      </c>
      <c r="K66" s="264">
        <f>[1]Основные!$F$114</f>
        <v>747.49999999999989</v>
      </c>
      <c r="L66" s="219">
        <v>1.03</v>
      </c>
      <c r="M66" s="225"/>
      <c r="N66" s="225"/>
      <c r="O66" s="197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</row>
    <row r="67" spans="1:35" x14ac:dyDescent="0.2">
      <c r="A67" s="182" t="str">
        <f>IF(I3=2,"нар.ок","нар.оц")</f>
        <v>нар.ок</v>
      </c>
      <c r="B67" s="4" t="str">
        <f>L54</f>
        <v>С-44  0,7мм</v>
      </c>
      <c r="C67" s="82">
        <f>(C8+0.6)*(C9+1)*1.1</f>
        <v>845.46000000000015</v>
      </c>
      <c r="D67" s="4" t="s">
        <v>33</v>
      </c>
      <c r="E67" s="164">
        <f>N54</f>
        <v>924.61149999999986</v>
      </c>
      <c r="F67" s="43">
        <f t="shared" ref="F67" si="12">C67*E67</f>
        <v>781722.03879000002</v>
      </c>
      <c r="G67" s="291">
        <f t="shared" ref="G67" si="13">C67*H67</f>
        <v>6256.4040000000014</v>
      </c>
      <c r="H67" s="270">
        <f>O54</f>
        <v>7.4</v>
      </c>
      <c r="I67" s="232" t="s">
        <v>150</v>
      </c>
      <c r="J67" s="265">
        <f>[1]Основные!$F$100</f>
        <v>736</v>
      </c>
      <c r="K67" s="265" t="e">
        <f>[1]Основные!$F$102</f>
        <v>#N/A</v>
      </c>
      <c r="L67" s="219">
        <v>0.93</v>
      </c>
      <c r="M67" s="194"/>
      <c r="N67" s="194"/>
      <c r="O67" s="194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</row>
    <row r="68" spans="1:35" x14ac:dyDescent="0.2">
      <c r="A68" s="103"/>
      <c r="B68" s="4" t="s">
        <v>111</v>
      </c>
      <c r="C68" s="82">
        <f>IF(I13=1,0,C9/1.4)</f>
        <v>0</v>
      </c>
      <c r="D68" s="4" t="s">
        <v>10</v>
      </c>
      <c r="E68" s="132">
        <f>[1]Основные!$F$152</f>
        <v>2071</v>
      </c>
      <c r="F68" s="43">
        <f t="shared" si="10"/>
        <v>0</v>
      </c>
      <c r="G68" s="291">
        <f t="shared" si="11"/>
        <v>0</v>
      </c>
      <c r="H68" s="270">
        <v>4</v>
      </c>
      <c r="I68" s="233" t="s">
        <v>151</v>
      </c>
      <c r="J68" s="265">
        <f>[1]Основные!$F$100</f>
        <v>736</v>
      </c>
      <c r="K68" s="266"/>
      <c r="L68" s="219">
        <v>0.93</v>
      </c>
      <c r="M68" s="194"/>
      <c r="N68" s="194"/>
      <c r="O68" s="194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</row>
    <row r="69" spans="1:35" x14ac:dyDescent="0.2">
      <c r="A69" s="103"/>
      <c r="B69" s="4"/>
      <c r="C69" s="82"/>
      <c r="D69" s="4"/>
      <c r="E69" s="132"/>
      <c r="F69" s="43"/>
      <c r="G69" s="291"/>
      <c r="H69" s="270"/>
      <c r="I69" s="232" t="s">
        <v>152</v>
      </c>
      <c r="J69" s="263">
        <f>[1]Основные!$D$106</f>
        <v>339.5</v>
      </c>
      <c r="K69" s="265">
        <f>[1]Основные!$F$107</f>
        <v>747.49999999999989</v>
      </c>
      <c r="L69" s="219">
        <v>2.2999999999999998</v>
      </c>
      <c r="M69" s="194"/>
      <c r="N69" s="194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</row>
    <row r="70" spans="1:35" x14ac:dyDescent="0.2">
      <c r="A70" s="78"/>
      <c r="B70" s="4" t="s">
        <v>72</v>
      </c>
      <c r="C70" s="93">
        <v>0.05</v>
      </c>
      <c r="D70" s="3"/>
      <c r="E70" s="3"/>
      <c r="F70" s="807">
        <f>SUM(F63:F69)*C70</f>
        <v>39609.351939500004</v>
      </c>
      <c r="G70" s="2"/>
      <c r="H70" s="270"/>
      <c r="I70" s="232" t="s">
        <v>153</v>
      </c>
      <c r="J70" s="263">
        <f>[1]Основные!$F$103</f>
        <v>919.99999999999989</v>
      </c>
      <c r="K70" s="265">
        <f>[1]Основные!$F$104</f>
        <v>747.49999999999989</v>
      </c>
      <c r="L70" s="219">
        <v>2.2999999999999998</v>
      </c>
      <c r="M70" s="194"/>
      <c r="N70" s="194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216"/>
      <c r="AF70" s="192"/>
      <c r="AG70" s="192"/>
      <c r="AH70" s="192"/>
      <c r="AI70" s="192"/>
    </row>
    <row r="71" spans="1:35" x14ac:dyDescent="0.2">
      <c r="A71" s="78"/>
      <c r="B71" s="90" t="s">
        <v>85</v>
      </c>
      <c r="C71" s="3"/>
      <c r="D71" s="3"/>
      <c r="E71" s="3"/>
      <c r="F71" s="94">
        <f>SUM(F63:F70)</f>
        <v>831796.39072949998</v>
      </c>
      <c r="G71" s="808">
        <f>SUM(G63:G70)</f>
        <v>6270.8240000000014</v>
      </c>
      <c r="H71" s="270"/>
      <c r="I71" s="194"/>
      <c r="J71" s="192"/>
      <c r="K71" s="192"/>
      <c r="L71" s="192"/>
      <c r="M71" s="194"/>
      <c r="N71" s="194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</row>
    <row r="72" spans="1:35" ht="13.5" thickBot="1" x14ac:dyDescent="0.25">
      <c r="A72" s="117"/>
      <c r="B72" s="44"/>
      <c r="C72" s="1064" t="s">
        <v>46</v>
      </c>
      <c r="D72" s="1064"/>
      <c r="E72" s="1064"/>
      <c r="F72" s="118">
        <f>F32+F44+F71+F49+F61</f>
        <v>4439371.6009581145</v>
      </c>
      <c r="G72" s="201">
        <f>G32+G44+G71+G49+G61</f>
        <v>26970.317328874022</v>
      </c>
      <c r="H72" s="270"/>
      <c r="I72" s="802"/>
      <c r="J72" s="802"/>
      <c r="K72" s="192"/>
      <c r="L72" s="192"/>
      <c r="M72" s="802"/>
      <c r="N72" s="802"/>
      <c r="O72" s="80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</row>
    <row r="73" spans="1:35" ht="13.5" thickBot="1" x14ac:dyDescent="0.25">
      <c r="A73" s="1035" t="s">
        <v>47</v>
      </c>
      <c r="B73" s="1036"/>
      <c r="C73" s="1036"/>
      <c r="D73" s="1036"/>
      <c r="E73" s="1036"/>
      <c r="F73" s="1036"/>
      <c r="G73" s="1036"/>
      <c r="H73" s="270"/>
      <c r="I73" s="194"/>
      <c r="J73" s="192"/>
      <c r="K73" s="212"/>
      <c r="L73" s="192"/>
      <c r="M73" s="194"/>
      <c r="N73" s="194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</row>
    <row r="74" spans="1:35" ht="13.5" thickBot="1" x14ac:dyDescent="0.25">
      <c r="A74" s="101">
        <v>1</v>
      </c>
      <c r="B74" s="86" t="s">
        <v>80</v>
      </c>
      <c r="C74" s="86"/>
      <c r="D74" s="86"/>
      <c r="E74" s="86"/>
      <c r="F74" s="86"/>
      <c r="G74" s="86"/>
      <c r="H74" s="270"/>
      <c r="I74" s="235" t="s">
        <v>164</v>
      </c>
      <c r="J74" s="219" t="s">
        <v>208</v>
      </c>
      <c r="K74" s="212"/>
      <c r="L74" s="192"/>
      <c r="M74" s="802"/>
      <c r="N74" s="80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</row>
    <row r="75" spans="1:35" x14ac:dyDescent="0.2">
      <c r="A75" s="102"/>
      <c r="B75" s="77" t="s">
        <v>44</v>
      </c>
      <c r="C75" s="81">
        <f>K80*530</f>
        <v>5830</v>
      </c>
      <c r="D75" s="54" t="s">
        <v>10</v>
      </c>
      <c r="E75" s="96">
        <f>[1]Основные!$F$430</f>
        <v>1.6214999999999997</v>
      </c>
      <c r="F75" s="100">
        <f>C75*E75</f>
        <v>9453.3449999999975</v>
      </c>
      <c r="G75" s="304">
        <f>C75*H75</f>
        <v>25.068999999999999</v>
      </c>
      <c r="H75" s="270">
        <v>4.3E-3</v>
      </c>
      <c r="I75" s="226" t="s">
        <v>175</v>
      </c>
      <c r="J75" s="219">
        <f>9.6/1000</f>
        <v>9.5999999999999992E-3</v>
      </c>
      <c r="K75" s="212" t="s">
        <v>338</v>
      </c>
      <c r="L75" s="192">
        <v>0</v>
      </c>
      <c r="M75" s="194"/>
      <c r="N75" s="194"/>
      <c r="O75" s="192"/>
      <c r="P75" s="21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</row>
    <row r="76" spans="1:35" x14ac:dyDescent="0.2">
      <c r="A76" s="103"/>
      <c r="B76" s="4" t="s">
        <v>77</v>
      </c>
      <c r="C76" s="11">
        <f>(C9+C8)*2/0.5+1</f>
        <v>289</v>
      </c>
      <c r="D76" s="4" t="s">
        <v>10</v>
      </c>
      <c r="E76" s="142">
        <f>[1]Основные!$F$427</f>
        <v>4.1284999999999998</v>
      </c>
      <c r="F76" s="99">
        <f>C76*E76</f>
        <v>1193.1364999999998</v>
      </c>
      <c r="G76" s="305">
        <f>H76*C76</f>
        <v>1.3872</v>
      </c>
      <c r="H76" s="270">
        <v>4.7999999999999996E-3</v>
      </c>
      <c r="I76" s="226" t="s">
        <v>165</v>
      </c>
      <c r="J76" s="219">
        <f>14.57/1000</f>
        <v>1.457E-2</v>
      </c>
      <c r="K76" s="212" t="s">
        <v>194</v>
      </c>
      <c r="L76" s="192"/>
      <c r="M76" s="192" t="s">
        <v>225</v>
      </c>
      <c r="N76" s="192"/>
      <c r="O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</row>
    <row r="77" spans="1:35" x14ac:dyDescent="0.2">
      <c r="A77" s="103"/>
      <c r="B77" s="3" t="s">
        <v>76</v>
      </c>
      <c r="C77" s="83">
        <f>17*K80</f>
        <v>187</v>
      </c>
      <c r="D77" s="4" t="s">
        <v>10</v>
      </c>
      <c r="E77" s="142">
        <f>[1]Перекупные!$F$54</f>
        <v>12.879999999999999</v>
      </c>
      <c r="F77" s="99">
        <f t="shared" ref="F77:F87" si="14">C77*E77</f>
        <v>2408.56</v>
      </c>
      <c r="G77" s="305">
        <f t="shared" ref="G77:G85" si="15">H77*C77</f>
        <v>9.35</v>
      </c>
      <c r="H77" s="270">
        <v>0.05</v>
      </c>
      <c r="I77" s="226" t="s">
        <v>166</v>
      </c>
      <c r="J77" s="219">
        <f>0.02433</f>
        <v>2.4330000000000001E-2</v>
      </c>
      <c r="K77" s="192">
        <f>0.06</f>
        <v>0.06</v>
      </c>
      <c r="L77" s="192" t="s">
        <v>9</v>
      </c>
      <c r="M77" s="809">
        <f>298</f>
        <v>298</v>
      </c>
      <c r="N77" s="192" t="s">
        <v>226</v>
      </c>
      <c r="O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</row>
    <row r="78" spans="1:35" x14ac:dyDescent="0.2">
      <c r="A78" s="103"/>
      <c r="B78" s="4" t="s">
        <v>11</v>
      </c>
      <c r="C78" s="82">
        <f>C77</f>
        <v>187</v>
      </c>
      <c r="D78" s="4" t="s">
        <v>10</v>
      </c>
      <c r="E78" s="142">
        <f>[1]Перекупные!$F$55</f>
        <v>4.2549999999999999</v>
      </c>
      <c r="F78" s="99">
        <f t="shared" si="14"/>
        <v>795.68499999999995</v>
      </c>
      <c r="G78" s="305">
        <f t="shared" si="15"/>
        <v>2.992</v>
      </c>
      <c r="H78" s="270">
        <v>1.6E-2</v>
      </c>
      <c r="I78" s="226"/>
      <c r="J78" s="219"/>
      <c r="K78" s="192"/>
      <c r="L78" s="192"/>
      <c r="M78" s="192" t="s">
        <v>227</v>
      </c>
      <c r="N78" s="192"/>
      <c r="O78" s="192">
        <f>IF(K85=0,(344+20+(C9/C11+1)*4*N85),(344+20+(C9/C11+1)*4*K85))</f>
        <v>452</v>
      </c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</row>
    <row r="79" spans="1:35" x14ac:dyDescent="0.2">
      <c r="A79" s="103"/>
      <c r="B79" s="4" t="s">
        <v>12</v>
      </c>
      <c r="C79" s="82">
        <f>C77</f>
        <v>187</v>
      </c>
      <c r="D79" s="4" t="s">
        <v>10</v>
      </c>
      <c r="E79" s="142">
        <f>[1]Перекупные!$F$56</f>
        <v>1.0349999999999999</v>
      </c>
      <c r="F79" s="99">
        <f t="shared" si="14"/>
        <v>193.54499999999999</v>
      </c>
      <c r="G79" s="305">
        <f t="shared" si="15"/>
        <v>0.93500000000000005</v>
      </c>
      <c r="H79" s="270">
        <v>5.0000000000000001E-3</v>
      </c>
      <c r="I79" s="235" t="s">
        <v>167</v>
      </c>
      <c r="J79" s="226"/>
      <c r="K79" s="221" t="s">
        <v>193</v>
      </c>
      <c r="L79" s="192"/>
      <c r="M79" s="226" t="s">
        <v>224</v>
      </c>
      <c r="N79" s="226" t="s">
        <v>216</v>
      </c>
      <c r="O79" s="226" t="s">
        <v>217</v>
      </c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</row>
    <row r="80" spans="1:35" x14ac:dyDescent="0.2">
      <c r="A80" s="103"/>
      <c r="B80" s="4"/>
      <c r="C80" s="82"/>
      <c r="D80" s="4"/>
      <c r="E80" s="142"/>
      <c r="F80" s="99">
        <f t="shared" si="14"/>
        <v>0</v>
      </c>
      <c r="G80" s="305">
        <f t="shared" si="15"/>
        <v>0</v>
      </c>
      <c r="H80" s="270">
        <v>0.19</v>
      </c>
      <c r="I80" s="226" t="s">
        <v>169</v>
      </c>
      <c r="J80" s="219">
        <f>4.81/1000</f>
        <v>4.81E-3</v>
      </c>
      <c r="K80" s="292">
        <f>I17</f>
        <v>11</v>
      </c>
      <c r="L80" s="192" t="s">
        <v>43</v>
      </c>
      <c r="M80" s="226">
        <f>C9</f>
        <v>60</v>
      </c>
      <c r="N80" s="226">
        <f>C10</f>
        <v>6</v>
      </c>
      <c r="O80" s="219">
        <f>C11</f>
        <v>6</v>
      </c>
      <c r="P80" s="21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</row>
    <row r="81" spans="1:35" x14ac:dyDescent="0.2">
      <c r="A81" s="103"/>
      <c r="B81" s="4"/>
      <c r="C81" s="83"/>
      <c r="D81" s="4"/>
      <c r="E81" s="142"/>
      <c r="F81" s="99">
        <f t="shared" si="14"/>
        <v>0</v>
      </c>
      <c r="G81" s="305">
        <f t="shared" si="15"/>
        <v>0</v>
      </c>
      <c r="H81" s="270">
        <v>7.0999999999999994E-2</v>
      </c>
      <c r="I81" s="226" t="s">
        <v>168</v>
      </c>
      <c r="J81" s="219">
        <f>5.8/1000</f>
        <v>5.7999999999999996E-3</v>
      </c>
      <c r="K81" s="192"/>
      <c r="L81" s="192"/>
      <c r="M81" s="802"/>
      <c r="N81" s="80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</row>
    <row r="82" spans="1:35" x14ac:dyDescent="0.2">
      <c r="A82" s="103"/>
      <c r="B82" s="4"/>
      <c r="C82" s="83"/>
      <c r="D82" s="4"/>
      <c r="E82" s="142"/>
      <c r="F82" s="99"/>
      <c r="G82" s="305"/>
      <c r="H82" s="270"/>
      <c r="I82" s="226" t="s">
        <v>173</v>
      </c>
      <c r="J82" s="219">
        <f>7.4/1000</f>
        <v>7.4000000000000003E-3</v>
      </c>
      <c r="K82" s="219" t="s">
        <v>176</v>
      </c>
      <c r="L82" s="234">
        <f>SQRT(6*6+O80*O80)</f>
        <v>8.4852813742385695</v>
      </c>
      <c r="M82" s="802"/>
      <c r="N82" s="80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</row>
    <row r="83" spans="1:35" x14ac:dyDescent="0.2">
      <c r="A83" s="103"/>
      <c r="B83" s="4" t="s">
        <v>74</v>
      </c>
      <c r="C83" s="82">
        <f>O78*K80</f>
        <v>4972</v>
      </c>
      <c r="D83" s="4" t="s">
        <v>10</v>
      </c>
      <c r="E83" s="142">
        <f>[1]Перекупные!$F$62</f>
        <v>30.015000000000001</v>
      </c>
      <c r="F83" s="99">
        <f t="shared" si="14"/>
        <v>149234.58000000002</v>
      </c>
      <c r="G83" s="305">
        <f t="shared" si="15"/>
        <v>596.64</v>
      </c>
      <c r="H83" s="270">
        <v>0.12</v>
      </c>
      <c r="I83" s="226" t="s">
        <v>170</v>
      </c>
      <c r="J83" s="219">
        <f>8.4/1000</f>
        <v>8.4000000000000012E-3</v>
      </c>
      <c r="K83" s="219" t="s">
        <v>177</v>
      </c>
      <c r="L83" s="234">
        <f>SQRT(N80*N80+O80*O80)</f>
        <v>8.4852813742385695</v>
      </c>
      <c r="M83" s="802"/>
      <c r="N83" s="80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</row>
    <row r="84" spans="1:35" x14ac:dyDescent="0.2">
      <c r="A84" s="103"/>
      <c r="B84" s="4" t="s">
        <v>75</v>
      </c>
      <c r="C84" s="82">
        <f>C83</f>
        <v>4972</v>
      </c>
      <c r="D84" s="4" t="s">
        <v>10</v>
      </c>
      <c r="E84" s="142">
        <f>[1]Перекупные!$F$63</f>
        <v>10.637499999999999</v>
      </c>
      <c r="F84" s="99">
        <f t="shared" si="14"/>
        <v>52889.649999999994</v>
      </c>
      <c r="G84" s="305">
        <f t="shared" si="15"/>
        <v>183.964</v>
      </c>
      <c r="H84" s="270">
        <v>3.6999999999999998E-2</v>
      </c>
      <c r="I84" s="226" t="s">
        <v>171</v>
      </c>
      <c r="J84" s="219">
        <f>10.79/1000</f>
        <v>1.0789999999999999E-2</v>
      </c>
      <c r="K84" s="221" t="s">
        <v>192</v>
      </c>
      <c r="L84" s="192"/>
      <c r="M84" s="802"/>
      <c r="N84" s="246" t="s">
        <v>350</v>
      </c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</row>
    <row r="85" spans="1:35" x14ac:dyDescent="0.2">
      <c r="A85" s="103"/>
      <c r="B85" s="4" t="s">
        <v>228</v>
      </c>
      <c r="C85" s="82">
        <f>C83</f>
        <v>4972</v>
      </c>
      <c r="D85" s="4" t="s">
        <v>10</v>
      </c>
      <c r="E85" s="142">
        <f>[1]Перекупные!$F$64</f>
        <v>2.9899999999999998</v>
      </c>
      <c r="F85" s="99">
        <f t="shared" si="14"/>
        <v>14866.279999999999</v>
      </c>
      <c r="G85" s="305">
        <f t="shared" si="15"/>
        <v>54.692</v>
      </c>
      <c r="H85" s="270">
        <v>1.0999999999999999E-2</v>
      </c>
      <c r="I85" s="226" t="s">
        <v>172</v>
      </c>
      <c r="J85" s="219">
        <f>11.89/1000</f>
        <v>1.1890000000000001E-2</v>
      </c>
      <c r="K85" s="192">
        <v>2</v>
      </c>
      <c r="L85" s="192" t="s">
        <v>43</v>
      </c>
      <c r="M85" s="802"/>
      <c r="N85" s="852">
        <v>2</v>
      </c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</row>
    <row r="86" spans="1:35" x14ac:dyDescent="0.2">
      <c r="A86" s="103"/>
      <c r="B86" s="4" t="s">
        <v>88</v>
      </c>
      <c r="C86" s="303">
        <f>(2*(C10+0.5)*J77*0+0.3*L143+J75*K85*C9+J75*M138*1.2*0+(2*2)*L83*J75)*1.05</f>
        <v>1.5517265450092992</v>
      </c>
      <c r="D86" s="4" t="s">
        <v>9</v>
      </c>
      <c r="E86" s="142">
        <f>I88</f>
        <v>179400</v>
      </c>
      <c r="F86" s="99">
        <f t="shared" si="14"/>
        <v>278379.7421746683</v>
      </c>
      <c r="G86" s="305">
        <f>H86*C86</f>
        <v>1551.7265450092991</v>
      </c>
      <c r="H86" s="270">
        <v>1000</v>
      </c>
      <c r="I86" s="226" t="s">
        <v>174</v>
      </c>
      <c r="J86" s="219">
        <f>15.5/1000</f>
        <v>1.55E-2</v>
      </c>
      <c r="K86" s="192"/>
      <c r="L86" s="192"/>
      <c r="M86" s="802"/>
      <c r="N86" s="80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</row>
    <row r="87" spans="1:35" ht="13.5" thickBot="1" x14ac:dyDescent="0.25">
      <c r="A87" s="307">
        <f>C86+C87+C89+C88</f>
        <v>5.2142625263270421</v>
      </c>
      <c r="B87" s="4" t="s">
        <v>106</v>
      </c>
      <c r="C87" s="303">
        <f>((1*2*2)*L82*J84+(2*2)*L83*J82*0)*1.05</f>
        <v>0.38453598131774347</v>
      </c>
      <c r="D87" s="4" t="s">
        <v>9</v>
      </c>
      <c r="E87" s="142">
        <f>I89</f>
        <v>183430</v>
      </c>
      <c r="F87" s="99">
        <f t="shared" si="14"/>
        <v>70535.435053113688</v>
      </c>
      <c r="G87" s="305">
        <f>H87*C87</f>
        <v>384.53598131774345</v>
      </c>
      <c r="H87" s="270">
        <v>1000</v>
      </c>
      <c r="I87" s="876" t="s">
        <v>209</v>
      </c>
      <c r="J87" s="796">
        <f>19.41/1000</f>
        <v>1.941E-2</v>
      </c>
      <c r="K87" s="192"/>
      <c r="L87" s="192"/>
      <c r="M87" s="802"/>
      <c r="N87" s="80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</row>
    <row r="88" spans="1:35" x14ac:dyDescent="0.2">
      <c r="A88" s="307"/>
      <c r="B88" s="4"/>
      <c r="C88" s="303"/>
      <c r="D88" s="4"/>
      <c r="F88" s="99"/>
      <c r="G88" s="305"/>
      <c r="H88" s="862">
        <v>1000</v>
      </c>
      <c r="I88" s="877">
        <f>[1]Перекупные!$F$12</f>
        <v>179400</v>
      </c>
      <c r="J88" s="878"/>
      <c r="K88" s="879">
        <f>[1]Перекупные!$F$6</f>
        <v>167900</v>
      </c>
      <c r="L88" s="192"/>
      <c r="M88" s="802"/>
      <c r="N88" s="80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</row>
    <row r="89" spans="1:35" x14ac:dyDescent="0.2">
      <c r="A89" s="103"/>
      <c r="B89" s="4" t="s">
        <v>339</v>
      </c>
      <c r="C89" s="306">
        <f>K80*M77/1000</f>
        <v>3.278</v>
      </c>
      <c r="D89" s="80" t="s">
        <v>9</v>
      </c>
      <c r="E89" s="541">
        <f>I90</f>
        <v>173650</v>
      </c>
      <c r="F89" s="99">
        <f>C89*E89</f>
        <v>569224.69999999995</v>
      </c>
      <c r="G89" s="305">
        <f>H89*C89</f>
        <v>3278</v>
      </c>
      <c r="H89" s="862">
        <v>1000</v>
      </c>
      <c r="I89" s="880">
        <f>[1]Перекупные!$F$13</f>
        <v>183430</v>
      </c>
      <c r="J89" s="192" t="s">
        <v>367</v>
      </c>
      <c r="K89" s="881">
        <f>[1]Перекупные!$F$7</f>
        <v>172500</v>
      </c>
      <c r="L89" s="192"/>
      <c r="M89" s="802"/>
      <c r="N89" s="80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</row>
    <row r="90" spans="1:35" ht="13.5" thickBot="1" x14ac:dyDescent="0.25">
      <c r="A90" s="78"/>
      <c r="B90" s="74" t="s">
        <v>72</v>
      </c>
      <c r="C90" s="75">
        <v>0.05</v>
      </c>
      <c r="D90" s="3"/>
      <c r="E90" s="97"/>
      <c r="F90" s="98">
        <f>SUM(F75:F89)*C90</f>
        <v>57458.732936389097</v>
      </c>
      <c r="G90" s="2"/>
      <c r="H90" s="862"/>
      <c r="I90" s="882">
        <f>[1]Перекупные!$F$10</f>
        <v>173650</v>
      </c>
      <c r="J90" s="421"/>
      <c r="K90" s="883">
        <f>[1]Перекупные!$F$4</f>
        <v>164890</v>
      </c>
      <c r="L90" s="192"/>
      <c r="M90" s="802"/>
      <c r="N90" s="80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</row>
    <row r="91" spans="1:35" ht="13.5" thickBot="1" x14ac:dyDescent="0.25">
      <c r="A91" s="79"/>
      <c r="B91" s="123" t="s">
        <v>81</v>
      </c>
      <c r="C91" s="64"/>
      <c r="D91" s="64"/>
      <c r="E91" s="104"/>
      <c r="F91" s="105">
        <f>SUM(F75:F90)</f>
        <v>1206633.3916641709</v>
      </c>
      <c r="G91" s="208">
        <f>SUM(G75:G90)</f>
        <v>6089.2917263270429</v>
      </c>
      <c r="H91" s="270"/>
      <c r="I91" s="802">
        <f>A87/I128</f>
        <v>7.242031286565336E-3</v>
      </c>
      <c r="J91" s="192"/>
      <c r="K91" s="212"/>
      <c r="L91" s="192"/>
      <c r="M91" s="802"/>
      <c r="N91" s="802"/>
      <c r="O91" s="192"/>
      <c r="P91" s="218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</row>
    <row r="92" spans="1:35" ht="13.5" thickBot="1" x14ac:dyDescent="0.25">
      <c r="A92" s="106">
        <v>2</v>
      </c>
      <c r="B92" s="91" t="s">
        <v>86</v>
      </c>
      <c r="C92" s="6"/>
      <c r="D92" s="6"/>
      <c r="E92" s="107"/>
      <c r="F92" s="108"/>
      <c r="G92" s="207"/>
      <c r="H92" s="270"/>
      <c r="I92" s="802"/>
      <c r="J92" s="192"/>
      <c r="K92" s="192"/>
      <c r="L92" s="192"/>
      <c r="M92" s="802"/>
      <c r="N92" s="80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</row>
    <row r="93" spans="1:35" x14ac:dyDescent="0.2">
      <c r="A93" s="422"/>
      <c r="B93" s="54" t="str">
        <f>I94</f>
        <v>Саморез 4,8x20</v>
      </c>
      <c r="C93" s="81">
        <f>8*(C40)</f>
        <v>8870.4000000000015</v>
      </c>
      <c r="D93" s="54" t="s">
        <v>10</v>
      </c>
      <c r="E93" s="423">
        <f>J94</f>
        <v>2.3459999999999996</v>
      </c>
      <c r="F93" s="100">
        <f>C93*E93</f>
        <v>20809.9584</v>
      </c>
      <c r="G93" s="290">
        <f>C93*H93</f>
        <v>23.063040000000004</v>
      </c>
      <c r="H93" s="270">
        <f>0.0026</f>
        <v>2.5999999999999999E-3</v>
      </c>
      <c r="I93" s="226"/>
      <c r="J93" s="244" t="s">
        <v>196</v>
      </c>
      <c r="K93" s="244" t="s">
        <v>195</v>
      </c>
      <c r="L93" s="192"/>
      <c r="M93" s="802"/>
      <c r="N93" s="80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</row>
    <row r="94" spans="1:35" x14ac:dyDescent="0.2">
      <c r="A94" s="424"/>
      <c r="B94" s="9" t="s">
        <v>108</v>
      </c>
      <c r="C94" s="425">
        <f>IF(G9=4,K80*(12.5+2*C10)*0.2,0)</f>
        <v>0</v>
      </c>
      <c r="D94" s="9" t="s">
        <v>33</v>
      </c>
      <c r="E94" s="426">
        <f>[1]Основные!$F$38</f>
        <v>1786.4</v>
      </c>
      <c r="F94" s="99">
        <f t="shared" ref="F94" si="16">C94*E94</f>
        <v>0</v>
      </c>
      <c r="G94" s="291">
        <f t="shared" ref="G94" si="17">C94*H94</f>
        <v>0</v>
      </c>
      <c r="H94" s="270">
        <v>14</v>
      </c>
      <c r="I94" s="4" t="s">
        <v>45</v>
      </c>
      <c r="J94" s="267">
        <f>[1]Основные!$F$425</f>
        <v>2.3459999999999996</v>
      </c>
      <c r="K94" s="267">
        <f>[1]Основные!$F$426</f>
        <v>1.8974999999999997</v>
      </c>
      <c r="L94" s="192"/>
      <c r="M94" s="802"/>
      <c r="N94" s="80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</row>
    <row r="95" spans="1:35" x14ac:dyDescent="0.2">
      <c r="A95" s="103"/>
      <c r="B95" s="471" t="s">
        <v>340</v>
      </c>
      <c r="C95" s="84">
        <f>(2*(C8+C9)*C10+C8*2)*1.03+1.5*C9*1.03</f>
        <v>1007.34</v>
      </c>
      <c r="D95" s="80" t="s">
        <v>33</v>
      </c>
      <c r="E95" s="143">
        <v>2278</v>
      </c>
      <c r="F95" s="99"/>
      <c r="G95" s="291"/>
      <c r="H95" s="270">
        <f>14+0.15*96</f>
        <v>28.4</v>
      </c>
      <c r="I95" s="213"/>
      <c r="J95" s="244">
        <v>5</v>
      </c>
      <c r="K95" s="268" t="s">
        <v>197</v>
      </c>
      <c r="L95" s="244">
        <v>2</v>
      </c>
      <c r="M95" s="192"/>
      <c r="N95" s="213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</row>
    <row r="96" spans="1:35" x14ac:dyDescent="0.2">
      <c r="A96" s="103"/>
      <c r="B96" s="470" t="str">
        <f>K123</f>
        <v>с\з 5,5х240</v>
      </c>
      <c r="C96" s="84">
        <f>8*C95</f>
        <v>8058.72</v>
      </c>
      <c r="D96" s="80" t="s">
        <v>10</v>
      </c>
      <c r="E96" s="143">
        <f>L123</f>
        <v>145.69999999999999</v>
      </c>
      <c r="F96" s="99"/>
      <c r="G96" s="291"/>
      <c r="H96" s="270">
        <v>5.0000000000000001E-3</v>
      </c>
      <c r="I96" s="213"/>
      <c r="J96" s="244"/>
      <c r="K96" s="268"/>
      <c r="L96" s="244"/>
      <c r="M96" s="192"/>
      <c r="N96" s="213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</row>
    <row r="97" spans="1:35" x14ac:dyDescent="0.2">
      <c r="A97" s="103"/>
      <c r="B97" s="470" t="s">
        <v>365</v>
      </c>
      <c r="C97" s="84">
        <f>C95/I104*7*2</f>
        <v>2350.46</v>
      </c>
      <c r="D97" s="80" t="s">
        <v>366</v>
      </c>
      <c r="E97" s="143">
        <f>[1]Перекупные!$F$85</f>
        <v>63.249999999999993</v>
      </c>
      <c r="F97" s="99"/>
      <c r="G97" s="291"/>
      <c r="H97" s="270"/>
      <c r="I97" s="213"/>
      <c r="J97" s="244"/>
      <c r="K97" s="268"/>
      <c r="L97" s="244"/>
      <c r="M97" s="192"/>
      <c r="N97" s="213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</row>
    <row r="98" spans="1:35" x14ac:dyDescent="0.2">
      <c r="A98" s="103"/>
      <c r="B98" s="167" t="s">
        <v>101</v>
      </c>
      <c r="C98" s="84">
        <f>(C8+C9)*2*C10</f>
        <v>864</v>
      </c>
      <c r="D98" s="80" t="s">
        <v>33</v>
      </c>
      <c r="E98" s="143">
        <f>J106</f>
        <v>280.59999999999997</v>
      </c>
      <c r="F98" s="99"/>
      <c r="G98" s="291"/>
      <c r="H98" s="270">
        <v>10</v>
      </c>
      <c r="I98" s="12" t="s">
        <v>89</v>
      </c>
      <c r="J98" s="258">
        <f>[1]Основные!$F$158</f>
        <v>3450</v>
      </c>
      <c r="K98" s="258">
        <f>[1]Основные!$F$162</f>
        <v>4150</v>
      </c>
      <c r="L98" s="258">
        <f>[1]Основные!$F$160</f>
        <v>4650</v>
      </c>
      <c r="M98" s="192"/>
      <c r="N98" s="213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</row>
    <row r="99" spans="1:35" x14ac:dyDescent="0.2">
      <c r="A99" s="103"/>
      <c r="B99" s="4" t="s">
        <v>102</v>
      </c>
      <c r="C99" s="84">
        <f>20*C98</f>
        <v>17280</v>
      </c>
      <c r="D99" s="80" t="s">
        <v>10</v>
      </c>
      <c r="E99" s="143">
        <f>[1]Перекупные!$F$29</f>
        <v>0.91999999999999993</v>
      </c>
      <c r="F99" s="99"/>
      <c r="G99" s="291"/>
      <c r="H99" s="270">
        <v>3.0000000000000001E-3</v>
      </c>
      <c r="I99" s="213"/>
      <c r="J99" s="427">
        <f>[1]Основные!$F$161</f>
        <v>4140</v>
      </c>
      <c r="K99" s="192"/>
      <c r="L99" s="192"/>
      <c r="M99" s="192"/>
      <c r="N99" s="213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</row>
    <row r="100" spans="1:35" x14ac:dyDescent="0.2">
      <c r="A100" s="103"/>
      <c r="B100" s="9" t="s">
        <v>223</v>
      </c>
      <c r="C100" s="84">
        <f>C98/0.6+I128/0.6</f>
        <v>2640</v>
      </c>
      <c r="D100" s="80" t="s">
        <v>8</v>
      </c>
      <c r="E100" s="143">
        <f>[1]Перекупные!$F$79</f>
        <v>241.5</v>
      </c>
      <c r="F100" s="99"/>
      <c r="G100" s="291"/>
      <c r="H100" s="270">
        <v>0.7</v>
      </c>
      <c r="I100" s="213"/>
      <c r="J100" s="192"/>
      <c r="K100" s="192"/>
      <c r="L100" s="192"/>
      <c r="M100" s="192"/>
      <c r="N100" s="213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</row>
    <row r="101" spans="1:35" x14ac:dyDescent="0.2">
      <c r="A101" s="103"/>
      <c r="B101" s="9" t="str">
        <f>I98</f>
        <v xml:space="preserve">Утеплитель </v>
      </c>
      <c r="C101" s="84">
        <f>((C8+C9)*2*C10+C8*2+C9*1.5)*E15/1000*1.05</f>
        <v>154.035</v>
      </c>
      <c r="D101" s="80" t="s">
        <v>48</v>
      </c>
      <c r="E101" s="143">
        <f>J99</f>
        <v>4140</v>
      </c>
      <c r="F101" s="99"/>
      <c r="G101" s="291"/>
      <c r="H101" s="270">
        <v>20</v>
      </c>
      <c r="I101" s="213"/>
      <c r="J101" s="192"/>
      <c r="K101" s="192"/>
      <c r="L101" s="192"/>
      <c r="M101" s="192"/>
      <c r="N101" s="213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</row>
    <row r="102" spans="1:35" x14ac:dyDescent="0.2">
      <c r="A102" s="103"/>
      <c r="B102" s="169" t="s">
        <v>104</v>
      </c>
      <c r="C102" s="72">
        <f>((C8+C9)*2*C10+C8*1.5+C9*1.5)*1.2</f>
        <v>1166.3999999999999</v>
      </c>
      <c r="D102" s="45" t="s">
        <v>33</v>
      </c>
      <c r="E102" s="144">
        <f>[1]Основные!$F$169</f>
        <v>42</v>
      </c>
      <c r="F102" s="99"/>
      <c r="G102" s="291"/>
      <c r="H102" s="270">
        <v>0.2</v>
      </c>
      <c r="I102" s="213"/>
      <c r="J102" s="192"/>
      <c r="K102" s="192"/>
      <c r="L102" s="192"/>
      <c r="M102" s="192"/>
      <c r="N102" s="213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</row>
    <row r="103" spans="1:35" ht="13.5" thickBot="1" x14ac:dyDescent="0.25">
      <c r="A103" s="103"/>
      <c r="B103" s="45" t="s">
        <v>105</v>
      </c>
      <c r="C103" s="73">
        <f>C102</f>
        <v>1166.3999999999999</v>
      </c>
      <c r="D103" s="45" t="s">
        <v>33</v>
      </c>
      <c r="E103" s="144">
        <f>[1]Основные!$F$168</f>
        <v>89.14</v>
      </c>
      <c r="F103" s="99"/>
      <c r="G103" s="291"/>
      <c r="H103" s="270">
        <v>0.2</v>
      </c>
      <c r="I103" s="213"/>
      <c r="J103" s="192"/>
      <c r="K103" s="192"/>
      <c r="L103" s="192"/>
      <c r="M103" s="192"/>
      <c r="N103" s="213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</row>
    <row r="104" spans="1:35" ht="13.5" thickBot="1" x14ac:dyDescent="0.25">
      <c r="A104" s="78"/>
      <c r="B104" s="74" t="s">
        <v>72</v>
      </c>
      <c r="C104" s="75">
        <v>0.05</v>
      </c>
      <c r="D104" s="3"/>
      <c r="E104" s="97"/>
      <c r="F104" s="98">
        <f>SUM(F93:F103)*C104</f>
        <v>1040.49792</v>
      </c>
      <c r="G104" s="2"/>
      <c r="H104" s="270"/>
      <c r="I104" s="865">
        <v>6</v>
      </c>
      <c r="J104" s="866" t="s">
        <v>361</v>
      </c>
      <c r="K104" s="192"/>
      <c r="L104" s="192"/>
      <c r="M104" s="192"/>
      <c r="N104" s="213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</row>
    <row r="105" spans="1:35" ht="13.5" thickBot="1" x14ac:dyDescent="0.25">
      <c r="A105" s="79"/>
      <c r="B105" s="123" t="s">
        <v>87</v>
      </c>
      <c r="C105" s="64"/>
      <c r="D105" s="64"/>
      <c r="E105" s="104"/>
      <c r="F105" s="105">
        <f>SUM(F93:F104)</f>
        <v>21850.456320000001</v>
      </c>
      <c r="G105" s="208">
        <f>SUM(G93:G104)</f>
        <v>23.063040000000004</v>
      </c>
      <c r="H105" s="270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</row>
    <row r="106" spans="1:35" x14ac:dyDescent="0.2">
      <c r="A106" s="308">
        <v>3</v>
      </c>
      <c r="B106" s="129" t="s">
        <v>93</v>
      </c>
      <c r="C106" s="6"/>
      <c r="D106" s="6"/>
      <c r="E106" s="107"/>
      <c r="F106" s="161"/>
      <c r="G106" s="162"/>
      <c r="H106" s="270"/>
      <c r="I106" s="226" t="s">
        <v>198</v>
      </c>
      <c r="J106" s="219">
        <f>[1]Перекупные!$F$25</f>
        <v>280.59999999999997</v>
      </c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</row>
    <row r="107" spans="1:35" x14ac:dyDescent="0.2">
      <c r="A107" s="3"/>
      <c r="B107" s="41" t="s">
        <v>7</v>
      </c>
      <c r="C107" s="3">
        <f>D156</f>
        <v>0</v>
      </c>
      <c r="D107" s="3" t="s">
        <v>10</v>
      </c>
      <c r="E107" s="168">
        <f>[1]Основные!$F$428</f>
        <v>0.60949999999999993</v>
      </c>
      <c r="F107" s="163">
        <f>C107*E107</f>
        <v>0</v>
      </c>
      <c r="G107" s="309">
        <f>C107*H107</f>
        <v>0</v>
      </c>
      <c r="H107" s="270">
        <v>2E-3</v>
      </c>
      <c r="I107" s="226" t="s">
        <v>199</v>
      </c>
      <c r="J107" s="219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</row>
    <row r="108" spans="1:35" x14ac:dyDescent="0.2">
      <c r="A108" s="3"/>
      <c r="B108" s="827" t="str">
        <f>K113</f>
        <v>СП 100</v>
      </c>
      <c r="C108" s="85">
        <f>E17</f>
        <v>0</v>
      </c>
      <c r="D108" s="3" t="s">
        <v>33</v>
      </c>
      <c r="E108" s="168">
        <f>L113</f>
        <v>4185.5</v>
      </c>
      <c r="F108" s="163"/>
      <c r="G108" s="309"/>
      <c r="H108" s="270">
        <f>N113</f>
        <v>20.100000000000001</v>
      </c>
      <c r="I108" s="226" t="s">
        <v>200</v>
      </c>
      <c r="J108" s="219">
        <f>[1]Перекупные!$F$23</f>
        <v>337.71666666666664</v>
      </c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</row>
    <row r="109" spans="1:35" x14ac:dyDescent="0.2">
      <c r="A109" s="3"/>
      <c r="B109" s="471" t="str">
        <f>K122</f>
        <v>с\з 5,5х160</v>
      </c>
      <c r="C109" s="3">
        <f>8*C108</f>
        <v>0</v>
      </c>
      <c r="D109" s="3" t="s">
        <v>10</v>
      </c>
      <c r="E109" s="168">
        <f>L122</f>
        <v>71.099999999999994</v>
      </c>
      <c r="F109" s="163"/>
      <c r="G109" s="309"/>
      <c r="H109" s="270">
        <f>0.005</f>
        <v>5.0000000000000001E-3</v>
      </c>
      <c r="I109" s="818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</row>
    <row r="110" spans="1:35" x14ac:dyDescent="0.2">
      <c r="A110" s="3"/>
      <c r="B110" s="41" t="s">
        <v>61</v>
      </c>
      <c r="C110" s="3">
        <f>D157</f>
        <v>0</v>
      </c>
      <c r="D110" s="3" t="s">
        <v>48</v>
      </c>
      <c r="E110" s="168">
        <f>E101</f>
        <v>4140</v>
      </c>
      <c r="F110" s="163">
        <f t="shared" ref="F110:F111" si="18">C110*E110</f>
        <v>0</v>
      </c>
      <c r="G110" s="309">
        <f t="shared" ref="G110:G111" si="19">C110*H110</f>
        <v>0</v>
      </c>
      <c r="H110" s="270">
        <v>30</v>
      </c>
      <c r="I110" s="80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</row>
    <row r="111" spans="1:35" x14ac:dyDescent="0.2">
      <c r="A111" s="3"/>
      <c r="B111" s="167" t="str">
        <f>I94</f>
        <v>Саморез 4,8x20</v>
      </c>
      <c r="C111" s="3">
        <f>8*C47</f>
        <v>0</v>
      </c>
      <c r="D111" s="3"/>
      <c r="E111" s="168">
        <f>J94</f>
        <v>2.3459999999999996</v>
      </c>
      <c r="F111" s="163">
        <f t="shared" si="18"/>
        <v>0</v>
      </c>
      <c r="G111" s="309">
        <f t="shared" si="19"/>
        <v>0</v>
      </c>
      <c r="H111" s="270">
        <v>3.0000000000000001E-3</v>
      </c>
      <c r="I111" s="802"/>
      <c r="J111" s="192"/>
      <c r="K111" s="3"/>
      <c r="L111" s="226" t="s">
        <v>82</v>
      </c>
      <c r="M111" s="226" t="s">
        <v>84</v>
      </c>
      <c r="N111" s="219" t="s">
        <v>255</v>
      </c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</row>
    <row r="112" spans="1:35" x14ac:dyDescent="0.2">
      <c r="A112" s="3"/>
      <c r="B112" s="167" t="s">
        <v>101</v>
      </c>
      <c r="C112" s="3">
        <f>E17*2</f>
        <v>0</v>
      </c>
      <c r="D112" s="3" t="s">
        <v>33</v>
      </c>
      <c r="E112" s="168">
        <f>E98</f>
        <v>280.59999999999997</v>
      </c>
      <c r="F112" s="163"/>
      <c r="G112" s="309"/>
      <c r="H112" s="270">
        <v>10</v>
      </c>
      <c r="I112" s="802"/>
      <c r="J112" s="192"/>
      <c r="K112" s="396" t="s">
        <v>249</v>
      </c>
      <c r="L112" s="226">
        <f>[1]СП!$B$4</f>
        <v>4048.0000000000005</v>
      </c>
      <c r="M112" s="219">
        <f>[1]СП!$C$4</f>
        <v>2920</v>
      </c>
      <c r="N112" s="219">
        <f>[1]СП!$D$4</f>
        <v>18.2</v>
      </c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</row>
    <row r="113" spans="1:35" ht="13.5" thickBot="1" x14ac:dyDescent="0.25">
      <c r="A113" s="3"/>
      <c r="B113" s="61" t="s">
        <v>102</v>
      </c>
      <c r="C113" s="3">
        <f>C112*20</f>
        <v>0</v>
      </c>
      <c r="D113" s="3" t="s">
        <v>10</v>
      </c>
      <c r="E113" s="168">
        <f>E99</f>
        <v>0.91999999999999993</v>
      </c>
      <c r="F113" s="163"/>
      <c r="G113" s="309"/>
      <c r="H113" s="270">
        <v>3.0000000000000001E-3</v>
      </c>
      <c r="I113" s="802"/>
      <c r="J113" s="192"/>
      <c r="K113" s="396" t="s">
        <v>250</v>
      </c>
      <c r="L113" s="226">
        <f>[1]СП!$B$5</f>
        <v>4185.5</v>
      </c>
      <c r="M113" s="219">
        <f>[1]СП!$C$5</f>
        <v>4471.5</v>
      </c>
      <c r="N113" s="219">
        <f>[1]СП!$D$5</f>
        <v>20.100000000000001</v>
      </c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</row>
    <row r="114" spans="1:35" x14ac:dyDescent="0.2">
      <c r="A114" s="3"/>
      <c r="B114" s="74" t="s">
        <v>72</v>
      </c>
      <c r="C114" s="75">
        <v>0.05</v>
      </c>
      <c r="D114" s="3"/>
      <c r="E114" s="97"/>
      <c r="F114" s="163">
        <f>SUM(F107:F113)*C114</f>
        <v>0</v>
      </c>
      <c r="G114" s="810"/>
      <c r="H114" s="270"/>
      <c r="I114" s="802"/>
      <c r="J114" s="192"/>
      <c r="K114" s="791" t="s">
        <v>251</v>
      </c>
      <c r="L114" s="792">
        <f>[1]СП!$B$7</f>
        <v>4746.5</v>
      </c>
      <c r="M114" s="793">
        <f>[1]СП!$C$7</f>
        <v>4983</v>
      </c>
      <c r="N114" s="793">
        <f>[1]СП!$D$7</f>
        <v>24.85</v>
      </c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</row>
    <row r="115" spans="1:35" x14ac:dyDescent="0.2">
      <c r="A115" s="3"/>
      <c r="B115" s="90" t="s">
        <v>100</v>
      </c>
      <c r="C115" s="3"/>
      <c r="D115" s="3"/>
      <c r="E115" s="97"/>
      <c r="F115" s="95">
        <f>SUM(F107:F114)</f>
        <v>0</v>
      </c>
      <c r="G115" s="209">
        <f>SUM(G107:G114)</f>
        <v>0</v>
      </c>
      <c r="H115" s="270"/>
      <c r="I115" s="802"/>
      <c r="J115" s="192"/>
      <c r="K115" s="396" t="s">
        <v>252</v>
      </c>
      <c r="L115" s="397">
        <f>[1]СП!$B$6</f>
        <v>4449.5</v>
      </c>
      <c r="M115" s="219">
        <f>[1]СП!$C$6</f>
        <v>4730</v>
      </c>
      <c r="N115" s="219">
        <f>[1]СП!$D$6</f>
        <v>22</v>
      </c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</row>
    <row r="116" spans="1:35" ht="13.5" thickBot="1" x14ac:dyDescent="0.25">
      <c r="A116" s="106">
        <v>3</v>
      </c>
      <c r="B116" s="91" t="s">
        <v>84</v>
      </c>
      <c r="C116" s="6"/>
      <c r="D116" s="6"/>
      <c r="E116" s="107"/>
      <c r="F116" s="108"/>
      <c r="G116" s="207"/>
      <c r="H116" s="270"/>
      <c r="I116" s="802"/>
      <c r="J116" s="192"/>
      <c r="K116" s="791" t="s">
        <v>253</v>
      </c>
      <c r="L116" s="794">
        <f>[1]СП!$B$9</f>
        <v>5137</v>
      </c>
      <c r="M116" s="793">
        <f>[1]СП!$C$9</f>
        <v>5417.5</v>
      </c>
      <c r="N116" s="793">
        <f>[1]СП!$D$9</f>
        <v>29.6</v>
      </c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</row>
    <row r="117" spans="1:35" x14ac:dyDescent="0.2">
      <c r="A117" s="111"/>
      <c r="B117" s="54" t="str">
        <f>I94</f>
        <v>Саморез 4,8x20</v>
      </c>
      <c r="C117" s="81">
        <f>8*(C66+C67)</f>
        <v>13099.680000000002</v>
      </c>
      <c r="D117" s="63" t="s">
        <v>10</v>
      </c>
      <c r="E117" s="145">
        <f>J94</f>
        <v>2.3459999999999996</v>
      </c>
      <c r="F117" s="98">
        <f t="shared" ref="F117" si="20">C117*E117</f>
        <v>30731.849279999999</v>
      </c>
      <c r="G117" s="344">
        <f t="shared" ref="G117" si="21">C117*H117</f>
        <v>34.059168000000007</v>
      </c>
      <c r="H117" s="270">
        <f>H93</f>
        <v>2.5999999999999999E-3</v>
      </c>
      <c r="I117" s="802"/>
      <c r="J117" s="192"/>
      <c r="K117" s="396" t="s">
        <v>254</v>
      </c>
      <c r="L117" s="397">
        <f>[1]СП!$I$11</f>
        <v>6682.5000000000009</v>
      </c>
      <c r="M117" s="219">
        <f>[1]СП!$K$11</f>
        <v>6979.5000000000009</v>
      </c>
      <c r="N117" s="219">
        <f>[1]СП!$L$11</f>
        <v>36.85</v>
      </c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</row>
    <row r="118" spans="1:35" x14ac:dyDescent="0.2">
      <c r="A118" s="78"/>
      <c r="B118" s="4" t="s">
        <v>341</v>
      </c>
      <c r="C118" s="84">
        <f>(C8+0.3)*C9*E14/1000</f>
        <v>147.6</v>
      </c>
      <c r="D118" s="3" t="s">
        <v>48</v>
      </c>
      <c r="E118" s="146">
        <f>J98</f>
        <v>3450</v>
      </c>
      <c r="F118" s="98"/>
      <c r="G118" s="344"/>
      <c r="H118" s="270">
        <v>17</v>
      </c>
      <c r="I118" s="802"/>
      <c r="J118" s="192"/>
      <c r="K118" s="219" t="s">
        <v>256</v>
      </c>
      <c r="L118" s="833">
        <f>[1]СП!$B$19</f>
        <v>43.1</v>
      </c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</row>
    <row r="119" spans="1:35" x14ac:dyDescent="0.2">
      <c r="A119" s="78"/>
      <c r="B119" s="827" t="s">
        <v>342</v>
      </c>
      <c r="C119" s="668">
        <f>I128*1.05</f>
        <v>756</v>
      </c>
      <c r="D119" s="3" t="s">
        <v>33</v>
      </c>
      <c r="E119" s="146">
        <f>2613</f>
        <v>2613</v>
      </c>
      <c r="F119" s="98"/>
      <c r="G119" s="344"/>
      <c r="H119" s="270">
        <f>14+95*0.2</f>
        <v>33</v>
      </c>
      <c r="I119" s="802"/>
      <c r="J119" s="192"/>
      <c r="K119" s="219" t="s">
        <v>257</v>
      </c>
      <c r="L119" s="833">
        <f>[1]СП!$B$20</f>
        <v>51.9</v>
      </c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</row>
    <row r="120" spans="1:35" x14ac:dyDescent="0.2">
      <c r="A120" s="78"/>
      <c r="B120" s="471" t="s">
        <v>343</v>
      </c>
      <c r="C120" s="668">
        <f>8*C119</f>
        <v>6048</v>
      </c>
      <c r="D120" s="3" t="s">
        <v>10</v>
      </c>
      <c r="E120" s="146">
        <v>74</v>
      </c>
      <c r="F120" s="98"/>
      <c r="G120" s="344"/>
      <c r="H120" s="270">
        <f>0.005</f>
        <v>5.0000000000000001E-3</v>
      </c>
      <c r="I120" s="802"/>
      <c r="J120" s="192"/>
      <c r="K120" s="793" t="s">
        <v>258</v>
      </c>
      <c r="L120" s="846">
        <f>[1]СП!$B$22</f>
        <v>94.8</v>
      </c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</row>
    <row r="121" spans="1:35" x14ac:dyDescent="0.2">
      <c r="A121" s="78"/>
      <c r="B121" s="470" t="s">
        <v>365</v>
      </c>
      <c r="C121" s="668">
        <f>C9/1*J16*2</f>
        <v>1462.1915143933363</v>
      </c>
      <c r="D121" s="3" t="s">
        <v>8</v>
      </c>
      <c r="E121" s="146">
        <f>E97</f>
        <v>63.249999999999993</v>
      </c>
      <c r="F121" s="98"/>
      <c r="G121" s="344"/>
      <c r="H121" s="270"/>
      <c r="I121" s="871"/>
      <c r="J121" s="192"/>
      <c r="K121" s="793"/>
      <c r="L121" s="846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</row>
    <row r="122" spans="1:35" x14ac:dyDescent="0.2">
      <c r="A122" s="78"/>
      <c r="B122" s="167" t="s">
        <v>344</v>
      </c>
      <c r="C122" s="84">
        <f>2.5*(C8+0.5+2*C10)*K80</f>
        <v>673.75</v>
      </c>
      <c r="D122" s="3" t="s">
        <v>33</v>
      </c>
      <c r="E122" s="146">
        <f>E112</f>
        <v>280.59999999999997</v>
      </c>
      <c r="F122" s="98"/>
      <c r="G122" s="344"/>
      <c r="H122" s="270">
        <v>10</v>
      </c>
      <c r="I122" s="802"/>
      <c r="J122" s="192"/>
      <c r="K122" s="219" t="s">
        <v>259</v>
      </c>
      <c r="L122" s="833">
        <f>[1]СП!$B$21</f>
        <v>71.099999999999994</v>
      </c>
      <c r="M122" s="192"/>
      <c r="N122" s="192"/>
      <c r="O122" s="192"/>
      <c r="P122" s="15"/>
    </row>
    <row r="123" spans="1:35" x14ac:dyDescent="0.2">
      <c r="A123" s="78"/>
      <c r="B123" s="167" t="s">
        <v>102</v>
      </c>
      <c r="C123" s="84">
        <f>30*C122</f>
        <v>20212.5</v>
      </c>
      <c r="D123" s="3" t="s">
        <v>33</v>
      </c>
      <c r="E123" s="146">
        <f>E99</f>
        <v>0.91999999999999993</v>
      </c>
      <c r="F123" s="98"/>
      <c r="G123" s="344"/>
      <c r="H123" s="270">
        <f>H99</f>
        <v>3.0000000000000001E-3</v>
      </c>
      <c r="I123" s="802"/>
      <c r="J123" s="192"/>
      <c r="K123" s="793" t="s">
        <v>260</v>
      </c>
      <c r="L123" s="846">
        <f>[1]СП!$B$23</f>
        <v>145.69999999999999</v>
      </c>
      <c r="M123" s="192"/>
      <c r="N123" s="192"/>
      <c r="O123" s="192"/>
      <c r="P123" s="15"/>
    </row>
    <row r="124" spans="1:35" x14ac:dyDescent="0.2">
      <c r="A124" s="78"/>
      <c r="B124" s="4" t="s">
        <v>122</v>
      </c>
      <c r="C124" s="84">
        <f>C24</f>
        <v>1220</v>
      </c>
      <c r="D124" s="3" t="s">
        <v>8</v>
      </c>
      <c r="E124" s="146">
        <f>[1]Перекупные!$F$18</f>
        <v>69</v>
      </c>
      <c r="F124" s="98"/>
      <c r="G124" s="344"/>
      <c r="H124" s="270"/>
      <c r="I124" s="802"/>
      <c r="J124" s="192"/>
      <c r="K124" s="219" t="s">
        <v>261</v>
      </c>
      <c r="L124" s="833">
        <f>[1]СП!$B$24</f>
        <v>188.9</v>
      </c>
      <c r="M124" s="192"/>
      <c r="N124" s="192"/>
      <c r="O124" s="192"/>
      <c r="P124" s="15"/>
    </row>
    <row r="125" spans="1:35" x14ac:dyDescent="0.2">
      <c r="A125" s="78"/>
      <c r="B125" s="169" t="s">
        <v>104</v>
      </c>
      <c r="C125" s="72">
        <f>C8*(C9)*1.25</f>
        <v>900</v>
      </c>
      <c r="D125" s="3" t="s">
        <v>33</v>
      </c>
      <c r="E125" s="146">
        <f>E102</f>
        <v>42</v>
      </c>
      <c r="F125" s="98"/>
      <c r="G125" s="344"/>
      <c r="H125" s="270">
        <v>0.2</v>
      </c>
      <c r="I125" s="802"/>
      <c r="J125" s="192"/>
      <c r="K125" s="219"/>
      <c r="L125" s="397"/>
      <c r="M125" s="192"/>
      <c r="N125" s="192"/>
      <c r="O125" s="192"/>
      <c r="P125" s="15"/>
    </row>
    <row r="126" spans="1:35" x14ac:dyDescent="0.2">
      <c r="A126" s="103"/>
      <c r="B126" s="45" t="s">
        <v>105</v>
      </c>
      <c r="C126" s="73">
        <f>C8*C9*1.25</f>
        <v>900</v>
      </c>
      <c r="D126" s="45" t="s">
        <v>33</v>
      </c>
      <c r="E126" s="144">
        <f>E103</f>
        <v>89.14</v>
      </c>
      <c r="F126" s="98">
        <f t="shared" ref="F126" si="22">C126*E126</f>
        <v>80226</v>
      </c>
      <c r="G126" s="344">
        <f t="shared" ref="G126" si="23">C126*H126</f>
        <v>180</v>
      </c>
      <c r="H126" s="270">
        <v>0.2</v>
      </c>
      <c r="I126" s="296">
        <v>10</v>
      </c>
      <c r="J126" s="809" t="s">
        <v>360</v>
      </c>
      <c r="K126" s="219"/>
      <c r="L126" s="397"/>
      <c r="M126" s="192"/>
      <c r="N126" s="192"/>
      <c r="O126" s="192"/>
      <c r="P126" s="15"/>
    </row>
    <row r="127" spans="1:35" x14ac:dyDescent="0.2">
      <c r="A127" s="78"/>
      <c r="B127" s="74" t="s">
        <v>72</v>
      </c>
      <c r="C127" s="75">
        <v>0.05</v>
      </c>
      <c r="D127" s="3"/>
      <c r="E127" s="97"/>
      <c r="F127" s="174">
        <f>SUM(F117:F126)*C127</f>
        <v>5547.8924640000005</v>
      </c>
      <c r="G127" s="811">
        <f t="shared" ref="G127" si="24">C127*H127</f>
        <v>0</v>
      </c>
      <c r="H127" s="270"/>
      <c r="I127" s="246" t="s">
        <v>201</v>
      </c>
      <c r="J127" s="192"/>
      <c r="K127" s="192"/>
      <c r="L127" s="192"/>
      <c r="M127" s="192"/>
      <c r="N127" s="192"/>
      <c r="O127" s="192"/>
      <c r="P127" s="15"/>
    </row>
    <row r="128" spans="1:35" x14ac:dyDescent="0.2">
      <c r="A128" s="78"/>
      <c r="B128" s="90" t="s">
        <v>85</v>
      </c>
      <c r="C128" s="3"/>
      <c r="D128" s="3"/>
      <c r="E128" s="85"/>
      <c r="F128" s="95">
        <f>SUM(F117:F127)</f>
        <v>116505.741744</v>
      </c>
      <c r="G128" s="203">
        <f>SUM(G117:G127)</f>
        <v>214.059168</v>
      </c>
      <c r="H128" s="270"/>
      <c r="I128" s="802">
        <f>C8*C9</f>
        <v>720</v>
      </c>
      <c r="J128" s="192" t="s">
        <v>202</v>
      </c>
      <c r="K128" s="192"/>
      <c r="L128" s="192"/>
      <c r="M128" s="192"/>
      <c r="N128" s="192"/>
      <c r="O128" s="192"/>
      <c r="P128" s="15"/>
    </row>
    <row r="129" spans="1:18" ht="13.5" thickBot="1" x14ac:dyDescent="0.25">
      <c r="A129" s="112"/>
      <c r="B129" s="1038" t="s">
        <v>49</v>
      </c>
      <c r="C129" s="1038"/>
      <c r="D129" s="1038"/>
      <c r="E129" s="1038"/>
      <c r="F129" s="113">
        <f>F128+F105+F91+F115</f>
        <v>1344989.589728171</v>
      </c>
      <c r="G129" s="210">
        <f>G91+G105+G128+G115</f>
        <v>6326.4139343270426</v>
      </c>
      <c r="H129" s="270"/>
      <c r="I129" s="192"/>
      <c r="J129" s="192"/>
      <c r="K129" s="192"/>
      <c r="L129" s="192"/>
      <c r="M129" s="192"/>
      <c r="N129" s="192"/>
      <c r="O129" s="192"/>
      <c r="P129" s="15"/>
    </row>
    <row r="130" spans="1:18" x14ac:dyDescent="0.2">
      <c r="A130" s="812"/>
      <c r="B130" s="1083" t="s">
        <v>73</v>
      </c>
      <c r="C130" s="1083"/>
      <c r="D130" s="1083"/>
      <c r="E130" s="1083"/>
      <c r="F130" s="110">
        <f>F72+F129</f>
        <v>5784361.1906862855</v>
      </c>
      <c r="G130" s="211"/>
      <c r="H130" s="273"/>
      <c r="I130" s="214"/>
      <c r="J130" s="197"/>
      <c r="K130" s="197"/>
      <c r="L130" s="192"/>
      <c r="M130" s="197"/>
      <c r="N130" s="197"/>
      <c r="O130" s="197"/>
      <c r="P130" s="46"/>
      <c r="Q130" s="46"/>
      <c r="R130" s="46"/>
    </row>
    <row r="131" spans="1:18" x14ac:dyDescent="0.2">
      <c r="A131" s="812"/>
      <c r="B131" s="813" t="s">
        <v>98</v>
      </c>
      <c r="C131" s="813"/>
      <c r="D131" s="813"/>
      <c r="E131" s="814">
        <v>0.02</v>
      </c>
      <c r="F131" s="110">
        <f>F130*E131</f>
        <v>115687.22381372571</v>
      </c>
      <c r="G131" s="211"/>
      <c r="H131" s="273"/>
      <c r="I131" s="214"/>
      <c r="J131" s="197"/>
      <c r="K131" s="197"/>
      <c r="L131" s="192"/>
      <c r="M131" s="197"/>
      <c r="N131" s="197"/>
      <c r="O131" s="197"/>
      <c r="P131" s="46"/>
      <c r="Q131" s="46"/>
      <c r="R131" s="46"/>
    </row>
    <row r="132" spans="1:18" x14ac:dyDescent="0.2">
      <c r="A132" s="815"/>
      <c r="B132" s="816" t="s">
        <v>99</v>
      </c>
      <c r="C132" s="816"/>
      <c r="D132" s="816"/>
      <c r="E132" s="816"/>
      <c r="F132" s="249">
        <f>SUM(F130:F131)</f>
        <v>5900048.4145000111</v>
      </c>
      <c r="G132" s="250"/>
      <c r="H132" s="274"/>
      <c r="I132" s="214"/>
      <c r="J132" s="197"/>
      <c r="K132" s="197"/>
      <c r="L132" s="192"/>
      <c r="M132" s="197"/>
      <c r="N132" s="197"/>
      <c r="O132" s="197"/>
      <c r="P132" s="46"/>
      <c r="Q132" s="46"/>
      <c r="R132" s="46"/>
    </row>
    <row r="133" spans="1:18" x14ac:dyDescent="0.2">
      <c r="A133" s="12"/>
      <c r="D133" s="253" t="s">
        <v>203</v>
      </c>
      <c r="E133" s="310">
        <f>F132/I128</f>
        <v>8194.5116868055702</v>
      </c>
      <c r="F133" s="251" t="s">
        <v>204</v>
      </c>
      <c r="G133" s="252">
        <f>(G129+G72)/I128</f>
        <v>46.245460087779257</v>
      </c>
      <c r="H133" s="275"/>
      <c r="I133" s="214"/>
      <c r="J133" s="197"/>
      <c r="K133" s="197"/>
      <c r="L133" s="197"/>
      <c r="M133" s="197"/>
      <c r="N133" s="197"/>
      <c r="O133" s="197"/>
      <c r="P133" s="46"/>
      <c r="Q133" s="46"/>
      <c r="R133" s="46"/>
    </row>
    <row r="134" spans="1:18" ht="13.5" thickBot="1" x14ac:dyDescent="0.25">
      <c r="A134" s="8"/>
      <c r="B134" s="48"/>
      <c r="C134" s="49"/>
      <c r="D134" s="49"/>
      <c r="E134" s="49"/>
      <c r="F134" s="50"/>
      <c r="G134" s="51"/>
      <c r="H134" s="276"/>
      <c r="I134" s="47"/>
      <c r="J134" s="46"/>
      <c r="K134" s="46"/>
      <c r="L134" s="46"/>
      <c r="M134" s="46"/>
      <c r="N134" s="46"/>
      <c r="O134" s="46"/>
      <c r="P134" s="46"/>
      <c r="Q134" s="46"/>
      <c r="R134" s="46"/>
    </row>
    <row r="135" spans="1:18" x14ac:dyDescent="0.2">
      <c r="A135" s="15"/>
      <c r="B135" s="1005" t="s">
        <v>50</v>
      </c>
      <c r="C135" s="1007" t="str">
        <f>F7</f>
        <v>альбом</v>
      </c>
      <c r="D135" s="1008"/>
      <c r="E135" s="1009"/>
      <c r="F135" s="147"/>
      <c r="G135" s="8"/>
      <c r="H135" s="277"/>
      <c r="I135" s="71"/>
      <c r="J135" s="46"/>
      <c r="K135" s="46"/>
      <c r="L135" s="46"/>
      <c r="M135" s="46"/>
      <c r="N135" s="46"/>
      <c r="O135" s="46"/>
      <c r="P135" s="46"/>
      <c r="Q135" s="46"/>
      <c r="R135" s="46"/>
    </row>
    <row r="136" spans="1:18" ht="13.5" thickBot="1" x14ac:dyDescent="0.25">
      <c r="A136" s="52"/>
      <c r="B136" s="1006"/>
      <c r="C136" s="1010" t="s">
        <v>351</v>
      </c>
      <c r="D136" s="1011"/>
      <c r="E136" s="1012"/>
      <c r="F136" s="148"/>
      <c r="G136" s="8" t="s">
        <v>71</v>
      </c>
      <c r="O136" s="192"/>
      <c r="P136" s="192"/>
      <c r="Q136" s="192"/>
    </row>
    <row r="137" spans="1:18" x14ac:dyDescent="0.2">
      <c r="A137" s="52"/>
      <c r="B137" s="170" t="s">
        <v>114</v>
      </c>
      <c r="C137" s="150"/>
      <c r="D137" s="10"/>
      <c r="E137" s="10"/>
      <c r="F137" s="151">
        <f>M142*N142+M143*N143+M141*N141</f>
        <v>0</v>
      </c>
      <c r="O137" s="192"/>
      <c r="P137" s="192"/>
      <c r="Q137" s="192"/>
    </row>
    <row r="138" spans="1:18" x14ac:dyDescent="0.2">
      <c r="A138" s="52"/>
      <c r="B138" s="149" t="s">
        <v>80</v>
      </c>
      <c r="C138" s="150"/>
      <c r="D138" s="10"/>
      <c r="E138" s="152">
        <f>(F32+(F86+F89+F87+F88+F82)*1.05)*1.02</f>
        <v>2979505.6573997247</v>
      </c>
      <c r="F138" s="151"/>
      <c r="H138" s="854">
        <f>E138+E139+E140+E141+E142+E143*1.02</f>
        <v>5900048.4145000111</v>
      </c>
      <c r="L138" t="s">
        <v>356</v>
      </c>
      <c r="M138">
        <f>L141*2*C11+L141*2*K141</f>
        <v>0</v>
      </c>
      <c r="O138" s="192"/>
      <c r="P138" s="192"/>
      <c r="Q138" s="192"/>
    </row>
    <row r="139" spans="1:18" x14ac:dyDescent="0.2">
      <c r="A139" s="8"/>
      <c r="B139" s="149" t="s">
        <v>90</v>
      </c>
      <c r="C139" s="150"/>
      <c r="D139" s="10"/>
      <c r="E139" s="152">
        <f>(F44+F71)*1.02</f>
        <v>2295958.4880885067</v>
      </c>
      <c r="F139" s="151"/>
      <c r="J139" t="s">
        <v>65</v>
      </c>
      <c r="O139" s="192"/>
      <c r="P139" s="192"/>
      <c r="Q139" s="192"/>
    </row>
    <row r="140" spans="1:18" x14ac:dyDescent="0.2">
      <c r="B140" s="149" t="s">
        <v>91</v>
      </c>
      <c r="C140" s="150"/>
      <c r="D140" s="10"/>
      <c r="E140" s="152">
        <f>(F75+F76+F77+F78+F79+F80+F81+F83+F84+F85+F93+F95+F102+F117+F118+F125+F126+F98+F99+F122+F123+F124+F94+F100+F103+F119+F120+F121+F96+F97)*1.05*1.02</f>
        <v>388561.57301178004</v>
      </c>
      <c r="F140" s="151"/>
      <c r="H140" s="278"/>
      <c r="I140" s="12"/>
      <c r="J140" s="4" t="s">
        <v>66</v>
      </c>
      <c r="K140" s="254" t="s">
        <v>67</v>
      </c>
      <c r="L140" s="3" t="s">
        <v>69</v>
      </c>
      <c r="M140" s="12" t="s">
        <v>68</v>
      </c>
      <c r="N140" s="4" t="s">
        <v>70</v>
      </c>
      <c r="O140" s="192" t="s">
        <v>218</v>
      </c>
      <c r="P140" s="192"/>
      <c r="Q140" s="192"/>
      <c r="R140" s="8"/>
    </row>
    <row r="141" spans="1:18" x14ac:dyDescent="0.2">
      <c r="B141" s="149" t="s">
        <v>92</v>
      </c>
      <c r="C141" s="150"/>
      <c r="D141" s="10"/>
      <c r="E141" s="153"/>
      <c r="F141" s="151"/>
      <c r="G141" s="154"/>
      <c r="H141" s="278"/>
      <c r="I141" s="12" t="s">
        <v>51</v>
      </c>
      <c r="J141" s="68">
        <v>2</v>
      </c>
      <c r="K141" s="69">
        <v>0.5</v>
      </c>
      <c r="L141" s="68">
        <v>0</v>
      </c>
      <c r="M141" s="69">
        <f>J141*K141*L141</f>
        <v>0</v>
      </c>
      <c r="N141" s="11">
        <f>[1]Перекупные!$F$72</f>
        <v>5914.2857142857138</v>
      </c>
      <c r="O141" s="192">
        <v>2</v>
      </c>
      <c r="P141" s="192"/>
      <c r="Q141" s="192"/>
      <c r="R141" s="8"/>
    </row>
    <row r="142" spans="1:18" x14ac:dyDescent="0.2">
      <c r="B142" s="170" t="s">
        <v>93</v>
      </c>
      <c r="C142" s="150"/>
      <c r="D142" s="10"/>
      <c r="E142" s="153">
        <f>(F49+F115)*1.02</f>
        <v>0</v>
      </c>
      <c r="F142" s="151"/>
      <c r="G142" s="154"/>
      <c r="H142" s="278"/>
      <c r="I142" s="12" t="s">
        <v>53</v>
      </c>
      <c r="J142" s="68">
        <v>1</v>
      </c>
      <c r="K142" s="69">
        <v>2.1</v>
      </c>
      <c r="L142" s="68">
        <v>0</v>
      </c>
      <c r="M142" s="69">
        <f>J142*K142*L142</f>
        <v>0</v>
      </c>
      <c r="N142" s="11">
        <f>[1]Перекупные!$F$71</f>
        <v>26164.02116402116</v>
      </c>
      <c r="O142" s="192"/>
      <c r="P142" s="192"/>
      <c r="Q142" s="192"/>
      <c r="R142" s="8"/>
    </row>
    <row r="143" spans="1:18" x14ac:dyDescent="0.2">
      <c r="B143" s="173" t="s">
        <v>112</v>
      </c>
      <c r="C143" s="150"/>
      <c r="D143" s="10"/>
      <c r="E143" s="153">
        <f>F61</f>
        <v>231394.8</v>
      </c>
      <c r="F143" s="151"/>
      <c r="G143" s="154"/>
      <c r="H143" s="278"/>
      <c r="I143" s="255" t="s">
        <v>52</v>
      </c>
      <c r="J143" s="256">
        <v>4.5</v>
      </c>
      <c r="K143" s="257">
        <v>4.5</v>
      </c>
      <c r="L143" s="256">
        <v>0</v>
      </c>
      <c r="M143" s="69">
        <f t="shared" ref="M143" si="25">J143*K143*L143</f>
        <v>0</v>
      </c>
      <c r="N143" s="11">
        <v>35500</v>
      </c>
      <c r="O143" s="192"/>
      <c r="P143" s="192"/>
      <c r="Q143" s="192"/>
      <c r="R143" s="8"/>
    </row>
    <row r="144" spans="1:18" x14ac:dyDescent="0.2">
      <c r="B144" s="1016" t="s">
        <v>94</v>
      </c>
      <c r="C144" s="1017"/>
      <c r="D144" s="1017"/>
      <c r="E144" s="1018"/>
      <c r="F144" s="53"/>
      <c r="G144" s="8" t="s">
        <v>205</v>
      </c>
      <c r="H144" s="1004"/>
      <c r="I144" s="1004"/>
      <c r="J144" s="192"/>
      <c r="K144" s="192"/>
      <c r="L144" s="8"/>
      <c r="M144" s="8"/>
      <c r="N144" s="8"/>
      <c r="O144" s="8"/>
      <c r="P144" s="8"/>
      <c r="Q144" s="8"/>
      <c r="R144" s="8"/>
    </row>
    <row r="145" spans="1:19" ht="13.5" thickBot="1" x14ac:dyDescent="0.25">
      <c r="B145" s="1040"/>
      <c r="C145" s="1041"/>
      <c r="D145" s="1041"/>
      <c r="E145" s="1042"/>
      <c r="F145" s="55"/>
      <c r="G145" s="15"/>
      <c r="H145" s="272"/>
      <c r="I145" s="192"/>
      <c r="J145" s="192"/>
      <c r="K145" s="192"/>
      <c r="O145" s="15"/>
      <c r="P145" s="15"/>
    </row>
    <row r="146" spans="1:19" x14ac:dyDescent="0.2">
      <c r="B146" s="718" t="s">
        <v>263</v>
      </c>
      <c r="G146" s="56"/>
      <c r="H146" s="272"/>
      <c r="I146" s="192"/>
      <c r="J146" s="192"/>
      <c r="K146" s="192"/>
      <c r="O146" s="15"/>
      <c r="P146" s="15"/>
    </row>
    <row r="147" spans="1:19" x14ac:dyDescent="0.2">
      <c r="G147" s="56"/>
      <c r="H147" s="272"/>
      <c r="I147" s="192"/>
      <c r="J147" s="192"/>
      <c r="K147" s="192"/>
      <c r="O147" s="15"/>
      <c r="P147" s="15"/>
    </row>
    <row r="148" spans="1:19" x14ac:dyDescent="0.2">
      <c r="A148" s="1034"/>
      <c r="B148" s="192"/>
      <c r="C148" s="224"/>
      <c r="D148" s="223"/>
      <c r="E148" s="192"/>
      <c r="F148" s="1043"/>
      <c r="G148" s="192"/>
      <c r="H148" s="27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</row>
    <row r="149" spans="1:19" x14ac:dyDescent="0.2">
      <c r="A149" s="1034"/>
      <c r="B149" s="192"/>
      <c r="C149" s="223"/>
      <c r="D149" s="223"/>
      <c r="E149" s="192"/>
      <c r="F149" s="1043"/>
      <c r="G149" s="192"/>
      <c r="H149" s="27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</row>
    <row r="150" spans="1:19" x14ac:dyDescent="0.2">
      <c r="A150" s="1034"/>
      <c r="B150" s="192"/>
      <c r="C150" s="224"/>
      <c r="D150" s="223"/>
      <c r="E150" s="192"/>
      <c r="F150" s="1043"/>
      <c r="G150" s="192"/>
      <c r="H150" s="27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</row>
    <row r="151" spans="1:19" x14ac:dyDescent="0.2">
      <c r="A151" s="1034"/>
      <c r="B151" s="192"/>
      <c r="C151" s="224"/>
      <c r="D151" s="223"/>
      <c r="E151" s="192"/>
      <c r="F151" s="1043"/>
      <c r="G151" s="192"/>
      <c r="H151" s="272"/>
      <c r="I151" s="192"/>
      <c r="J151" s="192"/>
      <c r="K151" s="192"/>
      <c r="L151" s="192"/>
      <c r="M151" s="223"/>
      <c r="N151" s="197"/>
      <c r="O151" s="197"/>
      <c r="P151" s="197"/>
      <c r="Q151" s="197"/>
      <c r="R151" s="197"/>
      <c r="S151" s="192"/>
    </row>
    <row r="152" spans="1:19" x14ac:dyDescent="0.2">
      <c r="A152" s="1034"/>
      <c r="B152" s="192"/>
      <c r="C152" s="224"/>
      <c r="D152" s="223"/>
      <c r="E152" s="192"/>
      <c r="F152" s="1043"/>
      <c r="G152" s="192"/>
      <c r="H152" s="279"/>
      <c r="I152" s="221"/>
      <c r="J152" s="192"/>
      <c r="K152" s="192"/>
      <c r="L152" s="192"/>
      <c r="M152" s="223"/>
      <c r="N152" s="197"/>
      <c r="O152" s="197"/>
      <c r="P152" s="197"/>
      <c r="Q152" s="197"/>
      <c r="R152" s="197"/>
      <c r="S152" s="192"/>
    </row>
    <row r="153" spans="1:19" ht="13.5" thickBot="1" x14ac:dyDescent="0.25">
      <c r="B153" s="15"/>
      <c r="C153" s="15" t="s">
        <v>57</v>
      </c>
      <c r="D153" s="15"/>
      <c r="E153" s="15"/>
      <c r="F153" s="15"/>
      <c r="G153" s="15" t="s">
        <v>39</v>
      </c>
      <c r="H153" s="272"/>
      <c r="I153" s="222"/>
      <c r="J153" s="802"/>
      <c r="K153" s="192"/>
      <c r="L153" s="192"/>
      <c r="O153" s="15"/>
      <c r="P153" s="15"/>
    </row>
    <row r="154" spans="1:19" ht="13.5" thickBot="1" x14ac:dyDescent="0.25">
      <c r="A154" s="1027">
        <f>E17</f>
        <v>0</v>
      </c>
      <c r="B154" s="57" t="s">
        <v>42</v>
      </c>
      <c r="C154" s="58">
        <v>1</v>
      </c>
      <c r="D154" s="70">
        <f t="shared" ref="D154:D159" si="26">C154*$A$154</f>
        <v>0</v>
      </c>
      <c r="E154" s="57" t="s">
        <v>54</v>
      </c>
      <c r="F154" s="1030" t="s">
        <v>32</v>
      </c>
      <c r="G154" s="42">
        <f>[10]прайс!K24</f>
        <v>93</v>
      </c>
      <c r="O154" s="15"/>
      <c r="P154" s="15"/>
    </row>
    <row r="155" spans="1:19" ht="13.5" thickBot="1" x14ac:dyDescent="0.25">
      <c r="A155" s="1028"/>
      <c r="B155" s="41" t="s">
        <v>60</v>
      </c>
      <c r="C155" s="12">
        <v>2</v>
      </c>
      <c r="D155" s="70">
        <f t="shared" si="26"/>
        <v>0</v>
      </c>
      <c r="E155" s="41" t="s">
        <v>54</v>
      </c>
      <c r="F155" s="1031"/>
      <c r="G155" s="42">
        <f>[10]прайс!K37</f>
        <v>61</v>
      </c>
      <c r="H155" s="238">
        <f>CEILING(E16/140,1)</f>
        <v>0</v>
      </c>
      <c r="I155" s="3" t="s">
        <v>56</v>
      </c>
      <c r="O155" s="15"/>
      <c r="P155" s="15"/>
    </row>
    <row r="156" spans="1:19" ht="13.5" thickBot="1" x14ac:dyDescent="0.25">
      <c r="A156" s="1028"/>
      <c r="B156" s="41" t="s">
        <v>7</v>
      </c>
      <c r="C156" s="12">
        <v>10</v>
      </c>
      <c r="D156" s="70">
        <f t="shared" si="26"/>
        <v>0</v>
      </c>
      <c r="E156" s="41" t="s">
        <v>43</v>
      </c>
      <c r="F156" s="1031"/>
      <c r="G156" s="15">
        <f>[10]прайс!G28</f>
        <v>0.33</v>
      </c>
      <c r="H156" s="280"/>
      <c r="O156" s="15"/>
      <c r="P156" s="15"/>
    </row>
    <row r="157" spans="1:19" ht="13.5" thickBot="1" x14ac:dyDescent="0.25">
      <c r="A157" s="1028"/>
      <c r="B157" s="41" t="s">
        <v>61</v>
      </c>
      <c r="C157" s="12">
        <v>0.11</v>
      </c>
      <c r="D157" s="70">
        <f t="shared" si="26"/>
        <v>0</v>
      </c>
      <c r="E157" s="41" t="s">
        <v>48</v>
      </c>
      <c r="F157" s="1031"/>
      <c r="G157" s="42">
        <f>[10]прайс!E34</f>
        <v>1741</v>
      </c>
      <c r="H157" s="281"/>
      <c r="O157" s="15"/>
      <c r="P157" s="15"/>
    </row>
    <row r="158" spans="1:19" ht="13.5" thickBot="1" x14ac:dyDescent="0.25">
      <c r="A158" s="1028"/>
      <c r="B158" s="41" t="s">
        <v>62</v>
      </c>
      <c r="C158" s="59">
        <v>2.2000000000000002</v>
      </c>
      <c r="D158" s="70">
        <f t="shared" si="26"/>
        <v>0</v>
      </c>
      <c r="E158" s="41" t="s">
        <v>33</v>
      </c>
      <c r="F158" s="1031"/>
      <c r="G158" s="15">
        <f>IF(I4=1,[10]прайс!J43,IF('[10]типовые рамники до 15м'!I4=2,[10]прайс!B8,0))</f>
        <v>210</v>
      </c>
      <c r="H158" s="236" t="s">
        <v>40</v>
      </c>
      <c r="I158" t="s">
        <v>58</v>
      </c>
      <c r="J158" t="s">
        <v>59</v>
      </c>
      <c r="O158" s="15"/>
      <c r="P158" s="15"/>
    </row>
    <row r="159" spans="1:19" ht="13.5" thickBot="1" x14ac:dyDescent="0.25">
      <c r="A159" s="1029"/>
      <c r="B159" s="61" t="s">
        <v>55</v>
      </c>
      <c r="C159" s="62">
        <v>14</v>
      </c>
      <c r="D159" s="70">
        <f t="shared" si="26"/>
        <v>0</v>
      </c>
      <c r="E159" s="61" t="s">
        <v>43</v>
      </c>
      <c r="F159" s="1032"/>
      <c r="G159" s="42">
        <f>[10]прайс!D17</f>
        <v>2.63</v>
      </c>
      <c r="H159" s="236">
        <f t="shared" ref="H159:H164" si="27">G154*D154</f>
        <v>0</v>
      </c>
      <c r="I159">
        <v>1.56</v>
      </c>
      <c r="J159">
        <f t="shared" ref="J159:J164" si="28">I159*D154</f>
        <v>0</v>
      </c>
      <c r="O159" s="15"/>
      <c r="P159" s="15"/>
    </row>
    <row r="160" spans="1:19" x14ac:dyDescent="0.2">
      <c r="H160" s="236">
        <f t="shared" si="27"/>
        <v>0</v>
      </c>
      <c r="I160">
        <v>1.1499999999999999</v>
      </c>
      <c r="J160">
        <f t="shared" si="28"/>
        <v>0</v>
      </c>
      <c r="O160" s="15"/>
      <c r="P160" s="15"/>
    </row>
    <row r="161" spans="8:16" x14ac:dyDescent="0.2">
      <c r="H161" s="236">
        <f t="shared" si="27"/>
        <v>0</v>
      </c>
      <c r="I161">
        <f>0.18/100</f>
        <v>1.8E-3</v>
      </c>
      <c r="J161">
        <f t="shared" si="28"/>
        <v>0</v>
      </c>
      <c r="O161" s="15"/>
      <c r="P161" s="15"/>
    </row>
    <row r="162" spans="8:16" x14ac:dyDescent="0.2">
      <c r="H162" s="236">
        <f t="shared" si="27"/>
        <v>0</v>
      </c>
      <c r="I162">
        <v>22</v>
      </c>
      <c r="J162">
        <f t="shared" si="28"/>
        <v>0</v>
      </c>
      <c r="O162" s="15"/>
      <c r="P162" s="15"/>
    </row>
    <row r="163" spans="8:16" x14ac:dyDescent="0.2">
      <c r="H163" s="282">
        <f t="shared" si="27"/>
        <v>0</v>
      </c>
      <c r="I163">
        <v>4.4119999999999999</v>
      </c>
      <c r="J163">
        <f t="shared" si="28"/>
        <v>0</v>
      </c>
      <c r="O163" s="15"/>
      <c r="P163" s="15"/>
    </row>
    <row r="164" spans="8:16" x14ac:dyDescent="0.2">
      <c r="H164" s="236">
        <f t="shared" si="27"/>
        <v>0</v>
      </c>
      <c r="I164">
        <f>0.53/100</f>
        <v>5.3E-3</v>
      </c>
      <c r="J164">
        <f t="shared" si="28"/>
        <v>0</v>
      </c>
      <c r="O164" s="15"/>
      <c r="P164" s="15"/>
    </row>
    <row r="165" spans="8:16" x14ac:dyDescent="0.2">
      <c r="H165" s="283">
        <f>SUM(H159:H164)</f>
        <v>0</v>
      </c>
      <c r="J165" s="60">
        <f>SUM(J159:J164)</f>
        <v>0</v>
      </c>
      <c r="O165" s="15"/>
      <c r="P165" s="15"/>
    </row>
    <row r="166" spans="8:16" x14ac:dyDescent="0.2">
      <c r="O166" s="15"/>
      <c r="P166" s="15"/>
    </row>
    <row r="167" spans="8:16" x14ac:dyDescent="0.2">
      <c r="O167" s="15"/>
      <c r="P167" s="15"/>
    </row>
    <row r="168" spans="8:16" x14ac:dyDescent="0.2">
      <c r="H168" s="284">
        <f>E66/1.15*($E$9+FLOOR($E$9/6,1)*0.2)*1.17</f>
        <v>0</v>
      </c>
      <c r="I168" t="s">
        <v>63</v>
      </c>
      <c r="O168" s="15"/>
      <c r="P168" s="15"/>
    </row>
  </sheetData>
  <mergeCells count="25">
    <mergeCell ref="H144:I144"/>
    <mergeCell ref="B145:E145"/>
    <mergeCell ref="A148:A152"/>
    <mergeCell ref="F148:F152"/>
    <mergeCell ref="A154:A159"/>
    <mergeCell ref="F154:F159"/>
    <mergeCell ref="B144:E144"/>
    <mergeCell ref="A73:G73"/>
    <mergeCell ref="B129:E129"/>
    <mergeCell ref="B130:E130"/>
    <mergeCell ref="B135:B136"/>
    <mergeCell ref="C135:E135"/>
    <mergeCell ref="C136:E136"/>
    <mergeCell ref="AB6:AD6"/>
    <mergeCell ref="AF6:AH6"/>
    <mergeCell ref="A11:B11"/>
    <mergeCell ref="C16:D16"/>
    <mergeCell ref="A18:D18"/>
    <mergeCell ref="C72:E72"/>
    <mergeCell ref="A1:B2"/>
    <mergeCell ref="C1:G4"/>
    <mergeCell ref="L1:O1"/>
    <mergeCell ref="P1:S1"/>
    <mergeCell ref="A3:B4"/>
    <mergeCell ref="E6:F6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&amp;LИнженер по расчетам&amp;CАрхиреева И.А.&amp;R&amp;D</oddFooter>
  </headerFooter>
  <rowBreaks count="1" manualBreakCount="1">
    <brk id="72" max="6" man="1"/>
  </rowBreaks>
  <colBreaks count="1" manualBreakCount="1">
    <brk id="7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12м</vt:lpstr>
      <vt:lpstr>15</vt:lpstr>
      <vt:lpstr>18</vt:lpstr>
      <vt:lpstr>21</vt:lpstr>
      <vt:lpstr>1ск</vt:lpstr>
      <vt:lpstr>'12м'!Область_печати</vt:lpstr>
      <vt:lpstr>'15'!Область_печати</vt:lpstr>
      <vt:lpstr>'18'!Область_печати</vt:lpstr>
      <vt:lpstr>'1ск'!Область_печати</vt:lpstr>
      <vt:lpstr>'21'!Область_печати</vt:lpstr>
    </vt:vector>
  </TitlesOfParts>
  <Company>22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work</cp:lastModifiedBy>
  <cp:lastPrinted>2026-08-10T05:02:44Z</cp:lastPrinted>
  <dcterms:created xsi:type="dcterms:W3CDTF">2007-01-24T10:49:57Z</dcterms:created>
  <dcterms:modified xsi:type="dcterms:W3CDTF">2026-08-13T10:57:07Z</dcterms:modified>
</cp:coreProperties>
</file>