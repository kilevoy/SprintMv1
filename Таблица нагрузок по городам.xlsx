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СП 20" sheetId="1" r:id="rId1"/>
    <sheet name="СП РК EN" sheetId="2" r:id="rId2"/>
  </sheets>
  <calcPr calcId="152511"/>
</workbook>
</file>

<file path=xl/calcChain.xml><?xml version="1.0" encoding="utf-8"?>
<calcChain xmlns="http://schemas.openxmlformats.org/spreadsheetml/2006/main">
  <c r="E609" i="1" l="1"/>
  <c r="H606" i="1" l="1"/>
  <c r="G565" i="1" l="1"/>
  <c r="E565" i="1"/>
  <c r="E582" i="1" l="1"/>
  <c r="E583" i="1"/>
  <c r="E584" i="1"/>
  <c r="E585" i="1"/>
  <c r="E586" i="1"/>
  <c r="E587" i="1"/>
  <c r="E589" i="1"/>
  <c r="E590" i="1"/>
  <c r="E592" i="1"/>
  <c r="E593" i="1"/>
  <c r="E594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555" i="1"/>
  <c r="E556" i="1"/>
  <c r="E557" i="1"/>
  <c r="E558" i="1"/>
  <c r="E559" i="1"/>
  <c r="E561" i="1"/>
  <c r="E562" i="1"/>
  <c r="E563" i="1"/>
  <c r="E564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76" i="2" l="1"/>
  <c r="F76" i="2" s="1"/>
  <c r="H76" i="2"/>
  <c r="I76" i="2"/>
  <c r="E553" i="1" l="1"/>
  <c r="E552" i="1" l="1"/>
  <c r="E550" i="1" l="1"/>
  <c r="E549" i="1" l="1"/>
  <c r="E548" i="1" l="1"/>
  <c r="E547" i="1" l="1"/>
  <c r="E546" i="1" l="1"/>
  <c r="E545" i="1" l="1"/>
  <c r="E544" i="1" l="1"/>
  <c r="E543" i="1" l="1"/>
  <c r="E541" i="1" l="1"/>
  <c r="E540" i="1" l="1"/>
  <c r="E539" i="1" l="1"/>
  <c r="E538" i="1" l="1"/>
  <c r="E537" i="1" l="1"/>
  <c r="E536" i="1" l="1"/>
  <c r="E535" i="1" l="1"/>
  <c r="E534" i="1" l="1"/>
  <c r="E533" i="1" l="1"/>
  <c r="E521" i="1" l="1"/>
  <c r="G521" i="1"/>
  <c r="E522" i="1"/>
  <c r="G522" i="1"/>
  <c r="E523" i="1"/>
  <c r="G523" i="1"/>
  <c r="E524" i="1"/>
  <c r="G524" i="1"/>
  <c r="E525" i="1"/>
  <c r="G525" i="1"/>
  <c r="E526" i="1"/>
  <c r="G526" i="1"/>
  <c r="E527" i="1"/>
  <c r="G527" i="1"/>
  <c r="E528" i="1"/>
  <c r="G528" i="1"/>
  <c r="E529" i="1"/>
  <c r="G529" i="1"/>
  <c r="E530" i="1"/>
  <c r="G530" i="1"/>
  <c r="E531" i="1"/>
  <c r="G531" i="1"/>
  <c r="E532" i="1"/>
  <c r="G532" i="1"/>
  <c r="E520" i="1"/>
  <c r="E518" i="1" l="1"/>
  <c r="E517" i="1" l="1"/>
  <c r="E516" i="1" l="1"/>
  <c r="E515" i="1" l="1"/>
  <c r="G5" i="1" l="1"/>
  <c r="E514" i="1" l="1"/>
  <c r="E513" i="1" l="1"/>
  <c r="E512" i="1" l="1"/>
  <c r="E498" i="1" l="1"/>
  <c r="G498" i="1"/>
  <c r="E499" i="1"/>
  <c r="G499" i="1"/>
  <c r="G500" i="1"/>
  <c r="G501" i="1"/>
  <c r="E502" i="1"/>
  <c r="G502" i="1"/>
  <c r="E503" i="1"/>
  <c r="G503" i="1"/>
  <c r="E504" i="1"/>
  <c r="G504" i="1"/>
  <c r="E505" i="1"/>
  <c r="G505" i="1"/>
  <c r="G506" i="1"/>
  <c r="G507" i="1"/>
  <c r="E508" i="1"/>
  <c r="G508" i="1"/>
  <c r="E509" i="1"/>
  <c r="G509" i="1"/>
  <c r="E510" i="1"/>
  <c r="G510" i="1"/>
  <c r="E497" i="1"/>
  <c r="G497" i="1"/>
  <c r="E495" i="1" l="1"/>
  <c r="E492" i="1" l="1"/>
  <c r="E493" i="1"/>
  <c r="E490" i="1"/>
  <c r="E417" i="1" l="1"/>
  <c r="E488" i="1" l="1"/>
  <c r="E485" i="1" l="1"/>
  <c r="G485" i="1"/>
  <c r="G484" i="1" l="1"/>
  <c r="E484" i="1"/>
  <c r="G483" i="1" l="1"/>
  <c r="E483" i="1"/>
  <c r="E487" i="1" l="1"/>
  <c r="E486" i="1" l="1"/>
  <c r="A57" i="2" l="1"/>
  <c r="E77" i="2"/>
  <c r="F77" i="2" s="1"/>
  <c r="H77" i="2"/>
  <c r="I77" i="2"/>
  <c r="E78" i="2"/>
  <c r="F78" i="2" s="1"/>
  <c r="H78" i="2"/>
  <c r="I78" i="2"/>
  <c r="E79" i="2"/>
  <c r="F79" i="2" s="1"/>
  <c r="H79" i="2"/>
  <c r="I79" i="2"/>
  <c r="D80" i="2"/>
  <c r="E80" i="2"/>
  <c r="F80" i="2" s="1"/>
  <c r="H80" i="2"/>
  <c r="I80" i="2"/>
  <c r="D81" i="2"/>
  <c r="E81" i="2"/>
  <c r="F81" i="2" s="1"/>
  <c r="H81" i="2"/>
  <c r="I81" i="2"/>
  <c r="D82" i="2"/>
  <c r="E82" i="2"/>
  <c r="F82" i="2" s="1"/>
  <c r="H82" i="2"/>
  <c r="I82" i="2"/>
  <c r="D83" i="2"/>
  <c r="E83" i="2"/>
  <c r="F83" i="2" s="1"/>
  <c r="H83" i="2"/>
  <c r="I83" i="2"/>
  <c r="D84" i="2"/>
  <c r="E84" i="2"/>
  <c r="F84" i="2" s="1"/>
  <c r="H84" i="2"/>
  <c r="I84" i="2"/>
  <c r="D85" i="2"/>
  <c r="E85" i="2"/>
  <c r="F85" i="2"/>
  <c r="H85" i="2"/>
  <c r="I85" i="2"/>
  <c r="D86" i="2"/>
  <c r="E86" i="2"/>
  <c r="F86" i="2"/>
  <c r="H86" i="2"/>
  <c r="I86" i="2"/>
  <c r="D87" i="2"/>
  <c r="E87" i="2"/>
  <c r="F87" i="2" s="1"/>
  <c r="H87" i="2"/>
  <c r="I87" i="2"/>
  <c r="D88" i="2"/>
  <c r="E88" i="2"/>
  <c r="F88" i="2" s="1"/>
  <c r="H88" i="2"/>
  <c r="I88" i="2"/>
  <c r="E482" i="1" l="1"/>
  <c r="E480" i="1" l="1"/>
  <c r="E479" i="1" l="1"/>
  <c r="E478" i="1" l="1"/>
  <c r="E477" i="1" l="1"/>
  <c r="A46" i="2" l="1"/>
  <c r="E46" i="2"/>
  <c r="F46" i="2" s="1"/>
  <c r="H46" i="2"/>
  <c r="I46" i="2"/>
  <c r="A51" i="2"/>
  <c r="A3" i="2"/>
  <c r="G475" i="1"/>
  <c r="E476" i="1"/>
  <c r="G476" i="1"/>
  <c r="D475" i="1" l="1"/>
  <c r="E475" i="1" s="1"/>
  <c r="E474" i="1" l="1"/>
  <c r="D75" i="2" l="1"/>
  <c r="E75" i="2"/>
  <c r="F75" i="2"/>
  <c r="H75" i="2"/>
  <c r="I75" i="2"/>
  <c r="E461" i="1" l="1"/>
  <c r="G461" i="1"/>
  <c r="D74" i="2" l="1"/>
  <c r="E74" i="2"/>
  <c r="F74" i="2" s="1"/>
  <c r="H74" i="2"/>
  <c r="I74" i="2"/>
  <c r="D73" i="2" l="1"/>
  <c r="E73" i="2"/>
  <c r="F73" i="2" s="1"/>
  <c r="H73" i="2"/>
  <c r="I73" i="2"/>
  <c r="D72" i="2" l="1"/>
  <c r="E72" i="2"/>
  <c r="F72" i="2" s="1"/>
  <c r="H72" i="2"/>
  <c r="I72" i="2"/>
  <c r="D71" i="2" l="1"/>
  <c r="E71" i="2" l="1"/>
  <c r="F71" i="2"/>
  <c r="H71" i="2"/>
  <c r="I71" i="2"/>
  <c r="D70" i="2" l="1"/>
  <c r="E70" i="2"/>
  <c r="F70" i="2" s="1"/>
  <c r="H70" i="2"/>
  <c r="I70" i="2"/>
  <c r="D69" i="2"/>
  <c r="E69" i="2"/>
  <c r="F69" i="2" s="1"/>
  <c r="H69" i="2"/>
  <c r="I69" i="2"/>
  <c r="D68" i="2" l="1"/>
  <c r="E68" i="2"/>
  <c r="F68" i="2"/>
  <c r="H68" i="2"/>
  <c r="I68" i="2"/>
  <c r="D67" i="2" l="1"/>
  <c r="E67" i="2"/>
  <c r="F67" i="2" s="1"/>
  <c r="H67" i="2"/>
  <c r="I67" i="2"/>
  <c r="D66" i="2" l="1"/>
  <c r="E66" i="2"/>
  <c r="F66" i="2"/>
  <c r="H66" i="2"/>
  <c r="I66" i="2"/>
  <c r="D65" i="2" l="1"/>
  <c r="E65" i="2"/>
  <c r="F65" i="2" s="1"/>
  <c r="H65" i="2"/>
  <c r="I65" i="2"/>
  <c r="D64" i="2" l="1"/>
  <c r="E64" i="2"/>
  <c r="F64" i="2" s="1"/>
  <c r="H64" i="2"/>
  <c r="I64" i="2"/>
  <c r="H63" i="2" l="1"/>
  <c r="I63" i="2"/>
  <c r="D63" i="2"/>
  <c r="E63" i="2"/>
  <c r="F63" i="2"/>
  <c r="H62" i="2" l="1"/>
  <c r="I62" i="2"/>
  <c r="D62" i="2"/>
  <c r="E62" i="2"/>
  <c r="F62" i="2"/>
  <c r="E405" i="1" l="1"/>
  <c r="G405" i="1"/>
  <c r="H61" i="2" l="1"/>
  <c r="I61" i="2"/>
  <c r="D61" i="2"/>
  <c r="E61" i="2"/>
  <c r="F61" i="2"/>
  <c r="E60" i="2" l="1"/>
  <c r="F60" i="2" s="1"/>
  <c r="H60" i="2"/>
  <c r="I60" i="2"/>
  <c r="F9" i="2"/>
  <c r="E403" i="1" l="1"/>
  <c r="E59" i="2" l="1"/>
  <c r="F59" i="2"/>
  <c r="H59" i="2"/>
  <c r="I59" i="2"/>
  <c r="D58" i="2" l="1"/>
  <c r="E58" i="2"/>
  <c r="F58" i="2" s="1"/>
  <c r="H58" i="2"/>
  <c r="I58" i="2"/>
  <c r="E57" i="2" l="1"/>
  <c r="F57" i="2" s="1"/>
  <c r="H57" i="2"/>
  <c r="I57" i="2"/>
  <c r="I47" i="2" l="1"/>
  <c r="D56" i="2" l="1"/>
  <c r="E56" i="2"/>
  <c r="F56" i="2" s="1"/>
  <c r="H56" i="2"/>
  <c r="I56" i="2"/>
  <c r="E55" i="2" l="1"/>
  <c r="F55" i="2" s="1"/>
  <c r="H55" i="2"/>
  <c r="I55" i="2"/>
  <c r="D54" i="2" l="1"/>
  <c r="E54" i="2"/>
  <c r="F54" i="2" s="1"/>
  <c r="H54" i="2"/>
  <c r="I54" i="2"/>
  <c r="D53" i="2" l="1"/>
  <c r="E53" i="2"/>
  <c r="F53" i="2" s="1"/>
  <c r="H53" i="2"/>
  <c r="I53" i="2"/>
  <c r="E14" i="2" l="1"/>
  <c r="E284" i="1" l="1"/>
  <c r="J231" i="1" l="1"/>
  <c r="G236" i="1" l="1"/>
  <c r="E236" i="1"/>
  <c r="G235" i="1" l="1"/>
  <c r="E235" i="1"/>
  <c r="I36" i="2"/>
  <c r="H36" i="2"/>
  <c r="E36" i="2"/>
  <c r="F36" i="2" s="1"/>
  <c r="D36" i="2"/>
  <c r="E34" i="2" l="1"/>
  <c r="D232" i="1" l="1"/>
  <c r="F229" i="1" l="1"/>
  <c r="F234" i="1" s="1"/>
  <c r="F228" i="1" l="1"/>
  <c r="F231" i="1" s="1"/>
  <c r="D228" i="1"/>
  <c r="G50" i="2" l="1"/>
  <c r="F226" i="1" l="1"/>
  <c r="F230" i="1" s="1"/>
  <c r="D224" i="1" l="1"/>
  <c r="F222" i="1" l="1"/>
  <c r="F232" i="1" s="1"/>
  <c r="D222" i="1"/>
  <c r="D226" i="1" s="1"/>
  <c r="C50" i="2" l="1"/>
  <c r="F216" i="1" l="1"/>
  <c r="D216" i="1"/>
  <c r="D217" i="1" s="1"/>
  <c r="G215" i="1" l="1"/>
  <c r="G216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7" i="1"/>
  <c r="G478" i="1"/>
  <c r="G479" i="1"/>
  <c r="G480" i="1"/>
  <c r="G481" i="1"/>
  <c r="G482" i="1"/>
  <c r="G486" i="1"/>
  <c r="G487" i="1"/>
  <c r="G488" i="1"/>
  <c r="G489" i="1"/>
  <c r="G490" i="1"/>
  <c r="G491" i="1"/>
  <c r="G492" i="1"/>
  <c r="G493" i="1"/>
  <c r="G494" i="1"/>
  <c r="G495" i="1"/>
  <c r="G511" i="1"/>
  <c r="G512" i="1"/>
  <c r="G513" i="1"/>
  <c r="G514" i="1"/>
  <c r="G515" i="1"/>
  <c r="G516" i="1"/>
  <c r="G517" i="1"/>
  <c r="G518" i="1"/>
  <c r="G519" i="1"/>
  <c r="G520" i="1"/>
  <c r="G533" i="1"/>
  <c r="G534" i="1"/>
  <c r="G535" i="1"/>
  <c r="G536" i="1"/>
  <c r="G537" i="1"/>
  <c r="G538" i="1"/>
  <c r="G539" i="1"/>
  <c r="G540" i="1"/>
  <c r="G541" i="1"/>
  <c r="G542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2" i="1"/>
  <c r="E233" i="1"/>
  <c r="E234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4" i="1"/>
  <c r="E406" i="1"/>
  <c r="E407" i="1"/>
  <c r="E408" i="1"/>
  <c r="E409" i="1"/>
  <c r="E410" i="1"/>
  <c r="E411" i="1"/>
  <c r="E412" i="1"/>
  <c r="E413" i="1"/>
  <c r="E414" i="1"/>
  <c r="E415" i="1"/>
  <c r="E416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F217" i="1" l="1"/>
  <c r="G217" i="1" s="1"/>
  <c r="D213" i="1"/>
  <c r="F210" i="1" l="1"/>
  <c r="D210" i="1"/>
  <c r="I34" i="2" l="1"/>
  <c r="H34" i="2"/>
  <c r="D34" i="2"/>
  <c r="F34" i="2"/>
  <c r="E3" i="2"/>
  <c r="D207" i="1" l="1"/>
  <c r="H49" i="2" l="1"/>
  <c r="E49" i="2"/>
  <c r="F49" i="2" s="1"/>
  <c r="D49" i="2"/>
  <c r="I49" i="2"/>
  <c r="D50" i="2"/>
  <c r="E50" i="2"/>
  <c r="F50" i="2" s="1"/>
  <c r="H50" i="2"/>
  <c r="I50" i="2"/>
  <c r="E51" i="2"/>
  <c r="F51" i="2" s="1"/>
  <c r="H51" i="2"/>
  <c r="I51" i="2"/>
  <c r="D52" i="2"/>
  <c r="E52" i="2"/>
  <c r="F52" i="2" s="1"/>
  <c r="H52" i="2"/>
  <c r="I52" i="2"/>
  <c r="I3" i="2" l="1"/>
  <c r="F205" i="1" l="1"/>
  <c r="D205" i="1"/>
  <c r="F204" i="1" l="1"/>
  <c r="F207" i="1" s="1"/>
  <c r="F212" i="1" s="1"/>
  <c r="F90" i="1" l="1"/>
  <c r="F191" i="1" l="1"/>
  <c r="F194" i="1" s="1"/>
  <c r="D189" i="1" l="1"/>
  <c r="D191" i="1" s="1"/>
  <c r="D194" i="1" s="1"/>
  <c r="G186" i="1" l="1"/>
  <c r="E186" i="1"/>
  <c r="F188" i="1" l="1"/>
  <c r="F190" i="1" s="1"/>
  <c r="D188" i="1"/>
  <c r="D190" i="1" l="1"/>
  <c r="D204" i="1"/>
  <c r="D212" i="1" s="1"/>
  <c r="F184" i="1"/>
  <c r="F189" i="1" s="1"/>
  <c r="D179" i="1" l="1"/>
  <c r="E174" i="1" l="1"/>
  <c r="E175" i="1"/>
  <c r="E176" i="1"/>
  <c r="E177" i="1"/>
  <c r="E178" i="1"/>
  <c r="E179" i="1"/>
  <c r="E180" i="1"/>
  <c r="E181" i="1"/>
  <c r="E182" i="1"/>
  <c r="E183" i="1"/>
  <c r="E184" i="1"/>
  <c r="E185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173" i="1" l="1"/>
  <c r="D173" i="1"/>
  <c r="E173" i="1" s="1"/>
  <c r="G172" i="1" l="1"/>
  <c r="E172" i="1"/>
  <c r="G171" i="1" l="1"/>
  <c r="E171" i="1"/>
  <c r="I12" i="2" l="1"/>
  <c r="H13" i="2"/>
  <c r="I13" i="2"/>
  <c r="H14" i="2"/>
  <c r="I14" i="2"/>
  <c r="H15" i="2"/>
  <c r="I15" i="2"/>
  <c r="H16" i="2"/>
  <c r="I16" i="2"/>
  <c r="H17" i="2"/>
  <c r="I17" i="2"/>
  <c r="H18" i="2"/>
  <c r="I18" i="2"/>
  <c r="H19" i="2"/>
  <c r="I19" i="2"/>
  <c r="H20" i="2"/>
  <c r="I20" i="2"/>
  <c r="H21" i="2"/>
  <c r="I21" i="2"/>
  <c r="H22" i="2"/>
  <c r="I22" i="2"/>
  <c r="H24" i="2"/>
  <c r="I24" i="2"/>
  <c r="H26" i="2"/>
  <c r="I26" i="2"/>
  <c r="H27" i="2"/>
  <c r="I27" i="2"/>
  <c r="H28" i="2"/>
  <c r="I28" i="2"/>
  <c r="H29" i="2"/>
  <c r="I29" i="2"/>
  <c r="H30" i="2"/>
  <c r="I30" i="2"/>
  <c r="H31" i="2"/>
  <c r="I31" i="2"/>
  <c r="H32" i="2"/>
  <c r="I32" i="2"/>
  <c r="H35" i="2"/>
  <c r="I35" i="2"/>
  <c r="H37" i="2"/>
  <c r="I37" i="2"/>
  <c r="H39" i="2"/>
  <c r="I39" i="2"/>
  <c r="H42" i="2"/>
  <c r="I42" i="2"/>
  <c r="H43" i="2"/>
  <c r="I43" i="2"/>
  <c r="H45" i="2"/>
  <c r="I45" i="2"/>
  <c r="H47" i="2"/>
  <c r="H48" i="2"/>
  <c r="I48" i="2"/>
  <c r="D12" i="2"/>
  <c r="E12" i="2"/>
  <c r="F12" i="2"/>
  <c r="D13" i="2"/>
  <c r="E13" i="2"/>
  <c r="F13" i="2" s="1"/>
  <c r="F14" i="2"/>
  <c r="D15" i="2"/>
  <c r="E15" i="2"/>
  <c r="F15" i="2" s="1"/>
  <c r="D16" i="2"/>
  <c r="E16" i="2"/>
  <c r="F16" i="2" s="1"/>
  <c r="D17" i="2"/>
  <c r="E17" i="2"/>
  <c r="F17" i="2" s="1"/>
  <c r="D18" i="2"/>
  <c r="E18" i="2"/>
  <c r="F18" i="2" s="1"/>
  <c r="D19" i="2"/>
  <c r="E19" i="2"/>
  <c r="F19" i="2"/>
  <c r="D20" i="2"/>
  <c r="E20" i="2"/>
  <c r="F20" i="2" s="1"/>
  <c r="E21" i="2"/>
  <c r="F21" i="2" s="1"/>
  <c r="D22" i="2"/>
  <c r="E22" i="2"/>
  <c r="F22" i="2" s="1"/>
  <c r="D24" i="2"/>
  <c r="E24" i="2"/>
  <c r="F24" i="2" s="1"/>
  <c r="D26" i="2"/>
  <c r="E26" i="2"/>
  <c r="F26" i="2" s="1"/>
  <c r="D27" i="2"/>
  <c r="E27" i="2"/>
  <c r="F27" i="2" s="1"/>
  <c r="D28" i="2"/>
  <c r="E28" i="2"/>
  <c r="F28" i="2" s="1"/>
  <c r="D29" i="2"/>
  <c r="E29" i="2"/>
  <c r="F29" i="2" s="1"/>
  <c r="D30" i="2"/>
  <c r="E30" i="2"/>
  <c r="F30" i="2" s="1"/>
  <c r="D31" i="2"/>
  <c r="E31" i="2"/>
  <c r="F31" i="2" s="1"/>
  <c r="D32" i="2"/>
  <c r="E32" i="2"/>
  <c r="F32" i="2" s="1"/>
  <c r="D35" i="2"/>
  <c r="E35" i="2"/>
  <c r="F35" i="2" s="1"/>
  <c r="D37" i="2"/>
  <c r="E37" i="2"/>
  <c r="F37" i="2" s="1"/>
  <c r="D39" i="2"/>
  <c r="E39" i="2"/>
  <c r="F39" i="2" s="1"/>
  <c r="D42" i="2"/>
  <c r="E42" i="2"/>
  <c r="F42" i="2" s="1"/>
  <c r="D43" i="2"/>
  <c r="E43" i="2"/>
  <c r="F43" i="2" s="1"/>
  <c r="D45" i="2"/>
  <c r="E45" i="2"/>
  <c r="F45" i="2" s="1"/>
  <c r="E47" i="2"/>
  <c r="F47" i="2" s="1"/>
  <c r="D48" i="2"/>
  <c r="E48" i="2"/>
  <c r="F48" i="2" s="1"/>
  <c r="I6" i="2"/>
  <c r="I7" i="2"/>
  <c r="I8" i="2"/>
  <c r="I9" i="2"/>
  <c r="I11" i="2"/>
  <c r="H3" i="2"/>
  <c r="F3" i="2"/>
  <c r="D7" i="2"/>
  <c r="D8" i="2"/>
  <c r="D11" i="2"/>
  <c r="E5" i="2"/>
  <c r="F5" i="2" s="1"/>
  <c r="E6" i="2"/>
  <c r="F6" i="2" s="1"/>
  <c r="E7" i="2"/>
  <c r="F7" i="2" s="1"/>
  <c r="E8" i="2"/>
  <c r="F8" i="2" s="1"/>
  <c r="E9" i="2"/>
  <c r="E11" i="2"/>
  <c r="F11" i="2" s="1"/>
  <c r="H11" i="2"/>
  <c r="H9" i="2"/>
  <c r="H8" i="2"/>
  <c r="H7" i="2"/>
  <c r="H6" i="2"/>
  <c r="H5" i="2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1" i="1"/>
  <c r="E162" i="1"/>
  <c r="E163" i="1"/>
  <c r="E164" i="1"/>
  <c r="E165" i="1"/>
  <c r="E166" i="1"/>
  <c r="E167" i="1"/>
  <c r="E168" i="1"/>
  <c r="E169" i="1"/>
  <c r="E170" i="1"/>
  <c r="E3" i="1"/>
  <c r="G170" i="1"/>
  <c r="G169" i="1"/>
  <c r="G168" i="1"/>
  <c r="G167" i="1"/>
  <c r="G166" i="1"/>
  <c r="G165" i="1"/>
  <c r="G164" i="1"/>
  <c r="G163" i="1"/>
  <c r="G162" i="1"/>
  <c r="G161" i="1"/>
  <c r="G160" i="1"/>
  <c r="C160" i="1"/>
  <c r="E160" i="1" s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4" i="1"/>
  <c r="G3" i="1"/>
</calcChain>
</file>

<file path=xl/comments1.xml><?xml version="1.0" encoding="utf-8"?>
<comments xmlns="http://schemas.openxmlformats.org/spreadsheetml/2006/main">
  <authors>
    <author>Автор</author>
  </authors>
  <commentList>
    <comment ref="V7" authorId="0" shapeId="0">
      <text>
        <r>
          <rPr>
            <b/>
            <sz val="9"/>
            <color indexed="81"/>
            <rFont val="Tahoma"/>
            <family val="2"/>
            <charset val="204"/>
          </rPr>
          <t>прил. К</t>
        </r>
      </text>
    </comment>
  </commentList>
</comments>
</file>

<file path=xl/sharedStrings.xml><?xml version="1.0" encoding="utf-8"?>
<sst xmlns="http://schemas.openxmlformats.org/spreadsheetml/2006/main" count="2213" uniqueCount="762">
  <si>
    <t>N</t>
  </si>
  <si>
    <t>Город, населенный пункт</t>
  </si>
  <si>
    <t>СП 20.13330.2016</t>
  </si>
  <si>
    <t>Снеговой район</t>
  </si>
  <si>
    <r>
      <t xml:space="preserve">По таблице СП  -  </t>
    </r>
    <r>
      <rPr>
        <sz val="11"/>
        <color indexed="8"/>
        <rFont val="Calibri"/>
        <family val="2"/>
        <charset val="204"/>
      </rPr>
      <t>кН/м</t>
    </r>
    <r>
      <rPr>
        <vertAlign val="superscript"/>
        <sz val="11"/>
        <color indexed="8"/>
        <rFont val="Calibri"/>
        <family val="2"/>
        <charset val="204"/>
      </rPr>
      <t>2</t>
    </r>
  </si>
  <si>
    <r>
      <t>По данным ГМЦ (по прил. К) кН/м</t>
    </r>
    <r>
      <rPr>
        <vertAlign val="superscript"/>
        <sz val="11"/>
        <color indexed="8"/>
        <rFont val="Calibri"/>
        <family val="2"/>
        <charset val="204"/>
      </rPr>
      <t xml:space="preserve">2 </t>
    </r>
  </si>
  <si>
    <t>Ветровой район</t>
  </si>
  <si>
    <t>Альметьевск</t>
  </si>
  <si>
    <t>V</t>
  </si>
  <si>
    <t>IV</t>
  </si>
  <si>
    <t>II</t>
  </si>
  <si>
    <t>Ангарск</t>
  </si>
  <si>
    <t>III</t>
  </si>
  <si>
    <t>Арзамас</t>
  </si>
  <si>
    <t>Армавир</t>
  </si>
  <si>
    <t>Архангельск</t>
  </si>
  <si>
    <t>Астрахань</t>
  </si>
  <si>
    <t>I</t>
  </si>
  <si>
    <t>Ачинск</t>
  </si>
  <si>
    <t>Барнаул</t>
  </si>
  <si>
    <t>Белгород</t>
  </si>
  <si>
    <t>Бердск</t>
  </si>
  <si>
    <t>Березники</t>
  </si>
  <si>
    <t>Бийск</t>
  </si>
  <si>
    <t>Биробиджан</t>
  </si>
  <si>
    <t>Благовещенск</t>
  </si>
  <si>
    <t>Братск</t>
  </si>
  <si>
    <t>Брянск</t>
  </si>
  <si>
    <t>Бугульма</t>
  </si>
  <si>
    <t>Бузулук</t>
  </si>
  <si>
    <t>Великие Луки</t>
  </si>
  <si>
    <t>Великий Новгород</t>
  </si>
  <si>
    <t>Владикавказ</t>
  </si>
  <si>
    <t>Владимир</t>
  </si>
  <si>
    <t>Волгоград</t>
  </si>
  <si>
    <t>Волгодонск</t>
  </si>
  <si>
    <t>Волжский</t>
  </si>
  <si>
    <t>Вологда</t>
  </si>
  <si>
    <t>Воронеж</t>
  </si>
  <si>
    <t>Воткинск</t>
  </si>
  <si>
    <t>Выборг</t>
  </si>
  <si>
    <t>Гатчина</t>
  </si>
  <si>
    <t>Глазов</t>
  </si>
  <si>
    <t>Горно-Алтайск</t>
  </si>
  <si>
    <t>Грозный</t>
  </si>
  <si>
    <t>Димитровград</t>
  </si>
  <si>
    <t>Дмитров</t>
  </si>
  <si>
    <t>Евпатория</t>
  </si>
  <si>
    <t>Екатеринбург</t>
  </si>
  <si>
    <t>Елец</t>
  </si>
  <si>
    <t>Ессентуки</t>
  </si>
  <si>
    <t>Железногорск</t>
  </si>
  <si>
    <t>Златоуст</t>
  </si>
  <si>
    <t>Иваново</t>
  </si>
  <si>
    <t>Ижевск</t>
  </si>
  <si>
    <t>Йошкар-Ола</t>
  </si>
  <si>
    <t>Иркутск</t>
  </si>
  <si>
    <t>Казань</t>
  </si>
  <si>
    <t>Калининград</t>
  </si>
  <si>
    <t>Калуга</t>
  </si>
  <si>
    <t>Каменск-Уральский</t>
  </si>
  <si>
    <t>Камышин</t>
  </si>
  <si>
    <t>Канск</t>
  </si>
  <si>
    <t>Каспийск</t>
  </si>
  <si>
    <t>Кемерово</t>
  </si>
  <si>
    <t>Кинешма</t>
  </si>
  <si>
    <t>Киров</t>
  </si>
  <si>
    <t>Киселевск</t>
  </si>
  <si>
    <t>Кисловодск</t>
  </si>
  <si>
    <t>Клин</t>
  </si>
  <si>
    <t>Ковров</t>
  </si>
  <si>
    <t>Коломна</t>
  </si>
  <si>
    <t>Комсомольск-на-Амуре</t>
  </si>
  <si>
    <t>Копейск</t>
  </si>
  <si>
    <t>Кострома</t>
  </si>
  <si>
    <t>Краснодар</t>
  </si>
  <si>
    <t>Красноярск</t>
  </si>
  <si>
    <t>Кропоткин</t>
  </si>
  <si>
    <t>Кузнецк</t>
  </si>
  <si>
    <t>Курган</t>
  </si>
  <si>
    <t>Курск</t>
  </si>
  <si>
    <t>Кызыл</t>
  </si>
  <si>
    <t>Липецк</t>
  </si>
  <si>
    <t>Магадан</t>
  </si>
  <si>
    <t>Магнитогорск</t>
  </si>
  <si>
    <t>Майкоп</t>
  </si>
  <si>
    <t>Междуреченск</t>
  </si>
  <si>
    <t>VII</t>
  </si>
  <si>
    <t>Миасс</t>
  </si>
  <si>
    <t>Мичуринск</t>
  </si>
  <si>
    <t>Москва</t>
  </si>
  <si>
    <t>Мурманск</t>
  </si>
  <si>
    <t>Муром</t>
  </si>
  <si>
    <t>Набережные Челны</t>
  </si>
  <si>
    <t>Назрань</t>
  </si>
  <si>
    <t>Нальчик</t>
  </si>
  <si>
    <t>Невинномысск</t>
  </si>
  <si>
    <t>Нефтекамск</t>
  </si>
  <si>
    <t>Нефтеюганск</t>
  </si>
  <si>
    <t>Нижневартовск</t>
  </si>
  <si>
    <t>Нижнекамск</t>
  </si>
  <si>
    <t>Нижний Новгород</t>
  </si>
  <si>
    <t>Нижний Тагил</t>
  </si>
  <si>
    <t>Новокузнецк</t>
  </si>
  <si>
    <t>Новокуйбышевск</t>
  </si>
  <si>
    <t>Новомосковск</t>
  </si>
  <si>
    <t>Новосибирск</t>
  </si>
  <si>
    <t>Новочебоксарск</t>
  </si>
  <si>
    <t>Новочеркасск</t>
  </si>
  <si>
    <t>Новошахтинск</t>
  </si>
  <si>
    <t>Новый Уренгой</t>
  </si>
  <si>
    <t>Норильск</t>
  </si>
  <si>
    <t>Октябрьский</t>
  </si>
  <si>
    <t>Омск</t>
  </si>
  <si>
    <t>Орел</t>
  </si>
  <si>
    <t>Оренбург</t>
  </si>
  <si>
    <t>Орск</t>
  </si>
  <si>
    <t>Пенза</t>
  </si>
  <si>
    <t>Первоуральск</t>
  </si>
  <si>
    <t>Пермь</t>
  </si>
  <si>
    <t>Петрозаводск</t>
  </si>
  <si>
    <t>Петропавловск-Камчатский</t>
  </si>
  <si>
    <t>VIII</t>
  </si>
  <si>
    <t>Прокопьевск</t>
  </si>
  <si>
    <t>Псков</t>
  </si>
  <si>
    <t>Пушкин</t>
  </si>
  <si>
    <t>Пятигорск</t>
  </si>
  <si>
    <t>Ростов-на-Дону</t>
  </si>
  <si>
    <t>Рубцовск</t>
  </si>
  <si>
    <t>Рыбинск</t>
  </si>
  <si>
    <t>Рязань</t>
  </si>
  <si>
    <t>Салават</t>
  </si>
  <si>
    <t>Самара</t>
  </si>
  <si>
    <t>Санкт-Петербург</t>
  </si>
  <si>
    <t>Саранск</t>
  </si>
  <si>
    <t>Сарапул</t>
  </si>
  <si>
    <t>Саратов</t>
  </si>
  <si>
    <t>Саров</t>
  </si>
  <si>
    <t>Северодвинск</t>
  </si>
  <si>
    <t>Северск</t>
  </si>
  <si>
    <t>Сергиев Посад</t>
  </si>
  <si>
    <t>Серов</t>
  </si>
  <si>
    <t>Серпухов</t>
  </si>
  <si>
    <t>Смоленск</t>
  </si>
  <si>
    <t>Соликамск</t>
  </si>
  <si>
    <t>Ставрополь</t>
  </si>
  <si>
    <t>Старый Оскол</t>
  </si>
  <si>
    <t>Стерлитамак</t>
  </si>
  <si>
    <t>Сургут</t>
  </si>
  <si>
    <t>Сызрань</t>
  </si>
  <si>
    <t>Сыктывкар</t>
  </si>
  <si>
    <t>Таганрог</t>
  </si>
  <si>
    <t>Тамбов</t>
  </si>
  <si>
    <t>Тверь</t>
  </si>
  <si>
    <t>Тобольск</t>
  </si>
  <si>
    <t>Тольятти</t>
  </si>
  <si>
    <t>Томск</t>
  </si>
  <si>
    <t>Тула</t>
  </si>
  <si>
    <t>Тюмень</t>
  </si>
  <si>
    <t>Улан-Уде</t>
  </si>
  <si>
    <t>Ульяновск</t>
  </si>
  <si>
    <t>Уссурийск</t>
  </si>
  <si>
    <t>Усть-Илимск</t>
  </si>
  <si>
    <t>Уфа</t>
  </si>
  <si>
    <t>Ухта</t>
  </si>
  <si>
    <t>Хабаровск</t>
  </si>
  <si>
    <t>Ханты-Мансийск</t>
  </si>
  <si>
    <t>Хасавюрт</t>
  </si>
  <si>
    <t>Чайковский</t>
  </si>
  <si>
    <t>Чебоксары</t>
  </si>
  <si>
    <t>Челябинск</t>
  </si>
  <si>
    <t>Череповец</t>
  </si>
  <si>
    <t>Черкесск</t>
  </si>
  <si>
    <t>Чита</t>
  </si>
  <si>
    <t>Шахты</t>
  </si>
  <si>
    <t>Элиста</t>
  </si>
  <si>
    <t>Энгельс</t>
  </si>
  <si>
    <t>Южно-Сахалинск</t>
  </si>
  <si>
    <t>VI</t>
  </si>
  <si>
    <t>Якутск</t>
  </si>
  <si>
    <t>Ялта</t>
  </si>
  <si>
    <t>Ярославль</t>
  </si>
  <si>
    <t>Касли</t>
  </si>
  <si>
    <t>Атырау</t>
  </si>
  <si>
    <t>Романовка (СПБ)</t>
  </si>
  <si>
    <t>Н. Серьги (СВ обл)</t>
  </si>
  <si>
    <t>Усть-Каменогорск</t>
  </si>
  <si>
    <t>Муравленко</t>
  </si>
  <si>
    <t>Туркестан</t>
  </si>
  <si>
    <t>Полевской</t>
  </si>
  <si>
    <t>Аральск</t>
  </si>
  <si>
    <t>Алматы</t>
  </si>
  <si>
    <t>Петропавловск</t>
  </si>
  <si>
    <t>Тазовский</t>
  </si>
  <si>
    <t>Ноябрьск</t>
  </si>
  <si>
    <t>Магас</t>
  </si>
  <si>
    <t>Караганда</t>
  </si>
  <si>
    <t>Ревда</t>
  </si>
  <si>
    <t>Шира</t>
  </si>
  <si>
    <t>Катайск</t>
  </si>
  <si>
    <t>Самотлорское мр</t>
  </si>
  <si>
    <t>Московщина</t>
  </si>
  <si>
    <t>Бобровский</t>
  </si>
  <si>
    <t>Зубово</t>
  </si>
  <si>
    <t>Жибек Жолы</t>
  </si>
  <si>
    <r>
      <t>Нормативная нарузка, кН/м</t>
    </r>
    <r>
      <rPr>
        <vertAlign val="superscript"/>
        <sz val="11"/>
        <color indexed="8"/>
        <rFont val="Calibri"/>
        <family val="2"/>
        <charset val="204"/>
      </rPr>
      <t>2</t>
    </r>
  </si>
  <si>
    <t>Члб</t>
  </si>
  <si>
    <t>+</t>
  </si>
  <si>
    <t>Iа</t>
  </si>
  <si>
    <r>
      <t xml:space="preserve">По таблице СП РК EN, обычная  -  </t>
    </r>
    <r>
      <rPr>
        <sz val="11"/>
        <color indexed="8"/>
        <rFont val="Calibri"/>
        <family val="2"/>
        <charset val="204"/>
      </rPr>
      <t>кН/м</t>
    </r>
    <r>
      <rPr>
        <vertAlign val="superscript"/>
        <sz val="11"/>
        <color indexed="8"/>
        <rFont val="Calibri"/>
        <family val="2"/>
        <charset val="204"/>
      </rPr>
      <t>2</t>
    </r>
  </si>
  <si>
    <r>
      <t xml:space="preserve">По таблице СП РК EN, чрезвычайная  -  </t>
    </r>
    <r>
      <rPr>
        <sz val="11"/>
        <color indexed="8"/>
        <rFont val="Calibri"/>
        <family val="2"/>
        <charset val="204"/>
      </rPr>
      <t>кН/м</t>
    </r>
    <r>
      <rPr>
        <vertAlign val="superscript"/>
        <sz val="11"/>
        <color indexed="8"/>
        <rFont val="Calibri"/>
        <family val="2"/>
        <charset val="204"/>
      </rPr>
      <t>2</t>
    </r>
  </si>
  <si>
    <r>
      <t xml:space="preserve">По таблице СП20.13330.2011  -  </t>
    </r>
    <r>
      <rPr>
        <sz val="11"/>
        <color indexed="8"/>
        <rFont val="Calibri"/>
        <family val="2"/>
        <charset val="204"/>
      </rPr>
      <t>кН/м</t>
    </r>
    <r>
      <rPr>
        <vertAlign val="superscript"/>
        <sz val="11"/>
        <color indexed="8"/>
        <rFont val="Calibri"/>
        <family val="2"/>
        <charset val="204"/>
      </rPr>
      <t>2</t>
    </r>
  </si>
  <si>
    <t>нормативная</t>
  </si>
  <si>
    <t>расчетная</t>
  </si>
  <si>
    <t>Билибино</t>
  </si>
  <si>
    <t>Луховицы</t>
  </si>
  <si>
    <t>Кулан</t>
  </si>
  <si>
    <t>Туринская слобода</t>
  </si>
  <si>
    <t>Новая Чара</t>
  </si>
  <si>
    <t>Еманжелинск</t>
  </si>
  <si>
    <t>Ишимбай</t>
  </si>
  <si>
    <t>Риддер</t>
  </si>
  <si>
    <t>Снежинск</t>
  </si>
  <si>
    <t>Кременкуль</t>
  </si>
  <si>
    <t>Мирный</t>
  </si>
  <si>
    <t>Чусовой</t>
  </si>
  <si>
    <t>VIII/VI</t>
  </si>
  <si>
    <t>Рудный</t>
  </si>
  <si>
    <t>Нюрба</t>
  </si>
  <si>
    <t>Дурген</t>
  </si>
  <si>
    <t>Октябрьский Баш</t>
  </si>
  <si>
    <t>Карачев</t>
  </si>
  <si>
    <t>Арамиль</t>
  </si>
  <si>
    <t>Улан-Удэ</t>
  </si>
  <si>
    <t>Губкинский</t>
  </si>
  <si>
    <t>ЯНАО</t>
  </si>
  <si>
    <t>Талума</t>
  </si>
  <si>
    <t>Амурск.обл.</t>
  </si>
  <si>
    <t>Свободный</t>
  </si>
  <si>
    <t>Семей</t>
  </si>
  <si>
    <t>Данилов</t>
  </si>
  <si>
    <t>с.Ключи</t>
  </si>
  <si>
    <t>алтайский край</t>
  </si>
  <si>
    <t>Нягань</t>
  </si>
  <si>
    <t>Тулун</t>
  </si>
  <si>
    <t>иркутск.обл</t>
  </si>
  <si>
    <t>Среднеуральск</t>
  </si>
  <si>
    <t>Найденовка</t>
  </si>
  <si>
    <t>Воскресенск</t>
  </si>
  <si>
    <t>Севастополь</t>
  </si>
  <si>
    <t>Верхняя Салда</t>
  </si>
  <si>
    <t>Брянка</t>
  </si>
  <si>
    <t>Карауловка</t>
  </si>
  <si>
    <t>7 снег</t>
  </si>
  <si>
    <t>Нерюнгри</t>
  </si>
  <si>
    <t>Балобаново</t>
  </si>
  <si>
    <t>Калуж.обл.</t>
  </si>
  <si>
    <t>Нижние серги</t>
  </si>
  <si>
    <t>КАЗАХСТАН</t>
  </si>
  <si>
    <t>Жезказган</t>
  </si>
  <si>
    <t>Верхний Уфалей</t>
  </si>
  <si>
    <t>березовский</t>
  </si>
  <si>
    <t>Кызыл-Орда</t>
  </si>
  <si>
    <t>Казахстан по старым нормам</t>
  </si>
  <si>
    <t>Тенгиз</t>
  </si>
  <si>
    <t>Талдыкорган</t>
  </si>
  <si>
    <t>Большерецк</t>
  </si>
  <si>
    <t>ЕКБ</t>
  </si>
  <si>
    <t>Октябрьский ЕКБ</t>
  </si>
  <si>
    <t>Дальнереченск</t>
  </si>
  <si>
    <t>Харьягинское мест.</t>
  </si>
  <si>
    <t>Краснотурьинск</t>
  </si>
  <si>
    <t>Карталы</t>
  </si>
  <si>
    <t>Косулино</t>
  </si>
  <si>
    <t>Троицк</t>
  </si>
  <si>
    <t>Марамзино</t>
  </si>
  <si>
    <t>Нижний Бистях</t>
  </si>
  <si>
    <t>Белоносово</t>
  </si>
  <si>
    <t>Забайкальск</t>
  </si>
  <si>
    <t>Экибастуз</t>
  </si>
  <si>
    <t>Салехард</t>
  </si>
  <si>
    <t>Абакан</t>
  </si>
  <si>
    <t>Зеленый Дол</t>
  </si>
  <si>
    <t>Судоверфь</t>
  </si>
  <si>
    <t>Слободской</t>
  </si>
  <si>
    <t>Краснокаменск</t>
  </si>
  <si>
    <t>Минзелинск</t>
  </si>
  <si>
    <t>Тверск.обл</t>
  </si>
  <si>
    <t>Татарстан</t>
  </si>
  <si>
    <t>Мульта</t>
  </si>
  <si>
    <t>Артем</t>
  </si>
  <si>
    <t>Пушкино</t>
  </si>
  <si>
    <t>РБ (УФА)</t>
  </si>
  <si>
    <t>Коротчаево</t>
  </si>
  <si>
    <t>Долинск</t>
  </si>
  <si>
    <t>Верхотурье</t>
  </si>
  <si>
    <t>Красный Адуй</t>
  </si>
  <si>
    <t>Екб.</t>
  </si>
  <si>
    <t>Холмск</t>
  </si>
  <si>
    <t>Сахалин</t>
  </si>
  <si>
    <t>нагорный</t>
  </si>
  <si>
    <t>Ерейментау</t>
  </si>
  <si>
    <t>Большой Камень</t>
  </si>
  <si>
    <t>Кушва</t>
  </si>
  <si>
    <t>Удомля</t>
  </si>
  <si>
    <t>Улукулево</t>
  </si>
  <si>
    <t>Тарко-Сале</t>
  </si>
  <si>
    <t>Змеиногорск</t>
  </si>
  <si>
    <t>Кунгурский район</t>
  </si>
  <si>
    <t>Дудинка</t>
  </si>
  <si>
    <t>Высокая Гора</t>
  </si>
  <si>
    <t>Улан-Батор</t>
  </si>
  <si>
    <t>Монголия</t>
  </si>
  <si>
    <t>Паюта</t>
  </si>
  <si>
    <t>Верхнее Дуброво</t>
  </si>
  <si>
    <t>Усть-Луга</t>
  </si>
  <si>
    <t>Ленинград.обл.</t>
  </si>
  <si>
    <t>Примоский край</t>
  </si>
  <si>
    <t xml:space="preserve">п.Новый </t>
  </si>
  <si>
    <t>Нартан</t>
  </si>
  <si>
    <t>Горный Щит</t>
  </si>
  <si>
    <t>Лесное</t>
  </si>
  <si>
    <t>Челяб.обл.</t>
  </si>
  <si>
    <t>Долгодеревенское</t>
  </si>
  <si>
    <t>Надым</t>
  </si>
  <si>
    <t>Углегорск</t>
  </si>
  <si>
    <t>Ужевка</t>
  </si>
  <si>
    <t>Эльгинское мр</t>
  </si>
  <si>
    <t>Гай</t>
  </si>
  <si>
    <t>Симферополь</t>
  </si>
  <si>
    <t>Усинск</t>
  </si>
  <si>
    <t>Железнодорожный</t>
  </si>
  <si>
    <t>Новониколаевский</t>
  </si>
  <si>
    <t>Красноуфимск</t>
  </si>
  <si>
    <t>Верхнетемерницкий</t>
  </si>
  <si>
    <t>Ростовс.обл</t>
  </si>
  <si>
    <t>Актобе</t>
  </si>
  <si>
    <t>ст. Кодар</t>
  </si>
  <si>
    <t>Щелково</t>
  </si>
  <si>
    <t>(ЯКУТИЯ,снег указан менеджером))</t>
  </si>
  <si>
    <t>Нименьга</t>
  </si>
  <si>
    <t>Архан.обл</t>
  </si>
  <si>
    <t>Истра</t>
  </si>
  <si>
    <t>Алабуга</t>
  </si>
  <si>
    <t>Тымовское</t>
  </si>
  <si>
    <t>п.Птицетоварной фермы</t>
  </si>
  <si>
    <t>Красноярский край</t>
  </si>
  <si>
    <t>Новоуральск</t>
  </si>
  <si>
    <t>Кабанбай</t>
  </si>
  <si>
    <t>Новый</t>
  </si>
  <si>
    <t xml:space="preserve">Бор </t>
  </si>
  <si>
    <t>Нижегород.обл</t>
  </si>
  <si>
    <t>Ерзовск</t>
  </si>
  <si>
    <t>Волгоград.обл</t>
  </si>
  <si>
    <t>Сочи</t>
  </si>
  <si>
    <t>Канаш</t>
  </si>
  <si>
    <t>Владивосток</t>
  </si>
  <si>
    <t>Солнечногорск</t>
  </si>
  <si>
    <t>мо</t>
  </si>
  <si>
    <t>Новороссийск</t>
  </si>
  <si>
    <t>Кислый Ключ</t>
  </si>
  <si>
    <t>Забайк.край</t>
  </si>
  <si>
    <t>Лигово</t>
  </si>
  <si>
    <t>Когалым</t>
  </si>
  <si>
    <t>Верхняя Пышма</t>
  </si>
  <si>
    <t>Верхний Индырчи</t>
  </si>
  <si>
    <t>Ишим</t>
  </si>
  <si>
    <t>Пайяха</t>
  </si>
  <si>
    <t>Заозерный</t>
  </si>
  <si>
    <t>Ноглики</t>
  </si>
  <si>
    <t>САХАЛИН</t>
  </si>
  <si>
    <t>Зирган</t>
  </si>
  <si>
    <t>РТ (Казань)</t>
  </si>
  <si>
    <t>Кощаково</t>
  </si>
  <si>
    <t>Лазаревское</t>
  </si>
  <si>
    <t>CОЧИ</t>
  </si>
  <si>
    <t>Байкал</t>
  </si>
  <si>
    <t>Шумово</t>
  </si>
  <si>
    <t>Чел.обл</t>
  </si>
  <si>
    <t>Павловский Посад</t>
  </si>
  <si>
    <t>МО</t>
  </si>
  <si>
    <t>Чебаркуль</t>
  </si>
  <si>
    <t>Оленегорск</t>
  </si>
  <si>
    <t>Коркино</t>
  </si>
  <si>
    <t xml:space="preserve">Химки </t>
  </si>
  <si>
    <t>Шымкент</t>
  </si>
  <si>
    <t>Феодосия</t>
  </si>
  <si>
    <t>Крым</t>
  </si>
  <si>
    <t>Сарбала</t>
  </si>
  <si>
    <t>Кемеровская обл.</t>
  </si>
  <si>
    <t>Селятино</t>
  </si>
  <si>
    <t>Моск.обл.</t>
  </si>
  <si>
    <t>Субутак</t>
  </si>
  <si>
    <t>п.Ленина</t>
  </si>
  <si>
    <t>Оренбург.обл.</t>
  </si>
  <si>
    <t>бухта Север</t>
  </si>
  <si>
    <t>красноярский край</t>
  </si>
  <si>
    <t>Душанбе</t>
  </si>
  <si>
    <t>по дан.заказчика</t>
  </si>
  <si>
    <t>Николаевка</t>
  </si>
  <si>
    <t>Пензински йрайон</t>
  </si>
  <si>
    <t>Мегион</t>
  </si>
  <si>
    <t>Верхние Серги</t>
  </si>
  <si>
    <t>п.Никола</t>
  </si>
  <si>
    <t>Еткуль</t>
  </si>
  <si>
    <t xml:space="preserve">Ереван </t>
  </si>
  <si>
    <t>Кыштым</t>
  </si>
  <si>
    <t>Армения (сейсм.8б)</t>
  </si>
  <si>
    <t>Качканар</t>
  </si>
  <si>
    <t>Волоколамск</t>
  </si>
  <si>
    <t>Москов.обл</t>
  </si>
  <si>
    <t>Ишалино</t>
  </si>
  <si>
    <t>Петровское</t>
  </si>
  <si>
    <t>Лабытнанги</t>
  </si>
  <si>
    <t>Усть-Куйга</t>
  </si>
  <si>
    <t>Якутия,сейсм.8б</t>
  </si>
  <si>
    <t>Сусуман</t>
  </si>
  <si>
    <t>(снег.район нужно уточнять)!!!</t>
  </si>
  <si>
    <t>Конаково</t>
  </si>
  <si>
    <t>Южа</t>
  </si>
  <si>
    <t>Ковдор</t>
  </si>
  <si>
    <t>Калга</t>
  </si>
  <si>
    <t>Артемовский</t>
  </si>
  <si>
    <t>Кокшетау</t>
  </si>
  <si>
    <t>Усолье-Сибирское</t>
  </si>
  <si>
    <t>Сысерть</t>
  </si>
  <si>
    <t>Невьянск</t>
  </si>
  <si>
    <t>Северомуйск</t>
  </si>
  <si>
    <t>Кировград</t>
  </si>
  <si>
    <t>Тбилиси</t>
  </si>
  <si>
    <t>по стар.нормам</t>
  </si>
  <si>
    <t>Южный</t>
  </si>
  <si>
    <t>Белореченск</t>
  </si>
  <si>
    <t>Садовый</t>
  </si>
  <si>
    <t>Ерофей Павлович</t>
  </si>
  <si>
    <t>Уват</t>
  </si>
  <si>
    <t>ХМАО</t>
  </si>
  <si>
    <t>Подольск</t>
  </si>
  <si>
    <t>Северо-Курильск</t>
  </si>
  <si>
    <t>сеймика 9</t>
  </si>
  <si>
    <t>Курчатов</t>
  </si>
  <si>
    <t>Ботрулиновка</t>
  </si>
  <si>
    <t>ВОРОНЕЖ.ОБЛ</t>
  </si>
  <si>
    <t>Алдан</t>
  </si>
  <si>
    <t>(ГОРН.МАЛОИЗУЧ.РАЙОН)</t>
  </si>
  <si>
    <t>Аша</t>
  </si>
  <si>
    <t>Кукмор</t>
  </si>
  <si>
    <t>Хужир</t>
  </si>
  <si>
    <t>сейсм.9б!</t>
  </si>
  <si>
    <t>уточнять!</t>
  </si>
  <si>
    <t>Заринск</t>
  </si>
  <si>
    <t>Мариуполь</t>
  </si>
  <si>
    <t>СТ.НОРМЫ УКРАИНА</t>
  </si>
  <si>
    <t>Нововаршавка</t>
  </si>
  <si>
    <t>Михайловск</t>
  </si>
  <si>
    <t>Ильинка</t>
  </si>
  <si>
    <t>Бурятия,сейсмика 9б!</t>
  </si>
  <si>
    <t>Алтай,сейсмика 8б!!</t>
  </si>
  <si>
    <t>Новосинеглазово</t>
  </si>
  <si>
    <t>Артыбаш</t>
  </si>
  <si>
    <t>Люберцы</t>
  </si>
  <si>
    <t>Павлодар</t>
  </si>
  <si>
    <t>Верх-Тула</t>
  </si>
  <si>
    <t>Новосиб.обл.</t>
  </si>
  <si>
    <t>Кононовка</t>
  </si>
  <si>
    <t>Реж</t>
  </si>
  <si>
    <t>Озерск</t>
  </si>
  <si>
    <t>Грановщина</t>
  </si>
  <si>
    <t>Линево</t>
  </si>
  <si>
    <t>Новосиб.обл</t>
  </si>
  <si>
    <t>Красногорский</t>
  </si>
  <si>
    <t>Пески</t>
  </si>
  <si>
    <t>Забайкальский</t>
  </si>
  <si>
    <t>Лыткарино</t>
  </si>
  <si>
    <t>Актау</t>
  </si>
  <si>
    <t>Таловка</t>
  </si>
  <si>
    <t>Мужи</t>
  </si>
  <si>
    <t>Вишневогорск</t>
  </si>
  <si>
    <t>Экажево</t>
  </si>
  <si>
    <t>Спасск-Дальний</t>
  </si>
  <si>
    <t>Воркута</t>
  </si>
  <si>
    <t>Тутаев</t>
  </si>
  <si>
    <t>Мучукей-Дуа</t>
  </si>
  <si>
    <t>Игарка</t>
  </si>
  <si>
    <t>Центральное</t>
  </si>
  <si>
    <t>Коломинские Гривы</t>
  </si>
  <si>
    <t>Чукотка</t>
  </si>
  <si>
    <t>Лянтор</t>
  </si>
  <si>
    <t>Южноуральск</t>
  </si>
  <si>
    <t>Чепош</t>
  </si>
  <si>
    <t>(горный,малоизучен.,уточнять)</t>
  </si>
  <si>
    <t>Юрюзань</t>
  </si>
  <si>
    <t>Алмазный</t>
  </si>
  <si>
    <t>Якутия ,сейсм 7б!</t>
  </si>
  <si>
    <t>Северо-Енисейск</t>
  </si>
  <si>
    <t>Свердлов.обл.</t>
  </si>
  <si>
    <t>алт.край</t>
  </si>
  <si>
    <t>ЕВРОКОД</t>
  </si>
  <si>
    <t>Читинская обл</t>
  </si>
  <si>
    <t>Абовян</t>
  </si>
  <si>
    <t>Кунгур</t>
  </si>
  <si>
    <t>Кушвинский ГО</t>
  </si>
  <si>
    <t>Певек</t>
  </si>
  <si>
    <t>Нижняя Тура</t>
  </si>
  <si>
    <t>Бердянск</t>
  </si>
  <si>
    <t>Еврокод</t>
  </si>
  <si>
    <t>Старые карты (3сн,3в)</t>
  </si>
  <si>
    <t>старые нормы</t>
  </si>
  <si>
    <t>Далматово</t>
  </si>
  <si>
    <t>Уральск</t>
  </si>
  <si>
    <t>Кызылорда</t>
  </si>
  <si>
    <t>Внуково</t>
  </si>
  <si>
    <t>еврокод</t>
  </si>
  <si>
    <t>Байсерке</t>
  </si>
  <si>
    <t>Усть-Кут</t>
  </si>
  <si>
    <t>Костанай</t>
  </si>
  <si>
    <t>еВРОКОД</t>
  </si>
  <si>
    <t>Долматово</t>
  </si>
  <si>
    <t>Асбест</t>
  </si>
  <si>
    <t>Оверята</t>
  </si>
  <si>
    <t>усть-камчатский</t>
  </si>
  <si>
    <t>Нарян-Мар</t>
  </si>
  <si>
    <t>вл.среда</t>
  </si>
  <si>
    <t>Панковка</t>
  </si>
  <si>
    <t>Луганск</t>
  </si>
  <si>
    <t>Нерюнги</t>
  </si>
  <si>
    <t>Новопокровка</t>
  </si>
  <si>
    <t>ПРИМОРСК.КРАЙ</t>
  </si>
  <si>
    <t>Ванино</t>
  </si>
  <si>
    <t>Псекупс</t>
  </si>
  <si>
    <t>Варна</t>
  </si>
  <si>
    <t>Кульсары</t>
  </si>
  <si>
    <t>Оха</t>
  </si>
  <si>
    <t>Шолаккорган</t>
  </si>
  <si>
    <t>страые</t>
  </si>
  <si>
    <t>Александров</t>
  </si>
  <si>
    <t>Солнцевка</t>
  </si>
  <si>
    <t>Шимкент</t>
  </si>
  <si>
    <t>Пахачи</t>
  </si>
  <si>
    <t>Новошешеминск</t>
  </si>
  <si>
    <t>Формачево</t>
  </si>
  <si>
    <t>Петровский</t>
  </si>
  <si>
    <t>Раменское</t>
  </si>
  <si>
    <t>Можайск</t>
  </si>
  <si>
    <t>Шадринск</t>
  </si>
  <si>
    <t>Ярцево</t>
  </si>
  <si>
    <t>Жанаозен</t>
  </si>
  <si>
    <t>Репьево</t>
  </si>
  <si>
    <t>Карпинск</t>
  </si>
  <si>
    <t>Нязепетровск</t>
  </si>
  <si>
    <t>старые</t>
  </si>
  <si>
    <t>Бородулиха</t>
  </si>
  <si>
    <t>Лисичанск</t>
  </si>
  <si>
    <t>Лесная Дача (ЛНР)</t>
  </si>
  <si>
    <t>Балашиха</t>
  </si>
  <si>
    <t>Степняк</t>
  </si>
  <si>
    <t>Кузнецкое</t>
  </si>
  <si>
    <t>Новый Мир</t>
  </si>
  <si>
    <t>Заволжск</t>
  </si>
  <si>
    <t>Кулуево</t>
  </si>
  <si>
    <t>кузнецкое</t>
  </si>
  <si>
    <t>Михеево</t>
  </si>
  <si>
    <t>Байкалово</t>
  </si>
  <si>
    <t>Новая</t>
  </si>
  <si>
    <t>Авдон</t>
  </si>
  <si>
    <t>уфа</t>
  </si>
  <si>
    <t>Благовещенск(рб)</t>
  </si>
  <si>
    <t>Уэлен</t>
  </si>
  <si>
    <t>Мончегорск</t>
  </si>
  <si>
    <t>Елабуга</t>
  </si>
  <si>
    <t>Шу</t>
  </si>
  <si>
    <t>Болчары</t>
  </si>
  <si>
    <t xml:space="preserve">старые </t>
  </si>
  <si>
    <t>Солонешное</t>
  </si>
  <si>
    <t>Ключи</t>
  </si>
  <si>
    <t>новосиб.</t>
  </si>
  <si>
    <t>Саранпауль</t>
  </si>
  <si>
    <t>Поронайск</t>
  </si>
  <si>
    <t>Песчанка</t>
  </si>
  <si>
    <t>старые нормы(ЕВРОКОД  те же самые)</t>
  </si>
  <si>
    <t>Обнинск</t>
  </si>
  <si>
    <t>Чистополь</t>
  </si>
  <si>
    <t>Сибай</t>
  </si>
  <si>
    <t>Угольные Копи</t>
  </si>
  <si>
    <t>Сауытбек</t>
  </si>
  <si>
    <t>Купино</t>
  </si>
  <si>
    <t>новоси</t>
  </si>
  <si>
    <t>Краснопольское</t>
  </si>
  <si>
    <t>Гусиный брод</t>
  </si>
  <si>
    <t>новосиб</t>
  </si>
  <si>
    <t>Бизнес-парк Развитие</t>
  </si>
  <si>
    <t>Шмидтово</t>
  </si>
  <si>
    <t>Новая Ладога</t>
  </si>
  <si>
    <t>Саякский рудник</t>
  </si>
  <si>
    <t>Карабаш</t>
  </si>
  <si>
    <t>г.Ростов</t>
  </si>
  <si>
    <t>Анадырь</t>
  </si>
  <si>
    <t>Лосино-Петровский</t>
  </si>
  <si>
    <t>Корсаков</t>
  </si>
  <si>
    <t>СЕЙСМ.ВЛ.СРД</t>
  </si>
  <si>
    <t>Пыть-Ях</t>
  </si>
  <si>
    <t>Нижний Уфалей</t>
  </si>
  <si>
    <t>Алгатуй</t>
  </si>
  <si>
    <t>Ленск</t>
  </si>
  <si>
    <t>Воронцовское Лесничество</t>
  </si>
  <si>
    <t>Черняховск</t>
  </si>
  <si>
    <t>Сейсмика 8б,Абхазия</t>
  </si>
  <si>
    <t>Пшап</t>
  </si>
  <si>
    <t>Сарыкимер</t>
  </si>
  <si>
    <t>сейсм.7б</t>
  </si>
  <si>
    <t>Нововоронеж</t>
  </si>
  <si>
    <t>Архыз</t>
  </si>
  <si>
    <t>Cейсика 8б</t>
  </si>
  <si>
    <t>Олекминск</t>
  </si>
  <si>
    <t>Cейсика 8б,Пятигорск</t>
  </si>
  <si>
    <t>Богданович</t>
  </si>
  <si>
    <t>Железногорск-Илимский</t>
  </si>
  <si>
    <t>Ульги</t>
  </si>
  <si>
    <t>Степногорск</t>
  </si>
  <si>
    <t>Ковылкино</t>
  </si>
  <si>
    <t>Мордовия</t>
  </si>
  <si>
    <t>Апрелевка</t>
  </si>
  <si>
    <t>Ачит</t>
  </si>
  <si>
    <t>Приобъе</t>
  </si>
  <si>
    <t>Белорецк</t>
  </si>
  <si>
    <t>Зырянка</t>
  </si>
  <si>
    <t>Караганда СН (15гр.)</t>
  </si>
  <si>
    <t>Харасаввейское НГ</t>
  </si>
  <si>
    <t>Алматы СН</t>
  </si>
  <si>
    <t>Петропавловск СН(15гр.)</t>
  </si>
  <si>
    <t>Ингушетия,сейсмика 8б</t>
  </si>
  <si>
    <t>Ингушетия,сейсмика 7-8б</t>
  </si>
  <si>
    <t>месторожд.Усольцева</t>
  </si>
  <si>
    <t>Астана</t>
  </si>
  <si>
    <t>для 6 градусов</t>
  </si>
  <si>
    <t>Усть-Каменогорск СН (6гр.)</t>
  </si>
  <si>
    <t>Клопицкое</t>
  </si>
  <si>
    <t xml:space="preserve">Акколь </t>
  </si>
  <si>
    <t>Акколь СН (6гр.)</t>
  </si>
  <si>
    <t>Лесосибирск</t>
  </si>
  <si>
    <t>Советский</t>
  </si>
  <si>
    <t>Курагино</t>
  </si>
  <si>
    <t>Турген СН (6гр.)</t>
  </si>
  <si>
    <t>Павлодар СН (6р.)</t>
  </si>
  <si>
    <t>Малиновка</t>
  </si>
  <si>
    <t>Талдом</t>
  </si>
  <si>
    <t>Пласт</t>
  </si>
  <si>
    <t>Тарутино</t>
  </si>
  <si>
    <t>Костанай СН (15гр.)</t>
  </si>
  <si>
    <t>Кокшетау СН (6гр.)</t>
  </si>
  <si>
    <t>Суроватиха</t>
  </si>
  <si>
    <t>Урульга</t>
  </si>
  <si>
    <t>Алзамай</t>
  </si>
  <si>
    <t>Караганда СН (6гр.)</t>
  </si>
  <si>
    <t>Ирбит</t>
  </si>
  <si>
    <t>Югорск</t>
  </si>
  <si>
    <t>Кунашак</t>
  </si>
  <si>
    <t xml:space="preserve">V </t>
  </si>
  <si>
    <t>KZ</t>
  </si>
  <si>
    <t>Краснодарский край</t>
  </si>
  <si>
    <t>Ярослав.обл.</t>
  </si>
  <si>
    <t>Онохино</t>
  </si>
  <si>
    <t xml:space="preserve">п. Троицкий </t>
  </si>
  <si>
    <t>Сахаево</t>
  </si>
  <si>
    <t>Костанай СН (6 гр.)</t>
  </si>
  <si>
    <t>Упорово</t>
  </si>
  <si>
    <t>Манжерок</t>
  </si>
  <si>
    <t>Исток</t>
  </si>
  <si>
    <t>Умёт</t>
  </si>
  <si>
    <t xml:space="preserve">Ягодное </t>
  </si>
  <si>
    <t>Магадан,сейсмика 8б</t>
  </si>
  <si>
    <t>Мисяш</t>
  </si>
  <si>
    <t>Мариинск</t>
  </si>
  <si>
    <t>Приобье</t>
  </si>
  <si>
    <t>Новотроицк</t>
  </si>
  <si>
    <t>Судиславль</t>
  </si>
  <si>
    <t>Валдай</t>
  </si>
  <si>
    <t>Каргаполье</t>
  </si>
  <si>
    <t>с. Веселовское</t>
  </si>
  <si>
    <t>Вятские поляны</t>
  </si>
  <si>
    <t>с. Байкалово</t>
  </si>
  <si>
    <t>Кыргыстан,сейсмика 9б</t>
  </si>
  <si>
    <t>Бозымчак</t>
  </si>
  <si>
    <t>Нижний Бестях</t>
  </si>
  <si>
    <t>Аргаяш</t>
  </si>
  <si>
    <t>Бирск</t>
  </si>
  <si>
    <t>Барабинск</t>
  </si>
  <si>
    <t>Каргалейка</t>
  </si>
  <si>
    <t>Менделеевск</t>
  </si>
  <si>
    <t>Жанаозен СН (6гр.)</t>
  </si>
  <si>
    <t>Большое Никитино</t>
  </si>
  <si>
    <t>Хомутово</t>
  </si>
  <si>
    <t>Богородск</t>
  </si>
  <si>
    <t>Заречный</t>
  </si>
  <si>
    <t>Мелитополь</t>
  </si>
  <si>
    <t>Майма</t>
  </si>
  <si>
    <t>Мошково</t>
  </si>
  <si>
    <t>Верх-Нейвинский</t>
  </si>
  <si>
    <t>Денисовка</t>
  </si>
  <si>
    <t>Денисовка  СН (6гр.)</t>
  </si>
  <si>
    <t>Лугинецкое</t>
  </si>
  <si>
    <t>п. Березовка</t>
  </si>
  <si>
    <t>Предгорное</t>
  </si>
  <si>
    <t>Предгорное СН (6гр.)</t>
  </si>
  <si>
    <t>ПФО</t>
  </si>
  <si>
    <t>среднее Поволжье</t>
  </si>
  <si>
    <t>Томинский</t>
  </si>
  <si>
    <t>Арти</t>
  </si>
  <si>
    <t>Кирс</t>
  </si>
  <si>
    <t>Одинцово</t>
  </si>
  <si>
    <t>Петропавловск СН(6гр.)</t>
  </si>
  <si>
    <t>Озерки</t>
  </si>
  <si>
    <t>Нижняя Салда</t>
  </si>
  <si>
    <t>Большое Гусиное</t>
  </si>
  <si>
    <t>Нижне-Ивкино</t>
  </si>
  <si>
    <t>Артемовск (Бахмут)</t>
  </si>
  <si>
    <t>Донецк</t>
  </si>
  <si>
    <t>Дружковка</t>
  </si>
  <si>
    <t>Покровск</t>
  </si>
  <si>
    <t>Запорожье</t>
  </si>
  <si>
    <t>Новая Каховка</t>
  </si>
  <si>
    <t>Херсон</t>
  </si>
  <si>
    <t>Бикин</t>
  </si>
  <si>
    <t>Чара</t>
  </si>
  <si>
    <t>Лунино</t>
  </si>
  <si>
    <t>Пензинская обл.</t>
  </si>
  <si>
    <t>Синегорье</t>
  </si>
  <si>
    <t>Магадан.обл ,сейсмика 8б!</t>
  </si>
  <si>
    <t>Завитинск</t>
  </si>
  <si>
    <t>Берсеневка</t>
  </si>
  <si>
    <t>Саракташ</t>
  </si>
  <si>
    <t>Дружино</t>
  </si>
  <si>
    <t>Березовка</t>
  </si>
  <si>
    <t>Порт Де-К</t>
  </si>
  <si>
    <t>Осеево</t>
  </si>
  <si>
    <t>Новинки-Бегичево</t>
  </si>
  <si>
    <t>Старые нормы</t>
  </si>
  <si>
    <t>Карабалык (СН 15гр.)</t>
  </si>
  <si>
    <t>Чесма</t>
  </si>
  <si>
    <t>Прохладный</t>
  </si>
  <si>
    <t>д. Гусева</t>
  </si>
  <si>
    <t>Коржинкольский СН</t>
  </si>
  <si>
    <t>Губаха</t>
  </si>
  <si>
    <t xml:space="preserve"> </t>
  </si>
  <si>
    <t>Пермский кра</t>
  </si>
  <si>
    <t>ПС 14х45х1,5</t>
  </si>
  <si>
    <t>Кировский</t>
  </si>
  <si>
    <t>Приморский край</t>
  </si>
  <si>
    <t>Нижнеиргинское</t>
  </si>
  <si>
    <t>Волжск</t>
  </si>
  <si>
    <t>Прудный</t>
  </si>
  <si>
    <t>Емельяново</t>
  </si>
  <si>
    <t>Травники</t>
  </si>
  <si>
    <t>Шантарино</t>
  </si>
  <si>
    <t>Егорьевск</t>
  </si>
  <si>
    <t>Коелга</t>
  </si>
  <si>
    <t>чел. Обл.</t>
  </si>
  <si>
    <t>Роза</t>
  </si>
  <si>
    <t>Малмыж</t>
  </si>
  <si>
    <t>хабаровский край</t>
  </si>
  <si>
    <t xml:space="preserve">Герга </t>
  </si>
  <si>
    <t>Находка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</si>
</sst>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vertAlign val="superscript"/>
      <sz val="11"/>
      <color indexed="8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4" fillId="0" borderId="1" xfId="0" applyFont="1" applyBorder="1" applyAlignment="1" applyProtection="1">
      <alignment horizontal="center" vertical="center" wrapText="1"/>
    </xf>
    <xf numFmtId="0" fontId="4" fillId="0" borderId="4" xfId="0" applyFont="1" applyFill="1" applyBorder="1" applyAlignment="1" applyProtection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Border="1"/>
    <xf numFmtId="0" fontId="0" fillId="0" borderId="7" xfId="0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19" xfId="0" applyBorder="1"/>
    <xf numFmtId="0" fontId="0" fillId="0" borderId="20" xfId="0" applyFill="1" applyBorder="1" applyAlignment="1">
      <alignment horizontal="center" vertical="center"/>
    </xf>
    <xf numFmtId="0" fontId="0" fillId="0" borderId="23" xfId="0" applyFill="1" applyBorder="1"/>
    <xf numFmtId="0" fontId="8" fillId="0" borderId="0" xfId="0" applyFont="1"/>
    <xf numFmtId="0" fontId="0" fillId="4" borderId="15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19" xfId="0" applyFill="1" applyBorder="1"/>
    <xf numFmtId="0" fontId="0" fillId="5" borderId="4" xfId="0" applyFill="1" applyBorder="1"/>
    <xf numFmtId="17" fontId="0" fillId="5" borderId="0" xfId="0" applyNumberFormat="1" applyFill="1" applyAlignment="1">
      <alignment horizontal="center"/>
    </xf>
    <xf numFmtId="0" fontId="0" fillId="5" borderId="0" xfId="0" applyFill="1"/>
    <xf numFmtId="17" fontId="0" fillId="5" borderId="0" xfId="0" applyNumberFormat="1" applyFill="1"/>
    <xf numFmtId="0" fontId="0" fillId="0" borderId="25" xfId="0" applyFont="1" applyBorder="1" applyAlignment="1">
      <alignment horizontal="center" vertical="center" wrapText="1"/>
    </xf>
    <xf numFmtId="0" fontId="0" fillId="0" borderId="23" xfId="0" applyBorder="1"/>
    <xf numFmtId="0" fontId="0" fillId="0" borderId="25" xfId="0" applyFont="1" applyBorder="1" applyAlignment="1">
      <alignment vertical="center" wrapText="1"/>
    </xf>
    <xf numFmtId="0" fontId="2" fillId="0" borderId="25" xfId="0" applyFont="1" applyBorder="1" applyAlignment="1">
      <alignment vertical="center" wrapText="1"/>
    </xf>
    <xf numFmtId="0" fontId="0" fillId="0" borderId="26" xfId="0" applyFont="1" applyFill="1" applyBorder="1" applyAlignment="1">
      <alignment vertical="center" wrapText="1"/>
    </xf>
    <xf numFmtId="0" fontId="0" fillId="0" borderId="27" xfId="0" applyFill="1" applyBorder="1" applyAlignment="1">
      <alignment horizontal="center" vertical="center"/>
    </xf>
    <xf numFmtId="0" fontId="0" fillId="0" borderId="26" xfId="0" applyBorder="1"/>
    <xf numFmtId="0" fontId="0" fillId="4" borderId="26" xfId="0" applyFont="1" applyFill="1" applyBorder="1" applyAlignment="1">
      <alignment vertical="center" wrapText="1"/>
    </xf>
    <xf numFmtId="0" fontId="0" fillId="0" borderId="28" xfId="0" applyFont="1" applyBorder="1" applyAlignment="1" applyProtection="1">
      <alignment horizontal="center" vertical="center" wrapText="1"/>
    </xf>
    <xf numFmtId="2" fontId="0" fillId="3" borderId="25" xfId="0" applyNumberFormat="1" applyFont="1" applyFill="1" applyBorder="1" applyAlignment="1">
      <alignment horizontal="center" vertical="center" wrapText="1"/>
    </xf>
    <xf numFmtId="0" fontId="4" fillId="0" borderId="24" xfId="0" applyFont="1" applyBorder="1" applyAlignment="1" applyProtection="1">
      <alignment horizontal="center" vertical="center" wrapText="1"/>
    </xf>
    <xf numFmtId="0" fontId="0" fillId="2" borderId="25" xfId="0" applyFont="1" applyFill="1" applyBorder="1" applyAlignment="1">
      <alignment horizontal="center" vertical="center" wrapText="1"/>
    </xf>
    <xf numFmtId="0" fontId="0" fillId="2" borderId="26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2" fontId="0" fillId="0" borderId="25" xfId="0" applyNumberFormat="1" applyFont="1" applyBorder="1" applyAlignment="1">
      <alignment horizontal="center" vertical="center" wrapText="1"/>
    </xf>
    <xf numFmtId="2" fontId="0" fillId="0" borderId="26" xfId="0" applyNumberFormat="1" applyFont="1" applyFill="1" applyBorder="1" applyAlignment="1">
      <alignment horizontal="center" vertical="center" wrapText="1"/>
    </xf>
    <xf numFmtId="0" fontId="4" fillId="0" borderId="28" xfId="0" applyFont="1" applyFill="1" applyBorder="1" applyAlignment="1" applyProtection="1">
      <alignment horizontal="center" vertical="center" wrapText="1"/>
    </xf>
    <xf numFmtId="0" fontId="0" fillId="2" borderId="25" xfId="0" applyNumberFormat="1" applyFont="1" applyFill="1" applyBorder="1" applyAlignment="1">
      <alignment horizontal="center" vertical="center" wrapText="1"/>
    </xf>
    <xf numFmtId="17" fontId="0" fillId="5" borderId="3" xfId="0" applyNumberFormat="1" applyFont="1" applyFill="1" applyBorder="1" applyAlignment="1">
      <alignment horizontal="center" vertical="center" wrapText="1"/>
    </xf>
    <xf numFmtId="0" fontId="0" fillId="6" borderId="0" xfId="0" applyFill="1"/>
    <xf numFmtId="0" fontId="0" fillId="5" borderId="26" xfId="0" applyFill="1" applyBorder="1"/>
    <xf numFmtId="0" fontId="0" fillId="5" borderId="26" xfId="0" applyFill="1" applyBorder="1" applyAlignment="1">
      <alignment horizontal="center"/>
    </xf>
    <xf numFmtId="0" fontId="0" fillId="5" borderId="23" xfId="0" applyFill="1" applyBorder="1"/>
    <xf numFmtId="0" fontId="0" fillId="5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23" xfId="0" applyFont="1" applyFill="1" applyBorder="1" applyAlignment="1">
      <alignment horizontal="center" vertical="center" wrapText="1"/>
    </xf>
    <xf numFmtId="0" fontId="0" fillId="5" borderId="23" xfId="0" applyFont="1" applyFill="1" applyBorder="1" applyAlignment="1">
      <alignment horizontal="center" vertical="center" wrapText="1"/>
    </xf>
    <xf numFmtId="0" fontId="0" fillId="0" borderId="1" xfId="0" applyBorder="1"/>
    <xf numFmtId="2" fontId="0" fillId="5" borderId="3" xfId="0" applyNumberFormat="1" applyFont="1" applyFill="1" applyBorder="1" applyAlignment="1">
      <alignment horizontal="center" vertical="center" wrapText="1"/>
    </xf>
    <xf numFmtId="2" fontId="0" fillId="0" borderId="3" xfId="0" applyNumberFormat="1" applyFont="1" applyBorder="1" applyAlignment="1">
      <alignment horizontal="center" vertical="center" wrapText="1"/>
    </xf>
    <xf numFmtId="2" fontId="0" fillId="0" borderId="23" xfId="0" applyNumberFormat="1" applyFont="1" applyFill="1" applyBorder="1" applyAlignment="1">
      <alignment horizontal="center" vertical="center" wrapText="1"/>
    </xf>
    <xf numFmtId="0" fontId="4" fillId="0" borderId="29" xfId="0" applyFont="1" applyBorder="1" applyAlignment="1" applyProtection="1">
      <alignment horizontal="center" vertical="center" wrapText="1"/>
    </xf>
    <xf numFmtId="0" fontId="1" fillId="5" borderId="2" xfId="0" applyFont="1" applyFill="1" applyBorder="1"/>
    <xf numFmtId="0" fontId="1" fillId="0" borderId="2" xfId="0" applyFont="1" applyBorder="1"/>
    <xf numFmtId="0" fontId="1" fillId="0" borderId="0" xfId="0" applyFont="1" applyFill="1" applyBorder="1"/>
    <xf numFmtId="0" fontId="1" fillId="0" borderId="0" xfId="0" applyFont="1"/>
    <xf numFmtId="2" fontId="0" fillId="5" borderId="23" xfId="0" applyNumberFormat="1" applyFont="1" applyFill="1" applyBorder="1" applyAlignment="1">
      <alignment horizontal="center" vertical="center" wrapText="1"/>
    </xf>
    <xf numFmtId="0" fontId="1" fillId="5" borderId="0" xfId="0" applyFont="1" applyFill="1" applyBorder="1"/>
    <xf numFmtId="0" fontId="9" fillId="0" borderId="0" xfId="0" applyFont="1"/>
    <xf numFmtId="0" fontId="10" fillId="5" borderId="0" xfId="0" applyFont="1" applyFill="1"/>
    <xf numFmtId="0" fontId="0" fillId="6" borderId="26" xfId="0" applyFill="1" applyBorder="1" applyAlignment="1">
      <alignment horizontal="center"/>
    </xf>
    <xf numFmtId="0" fontId="0" fillId="6" borderId="23" xfId="0" applyFill="1" applyBorder="1"/>
    <xf numFmtId="0" fontId="0" fillId="7" borderId="28" xfId="0" applyFill="1" applyBorder="1" applyAlignment="1">
      <alignment horizontal="center"/>
    </xf>
    <xf numFmtId="0" fontId="0" fillId="7" borderId="25" xfId="0" applyFont="1" applyFill="1" applyBorder="1" applyAlignment="1">
      <alignment horizontal="center" vertical="center" wrapText="1"/>
    </xf>
    <xf numFmtId="0" fontId="0" fillId="7" borderId="26" xfId="0" applyFont="1" applyFill="1" applyBorder="1" applyAlignment="1">
      <alignment horizontal="center" vertical="center" wrapText="1"/>
    </xf>
    <xf numFmtId="0" fontId="0" fillId="5" borderId="26" xfId="0" applyFont="1" applyFill="1" applyBorder="1" applyAlignment="1">
      <alignment vertical="center" wrapText="1"/>
    </xf>
    <xf numFmtId="0" fontId="0" fillId="5" borderId="26" xfId="0" applyFont="1" applyFill="1" applyBorder="1" applyAlignment="1">
      <alignment horizontal="center" vertical="center" wrapText="1"/>
    </xf>
    <xf numFmtId="2" fontId="0" fillId="5" borderId="26" xfId="0" applyNumberFormat="1" applyFont="1" applyFill="1" applyBorder="1" applyAlignment="1">
      <alignment horizontal="center" vertical="center" wrapText="1"/>
    </xf>
    <xf numFmtId="0" fontId="0" fillId="8" borderId="0" xfId="0" applyFill="1"/>
    <xf numFmtId="0" fontId="0" fillId="0" borderId="0" xfId="0" applyFill="1"/>
    <xf numFmtId="0" fontId="0" fillId="0" borderId="26" xfId="0" applyFill="1" applyBorder="1"/>
    <xf numFmtId="0" fontId="0" fillId="0" borderId="26" xfId="0" applyFill="1" applyBorder="1" applyAlignment="1">
      <alignment horizontal="center"/>
    </xf>
    <xf numFmtId="0" fontId="0" fillId="0" borderId="3" xfId="0" applyBorder="1"/>
    <xf numFmtId="0" fontId="0" fillId="0" borderId="34" xfId="0" applyFill="1" applyBorder="1"/>
    <xf numFmtId="0" fontId="0" fillId="0" borderId="23" xfId="0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33" xfId="0" applyFill="1" applyBorder="1"/>
    <xf numFmtId="0" fontId="0" fillId="0" borderId="31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32" xfId="0" applyFill="1" applyBorder="1"/>
    <xf numFmtId="0" fontId="0" fillId="9" borderId="31" xfId="0" applyFill="1" applyBorder="1"/>
    <xf numFmtId="0" fontId="0" fillId="7" borderId="31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36" xfId="0" applyFill="1" applyBorder="1" applyAlignment="1">
      <alignment horizontal="center"/>
    </xf>
    <xf numFmtId="2" fontId="0" fillId="3" borderId="28" xfId="0" applyNumberFormat="1" applyFont="1" applyFill="1" applyBorder="1" applyAlignment="1">
      <alignment horizontal="center" vertical="center" wrapText="1"/>
    </xf>
    <xf numFmtId="0" fontId="0" fillId="0" borderId="28" xfId="0" applyFill="1" applyBorder="1" applyAlignment="1">
      <alignment horizontal="center"/>
    </xf>
    <xf numFmtId="0" fontId="0" fillId="0" borderId="35" xfId="0" applyFill="1" applyBorder="1"/>
    <xf numFmtId="0" fontId="0" fillId="9" borderId="4" xfId="0" applyFill="1" applyBorder="1"/>
    <xf numFmtId="0" fontId="0" fillId="0" borderId="37" xfId="0" applyBorder="1"/>
    <xf numFmtId="0" fontId="0" fillId="7" borderId="23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4" xfId="0" applyFill="1" applyBorder="1"/>
    <xf numFmtId="0" fontId="0" fillId="9" borderId="34" xfId="0" applyFill="1" applyBorder="1"/>
    <xf numFmtId="0" fontId="0" fillId="9" borderId="30" xfId="0" applyFill="1" applyBorder="1"/>
    <xf numFmtId="0" fontId="0" fillId="9" borderId="3" xfId="0" applyFill="1" applyBorder="1"/>
    <xf numFmtId="0" fontId="0" fillId="7" borderId="3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37" xfId="0" applyFill="1" applyBorder="1"/>
    <xf numFmtId="0" fontId="0" fillId="9" borderId="38" xfId="0" applyFill="1" applyBorder="1"/>
    <xf numFmtId="0" fontId="0" fillId="9" borderId="35" xfId="0" applyFill="1" applyBorder="1"/>
    <xf numFmtId="0" fontId="0" fillId="0" borderId="34" xfId="0" applyBorder="1"/>
    <xf numFmtId="2" fontId="0" fillId="3" borderId="21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3" xfId="0" applyFill="1" applyBorder="1"/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3" fillId="0" borderId="22" xfId="0" applyFont="1" applyBorder="1" applyAlignment="1" applyProtection="1">
      <alignment horizontal="center" vertical="center" wrapText="1"/>
    </xf>
    <xf numFmtId="0" fontId="3" fillId="0" borderId="21" xfId="0" applyFont="1" applyBorder="1" applyAlignment="1" applyProtection="1">
      <alignment horizontal="center" vertical="center" wrapText="1"/>
    </xf>
    <xf numFmtId="0" fontId="0" fillId="0" borderId="24" xfId="0" applyFont="1" applyBorder="1" applyAlignment="1" applyProtection="1">
      <alignment horizontal="center" vertical="center" wrapText="1"/>
    </xf>
    <xf numFmtId="0" fontId="0" fillId="0" borderId="25" xfId="0" applyFont="1" applyBorder="1" applyAlignment="1" applyProtection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4" borderId="17" xfId="0" applyFill="1" applyBorder="1" applyAlignment="1">
      <alignment horizontal="center" wrapText="1"/>
    </xf>
    <xf numFmtId="0" fontId="0" fillId="4" borderId="18" xfId="0" applyFill="1" applyBorder="1" applyAlignment="1">
      <alignment horizontal="center" wrapText="1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1" xfId="0" applyFont="1" applyBorder="1" applyAlignment="1" applyProtection="1">
      <alignment horizontal="center" vertical="center" wrapText="1"/>
    </xf>
    <xf numFmtId="0" fontId="0" fillId="0" borderId="3" xfId="0" applyFont="1" applyBorder="1" applyAlignment="1" applyProtection="1">
      <alignment horizontal="center" vertical="center" wrapText="1"/>
    </xf>
    <xf numFmtId="0" fontId="0" fillId="0" borderId="2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CCC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627"/>
  <sheetViews>
    <sheetView tabSelected="1" zoomScaleNormal="100" workbookViewId="0">
      <pane ySplit="2" topLeftCell="A596" activePane="bottomLeft" state="frozen"/>
      <selection pane="bottomLeft" activeCell="F610" sqref="F610"/>
    </sheetView>
  </sheetViews>
  <sheetFormatPr defaultRowHeight="15" x14ac:dyDescent="0.25"/>
  <cols>
    <col min="2" max="2" width="19.7109375" style="35" customWidth="1"/>
    <col min="3" max="3" width="9.140625" style="35"/>
    <col min="4" max="4" width="10.7109375" style="42" customWidth="1"/>
    <col min="5" max="5" width="26.7109375" style="42" customWidth="1"/>
    <col min="6" max="6" width="9.140625" style="42"/>
    <col min="7" max="7" width="28.5703125" style="30" customWidth="1"/>
  </cols>
  <sheetData>
    <row r="1" spans="1:22" ht="16.5" customHeight="1" thickBot="1" x14ac:dyDescent="0.3">
      <c r="A1" s="123" t="s">
        <v>0</v>
      </c>
      <c r="B1" s="123" t="s">
        <v>1</v>
      </c>
      <c r="C1" s="121" t="s">
        <v>2</v>
      </c>
      <c r="D1" s="122"/>
      <c r="E1" s="122"/>
      <c r="F1" s="122"/>
      <c r="G1" s="122"/>
    </row>
    <row r="2" spans="1:22" ht="78" thickBot="1" x14ac:dyDescent="0.3">
      <c r="A2" s="124"/>
      <c r="B2" s="124"/>
      <c r="C2" s="37" t="s">
        <v>5</v>
      </c>
      <c r="D2" s="39" t="s">
        <v>3</v>
      </c>
      <c r="E2" s="39" t="s">
        <v>4</v>
      </c>
      <c r="F2" s="45" t="s">
        <v>6</v>
      </c>
      <c r="G2" s="1" t="s">
        <v>4</v>
      </c>
    </row>
    <row r="3" spans="1:22" ht="15.75" thickBot="1" x14ac:dyDescent="0.3">
      <c r="A3" s="29">
        <v>1</v>
      </c>
      <c r="B3" s="31" t="s">
        <v>7</v>
      </c>
      <c r="C3" s="38">
        <v>1.85</v>
      </c>
      <c r="D3" s="40" t="s">
        <v>9</v>
      </c>
      <c r="E3" s="43">
        <f>IF(C3="",INDEX($N$8:$U$8,1,MATCH(D3,$N$7:$U$7,0)),C3)</f>
        <v>1.85</v>
      </c>
      <c r="F3" s="40" t="s">
        <v>10</v>
      </c>
      <c r="G3" s="4">
        <f>INDEX($N$11:$U$11,1,MATCH(F3,$N$10:$U$10,0))</f>
        <v>0.3</v>
      </c>
    </row>
    <row r="4" spans="1:22" ht="15.75" thickBot="1" x14ac:dyDescent="0.3">
      <c r="A4" s="29">
        <v>1</v>
      </c>
      <c r="B4" s="31" t="s">
        <v>11</v>
      </c>
      <c r="C4" s="38">
        <v>1.05</v>
      </c>
      <c r="D4" s="40" t="s">
        <v>10</v>
      </c>
      <c r="E4" s="43">
        <f t="shared" ref="E4:E67" si="0">IF(C4="",INDEX($N$8:$U$8,1,MATCH(D4,$N$7:$U$7,0)),C4)</f>
        <v>1.05</v>
      </c>
      <c r="F4" s="40" t="s">
        <v>12</v>
      </c>
      <c r="G4" s="4">
        <f>INDEX($N$11:$U$11,1,MATCH(F4,$N$10:$U$10,0))</f>
        <v>0.38</v>
      </c>
      <c r="L4" s="125" t="s">
        <v>3</v>
      </c>
      <c r="M4" s="126"/>
      <c r="N4" s="5" t="s">
        <v>17</v>
      </c>
      <c r="O4" s="5" t="s">
        <v>10</v>
      </c>
      <c r="P4" s="5" t="s">
        <v>12</v>
      </c>
      <c r="Q4" s="5" t="s">
        <v>9</v>
      </c>
      <c r="R4" s="6" t="s">
        <v>8</v>
      </c>
      <c r="S4" s="6" t="s">
        <v>178</v>
      </c>
      <c r="T4" s="6" t="s">
        <v>87</v>
      </c>
      <c r="U4" s="7" t="s">
        <v>122</v>
      </c>
    </row>
    <row r="5" spans="1:22" ht="15.75" thickBot="1" x14ac:dyDescent="0.3">
      <c r="A5" s="29">
        <v>1</v>
      </c>
      <c r="B5" s="31" t="s">
        <v>13</v>
      </c>
      <c r="C5" s="38">
        <v>1.6</v>
      </c>
      <c r="D5" s="40" t="s">
        <v>12</v>
      </c>
      <c r="E5" s="43">
        <f t="shared" si="0"/>
        <v>1.6</v>
      </c>
      <c r="F5" s="40" t="s">
        <v>17</v>
      </c>
      <c r="G5" s="4">
        <f>INDEX($N$11:$U$11,1,MATCH(F5,$N$10:$U$10,0))</f>
        <v>0.23</v>
      </c>
      <c r="L5" s="127" t="s">
        <v>205</v>
      </c>
      <c r="M5" s="128"/>
      <c r="N5" s="8">
        <v>0.8</v>
      </c>
      <c r="O5" s="8">
        <v>1.2</v>
      </c>
      <c r="P5" s="8">
        <v>1.8</v>
      </c>
      <c r="Q5" s="8">
        <v>2.4</v>
      </c>
      <c r="R5" s="9">
        <v>3.2</v>
      </c>
      <c r="S5" s="9">
        <v>4</v>
      </c>
      <c r="T5" s="10">
        <v>4.8</v>
      </c>
      <c r="U5" s="11">
        <v>5.6</v>
      </c>
    </row>
    <row r="6" spans="1:22" ht="15.75" thickBot="1" x14ac:dyDescent="0.3">
      <c r="A6" s="29">
        <v>1</v>
      </c>
      <c r="B6" s="31" t="s">
        <v>14</v>
      </c>
      <c r="C6" s="38">
        <v>0.85</v>
      </c>
      <c r="D6" s="40" t="s">
        <v>10</v>
      </c>
      <c r="E6" s="43">
        <f t="shared" si="0"/>
        <v>0.85</v>
      </c>
      <c r="F6" s="74" t="s">
        <v>9</v>
      </c>
      <c r="G6" s="4">
        <f t="shared" ref="G6:G68" si="1">INDEX($N$11:$U$11,1,MATCH(F6,$N$10:$U$10,0))</f>
        <v>0.48</v>
      </c>
    </row>
    <row r="7" spans="1:22" ht="16.5" thickTop="1" thickBot="1" x14ac:dyDescent="0.3">
      <c r="A7" s="29">
        <v>1</v>
      </c>
      <c r="B7" s="31" t="s">
        <v>15</v>
      </c>
      <c r="C7" s="38">
        <v>1.8</v>
      </c>
      <c r="D7" s="40" t="s">
        <v>9</v>
      </c>
      <c r="E7" s="43">
        <f t="shared" si="0"/>
        <v>1.8</v>
      </c>
      <c r="F7" s="40" t="s">
        <v>10</v>
      </c>
      <c r="G7" s="4">
        <f t="shared" si="1"/>
        <v>0.3</v>
      </c>
      <c r="L7" s="119" t="s">
        <v>3</v>
      </c>
      <c r="M7" s="120"/>
      <c r="N7" s="12" t="s">
        <v>17</v>
      </c>
      <c r="O7" s="12" t="s">
        <v>10</v>
      </c>
      <c r="P7" s="12" t="s">
        <v>12</v>
      </c>
      <c r="Q7" s="12" t="s">
        <v>9</v>
      </c>
      <c r="R7" s="13" t="s">
        <v>8</v>
      </c>
      <c r="S7" s="13" t="s">
        <v>178</v>
      </c>
      <c r="T7" s="13" t="s">
        <v>87</v>
      </c>
      <c r="U7" s="13" t="s">
        <v>122</v>
      </c>
      <c r="V7" s="14" t="s">
        <v>206</v>
      </c>
    </row>
    <row r="8" spans="1:22" ht="15.75" thickBot="1" x14ac:dyDescent="0.3">
      <c r="A8" s="29">
        <v>1</v>
      </c>
      <c r="B8" s="31" t="s">
        <v>16</v>
      </c>
      <c r="C8" s="38">
        <v>0.4</v>
      </c>
      <c r="D8" s="40" t="s">
        <v>17</v>
      </c>
      <c r="E8" s="43">
        <f t="shared" si="0"/>
        <v>0.4</v>
      </c>
      <c r="F8" s="40" t="s">
        <v>12</v>
      </c>
      <c r="G8" s="4">
        <f t="shared" si="1"/>
        <v>0.38</v>
      </c>
      <c r="L8" s="117" t="s">
        <v>205</v>
      </c>
      <c r="M8" s="118"/>
      <c r="N8" s="15">
        <v>0.5</v>
      </c>
      <c r="O8" s="15">
        <v>1</v>
      </c>
      <c r="P8" s="15">
        <v>1.5</v>
      </c>
      <c r="Q8" s="15">
        <v>2</v>
      </c>
      <c r="R8" s="16">
        <v>2.5</v>
      </c>
      <c r="S8" s="16">
        <v>3</v>
      </c>
      <c r="T8" s="17">
        <v>3.5</v>
      </c>
      <c r="U8" s="17">
        <v>4</v>
      </c>
      <c r="V8" s="18">
        <v>2.2999999999999998</v>
      </c>
    </row>
    <row r="9" spans="1:22" ht="15.75" thickBot="1" x14ac:dyDescent="0.3">
      <c r="A9" s="29">
        <v>1</v>
      </c>
      <c r="B9" s="31" t="s">
        <v>18</v>
      </c>
      <c r="C9" s="38">
        <v>1.25</v>
      </c>
      <c r="D9" s="40" t="s">
        <v>12</v>
      </c>
      <c r="E9" s="43">
        <f t="shared" si="0"/>
        <v>1.25</v>
      </c>
      <c r="F9" s="46" t="s">
        <v>12</v>
      </c>
      <c r="G9" s="4">
        <f t="shared" si="1"/>
        <v>0.38</v>
      </c>
      <c r="L9" t="s">
        <v>207</v>
      </c>
    </row>
    <row r="10" spans="1:22" ht="16.5" thickTop="1" thickBot="1" x14ac:dyDescent="0.3">
      <c r="A10" s="29">
        <v>1</v>
      </c>
      <c r="B10" s="31" t="s">
        <v>19</v>
      </c>
      <c r="C10" s="38">
        <v>1.55</v>
      </c>
      <c r="D10" s="40" t="s">
        <v>12</v>
      </c>
      <c r="E10" s="43">
        <f t="shared" si="0"/>
        <v>1.55</v>
      </c>
      <c r="F10" s="40" t="s">
        <v>12</v>
      </c>
      <c r="G10" s="4">
        <f t="shared" si="1"/>
        <v>0.38</v>
      </c>
      <c r="L10" s="119" t="s">
        <v>6</v>
      </c>
      <c r="M10" s="120"/>
      <c r="N10" s="12" t="s">
        <v>208</v>
      </c>
      <c r="O10" s="12" t="s">
        <v>17</v>
      </c>
      <c r="P10" s="12" t="s">
        <v>10</v>
      </c>
      <c r="Q10" s="12" t="s">
        <v>12</v>
      </c>
      <c r="R10" s="12" t="s">
        <v>9</v>
      </c>
      <c r="S10" s="13" t="s">
        <v>8</v>
      </c>
      <c r="T10" s="13" t="s">
        <v>178</v>
      </c>
      <c r="U10" s="13" t="s">
        <v>87</v>
      </c>
      <c r="V10" s="13" t="s">
        <v>122</v>
      </c>
    </row>
    <row r="11" spans="1:22" ht="15.75" thickBot="1" x14ac:dyDescent="0.3">
      <c r="A11" s="29">
        <v>1</v>
      </c>
      <c r="B11" s="31" t="s">
        <v>20</v>
      </c>
      <c r="C11" s="38">
        <v>1.55</v>
      </c>
      <c r="D11" s="40" t="s">
        <v>12</v>
      </c>
      <c r="E11" s="43">
        <f t="shared" si="0"/>
        <v>1.55</v>
      </c>
      <c r="F11" s="40" t="s">
        <v>10</v>
      </c>
      <c r="G11" s="4">
        <f t="shared" si="1"/>
        <v>0.3</v>
      </c>
      <c r="L11" s="117" t="s">
        <v>205</v>
      </c>
      <c r="M11" s="118"/>
      <c r="N11" s="15">
        <v>0.17</v>
      </c>
      <c r="O11" s="15">
        <v>0.23</v>
      </c>
      <c r="P11" s="15">
        <v>0.3</v>
      </c>
      <c r="Q11" s="15">
        <v>0.38</v>
      </c>
      <c r="R11" s="16">
        <v>0.48</v>
      </c>
      <c r="S11" s="16">
        <v>0.6</v>
      </c>
      <c r="T11" s="17">
        <v>0.73</v>
      </c>
      <c r="U11" s="17">
        <v>0.85</v>
      </c>
      <c r="V11" s="18"/>
    </row>
    <row r="12" spans="1:22" ht="15.75" thickBot="1" x14ac:dyDescent="0.3">
      <c r="A12" s="29">
        <v>1</v>
      </c>
      <c r="B12" s="31" t="s">
        <v>21</v>
      </c>
      <c r="C12" s="38">
        <v>1.6</v>
      </c>
      <c r="D12" s="40" t="s">
        <v>12</v>
      </c>
      <c r="E12" s="43">
        <f t="shared" si="0"/>
        <v>1.6</v>
      </c>
      <c r="F12" s="40" t="s">
        <v>12</v>
      </c>
      <c r="G12" s="4">
        <f t="shared" si="1"/>
        <v>0.38</v>
      </c>
    </row>
    <row r="13" spans="1:22" ht="15.75" thickBot="1" x14ac:dyDescent="0.3">
      <c r="A13" s="29">
        <v>1</v>
      </c>
      <c r="B13" s="31" t="s">
        <v>22</v>
      </c>
      <c r="C13" s="38">
        <v>2.4500000000000002</v>
      </c>
      <c r="D13" s="40" t="s">
        <v>8</v>
      </c>
      <c r="E13" s="43">
        <f t="shared" si="0"/>
        <v>2.4500000000000002</v>
      </c>
      <c r="F13" s="40" t="s">
        <v>17</v>
      </c>
      <c r="G13" s="4">
        <f t="shared" si="1"/>
        <v>0.23</v>
      </c>
    </row>
    <row r="14" spans="1:22" ht="15.75" thickBot="1" x14ac:dyDescent="0.3">
      <c r="A14" s="29">
        <v>2</v>
      </c>
      <c r="B14" s="31" t="s">
        <v>23</v>
      </c>
      <c r="C14" s="38">
        <v>2.15</v>
      </c>
      <c r="D14" s="40" t="s">
        <v>9</v>
      </c>
      <c r="E14" s="43">
        <f t="shared" si="0"/>
        <v>2.15</v>
      </c>
      <c r="F14" s="40" t="s">
        <v>12</v>
      </c>
      <c r="G14" s="4">
        <f t="shared" si="1"/>
        <v>0.38</v>
      </c>
    </row>
    <row r="15" spans="1:22" ht="15.75" thickBot="1" x14ac:dyDescent="0.3">
      <c r="A15" s="29">
        <v>1</v>
      </c>
      <c r="B15" s="31" t="s">
        <v>24</v>
      </c>
      <c r="C15" s="38">
        <v>0.95</v>
      </c>
      <c r="D15" s="40" t="s">
        <v>10</v>
      </c>
      <c r="E15" s="43">
        <f t="shared" si="0"/>
        <v>0.95</v>
      </c>
      <c r="F15" s="74" t="s">
        <v>12</v>
      </c>
      <c r="G15" s="4">
        <f t="shared" si="1"/>
        <v>0.38</v>
      </c>
    </row>
    <row r="16" spans="1:22" ht="15.75" thickBot="1" x14ac:dyDescent="0.3">
      <c r="A16" s="29">
        <v>1</v>
      </c>
      <c r="B16" s="31" t="s">
        <v>25</v>
      </c>
      <c r="C16" s="38">
        <v>0.5</v>
      </c>
      <c r="D16" s="40" t="s">
        <v>17</v>
      </c>
      <c r="E16" s="43">
        <f t="shared" si="0"/>
        <v>0.5</v>
      </c>
      <c r="F16" s="40" t="s">
        <v>10</v>
      </c>
      <c r="G16" s="4">
        <f t="shared" si="1"/>
        <v>0.3</v>
      </c>
    </row>
    <row r="17" spans="1:7" ht="15.75" thickBot="1" x14ac:dyDescent="0.3">
      <c r="A17" s="29">
        <v>2</v>
      </c>
      <c r="B17" s="31" t="s">
        <v>26</v>
      </c>
      <c r="C17" s="38">
        <v>1.25</v>
      </c>
      <c r="D17" s="40" t="s">
        <v>12</v>
      </c>
      <c r="E17" s="43">
        <f t="shared" si="0"/>
        <v>1.25</v>
      </c>
      <c r="F17" s="40" t="s">
        <v>10</v>
      </c>
      <c r="G17" s="4">
        <f t="shared" si="1"/>
        <v>0.3</v>
      </c>
    </row>
    <row r="18" spans="1:7" ht="15.75" thickBot="1" x14ac:dyDescent="0.3">
      <c r="A18" s="29">
        <v>1</v>
      </c>
      <c r="B18" s="31" t="s">
        <v>27</v>
      </c>
      <c r="C18" s="38">
        <v>1.6</v>
      </c>
      <c r="D18" s="40" t="s">
        <v>12</v>
      </c>
      <c r="E18" s="43">
        <f t="shared" si="0"/>
        <v>1.6</v>
      </c>
      <c r="F18" s="40" t="s">
        <v>17</v>
      </c>
      <c r="G18" s="4">
        <f t="shared" si="1"/>
        <v>0.23</v>
      </c>
    </row>
    <row r="19" spans="1:7" ht="15.75" thickBot="1" x14ac:dyDescent="0.3">
      <c r="A19" s="29">
        <v>2</v>
      </c>
      <c r="B19" s="31" t="s">
        <v>28</v>
      </c>
      <c r="C19" s="38">
        <v>2.5499999999999998</v>
      </c>
      <c r="D19" s="40" t="s">
        <v>9</v>
      </c>
      <c r="E19" s="43">
        <f t="shared" si="0"/>
        <v>2.5499999999999998</v>
      </c>
      <c r="F19" s="74" t="s">
        <v>10</v>
      </c>
      <c r="G19" s="4">
        <f t="shared" si="1"/>
        <v>0.3</v>
      </c>
    </row>
    <row r="20" spans="1:7" ht="15.75" thickBot="1" x14ac:dyDescent="0.3">
      <c r="A20" s="29">
        <v>1</v>
      </c>
      <c r="B20" s="31" t="s">
        <v>29</v>
      </c>
      <c r="C20" s="38">
        <v>1.3</v>
      </c>
      <c r="D20" s="40" t="s">
        <v>12</v>
      </c>
      <c r="E20" s="43">
        <f t="shared" si="0"/>
        <v>1.3</v>
      </c>
      <c r="F20" s="74" t="s">
        <v>12</v>
      </c>
      <c r="G20" s="4">
        <f t="shared" si="1"/>
        <v>0.38</v>
      </c>
    </row>
    <row r="21" spans="1:7" ht="15.75" thickBot="1" x14ac:dyDescent="0.3">
      <c r="A21" s="29">
        <v>1</v>
      </c>
      <c r="B21" s="31" t="s">
        <v>30</v>
      </c>
      <c r="C21" s="38">
        <v>1.1000000000000001</v>
      </c>
      <c r="D21" s="40" t="s">
        <v>10</v>
      </c>
      <c r="E21" s="43">
        <f t="shared" si="0"/>
        <v>1.1000000000000001</v>
      </c>
      <c r="F21" s="40" t="s">
        <v>17</v>
      </c>
      <c r="G21" s="4">
        <f t="shared" si="1"/>
        <v>0.23</v>
      </c>
    </row>
    <row r="22" spans="1:7" ht="15.75" thickBot="1" x14ac:dyDescent="0.3">
      <c r="A22" s="29">
        <v>1</v>
      </c>
      <c r="B22" s="31" t="s">
        <v>31</v>
      </c>
      <c r="C22" s="38">
        <v>1.55</v>
      </c>
      <c r="D22" s="40" t="s">
        <v>12</v>
      </c>
      <c r="E22" s="43">
        <f t="shared" si="0"/>
        <v>1.55</v>
      </c>
      <c r="F22" s="40" t="s">
        <v>17</v>
      </c>
      <c r="G22" s="4">
        <f t="shared" si="1"/>
        <v>0.23</v>
      </c>
    </row>
    <row r="23" spans="1:7" ht="15.75" thickBot="1" x14ac:dyDescent="0.3">
      <c r="A23" s="29">
        <v>1</v>
      </c>
      <c r="B23" s="31" t="s">
        <v>32</v>
      </c>
      <c r="C23" s="38">
        <v>0.65</v>
      </c>
      <c r="D23" s="40" t="s">
        <v>17</v>
      </c>
      <c r="E23" s="43">
        <f t="shared" si="0"/>
        <v>0.65</v>
      </c>
      <c r="F23" s="40" t="s">
        <v>9</v>
      </c>
      <c r="G23" s="4">
        <f t="shared" si="1"/>
        <v>0.48</v>
      </c>
    </row>
    <row r="24" spans="1:7" ht="15.75" thickBot="1" x14ac:dyDescent="0.3">
      <c r="A24" s="29">
        <v>1</v>
      </c>
      <c r="B24" s="31" t="s">
        <v>33</v>
      </c>
      <c r="C24" s="38">
        <v>1.85</v>
      </c>
      <c r="D24" s="40" t="s">
        <v>12</v>
      </c>
      <c r="E24" s="43">
        <f t="shared" si="0"/>
        <v>1.85</v>
      </c>
      <c r="F24" s="40" t="s">
        <v>17</v>
      </c>
      <c r="G24" s="4">
        <f t="shared" si="1"/>
        <v>0.23</v>
      </c>
    </row>
    <row r="25" spans="1:7" ht="15.75" thickBot="1" x14ac:dyDescent="0.3">
      <c r="A25" s="29">
        <v>1</v>
      </c>
      <c r="B25" s="31" t="s">
        <v>34</v>
      </c>
      <c r="C25" s="38">
        <v>1</v>
      </c>
      <c r="D25" s="40" t="s">
        <v>10</v>
      </c>
      <c r="E25" s="43">
        <f t="shared" si="0"/>
        <v>1</v>
      </c>
      <c r="F25" s="40" t="s">
        <v>12</v>
      </c>
      <c r="G25" s="4">
        <f t="shared" si="1"/>
        <v>0.38</v>
      </c>
    </row>
    <row r="26" spans="1:7" ht="15.75" thickBot="1" x14ac:dyDescent="0.3">
      <c r="A26" s="29">
        <v>1</v>
      </c>
      <c r="B26" s="31" t="s">
        <v>35</v>
      </c>
      <c r="C26" s="38">
        <v>0.85</v>
      </c>
      <c r="D26" s="40" t="s">
        <v>10</v>
      </c>
      <c r="E26" s="43">
        <f t="shared" si="0"/>
        <v>0.85</v>
      </c>
      <c r="F26" s="40" t="s">
        <v>12</v>
      </c>
      <c r="G26" s="4">
        <f t="shared" si="1"/>
        <v>0.38</v>
      </c>
    </row>
    <row r="27" spans="1:7" ht="15.75" thickBot="1" x14ac:dyDescent="0.3">
      <c r="A27" s="29">
        <v>2</v>
      </c>
      <c r="B27" s="31" t="s">
        <v>36</v>
      </c>
      <c r="C27" s="38">
        <v>1</v>
      </c>
      <c r="D27" s="40" t="s">
        <v>10</v>
      </c>
      <c r="E27" s="43">
        <f t="shared" si="0"/>
        <v>1</v>
      </c>
      <c r="F27" s="40" t="s">
        <v>12</v>
      </c>
      <c r="G27" s="4">
        <f t="shared" si="1"/>
        <v>0.38</v>
      </c>
    </row>
    <row r="28" spans="1:7" ht="15.75" thickBot="1" x14ac:dyDescent="0.3">
      <c r="A28" s="29">
        <v>1</v>
      </c>
      <c r="B28" s="31" t="s">
        <v>37</v>
      </c>
      <c r="C28" s="38">
        <v>1.65</v>
      </c>
      <c r="D28" s="40" t="s">
        <v>9</v>
      </c>
      <c r="E28" s="43">
        <f t="shared" si="0"/>
        <v>1.65</v>
      </c>
      <c r="F28" s="40" t="s">
        <v>17</v>
      </c>
      <c r="G28" s="4">
        <f t="shared" si="1"/>
        <v>0.23</v>
      </c>
    </row>
    <row r="29" spans="1:7" ht="15.75" thickBot="1" x14ac:dyDescent="0.3">
      <c r="A29" s="29">
        <v>1</v>
      </c>
      <c r="B29" s="31" t="s">
        <v>38</v>
      </c>
      <c r="C29" s="38">
        <v>1.55</v>
      </c>
      <c r="D29" s="40" t="s">
        <v>12</v>
      </c>
      <c r="E29" s="43">
        <f t="shared" si="0"/>
        <v>1.55</v>
      </c>
      <c r="F29" s="40" t="s">
        <v>10</v>
      </c>
      <c r="G29" s="4">
        <f t="shared" si="1"/>
        <v>0.3</v>
      </c>
    </row>
    <row r="30" spans="1:7" ht="15.75" thickBot="1" x14ac:dyDescent="0.3">
      <c r="A30" s="29">
        <v>1</v>
      </c>
      <c r="B30" s="31" t="s">
        <v>39</v>
      </c>
      <c r="C30" s="38">
        <v>2.35</v>
      </c>
      <c r="D30" s="40" t="s">
        <v>8</v>
      </c>
      <c r="E30" s="43">
        <f t="shared" si="0"/>
        <v>2.35</v>
      </c>
      <c r="F30" s="74" t="s">
        <v>17</v>
      </c>
      <c r="G30" s="4">
        <f t="shared" si="1"/>
        <v>0.23</v>
      </c>
    </row>
    <row r="31" spans="1:7" ht="15.75" thickBot="1" x14ac:dyDescent="0.3">
      <c r="A31" s="29">
        <v>1</v>
      </c>
      <c r="B31" s="31" t="s">
        <v>40</v>
      </c>
      <c r="C31" s="38">
        <v>1.8</v>
      </c>
      <c r="D31" s="40" t="s">
        <v>9</v>
      </c>
      <c r="E31" s="43">
        <f t="shared" si="0"/>
        <v>1.8</v>
      </c>
      <c r="F31" s="74" t="s">
        <v>10</v>
      </c>
      <c r="G31" s="4">
        <f t="shared" si="1"/>
        <v>0.3</v>
      </c>
    </row>
    <row r="32" spans="1:7" ht="15.75" thickBot="1" x14ac:dyDescent="0.3">
      <c r="A32" s="29">
        <v>2</v>
      </c>
      <c r="B32" s="31" t="s">
        <v>41</v>
      </c>
      <c r="C32" s="38">
        <v>1.4</v>
      </c>
      <c r="D32" s="40" t="s">
        <v>12</v>
      </c>
      <c r="E32" s="43">
        <f t="shared" si="0"/>
        <v>1.4</v>
      </c>
      <c r="F32" s="74" t="s">
        <v>17</v>
      </c>
      <c r="G32" s="4">
        <f t="shared" si="1"/>
        <v>0.23</v>
      </c>
    </row>
    <row r="33" spans="1:7" ht="15.75" thickBot="1" x14ac:dyDescent="0.3">
      <c r="A33" s="29">
        <v>2</v>
      </c>
      <c r="B33" s="32" t="s">
        <v>42</v>
      </c>
      <c r="C33" s="38">
        <v>1.7</v>
      </c>
      <c r="D33" s="40" t="s">
        <v>8</v>
      </c>
      <c r="E33" s="43">
        <f t="shared" si="0"/>
        <v>1.7</v>
      </c>
      <c r="F33" s="74" t="s">
        <v>17</v>
      </c>
      <c r="G33" s="4">
        <f t="shared" si="1"/>
        <v>0.23</v>
      </c>
    </row>
    <row r="34" spans="1:7" ht="15.75" thickBot="1" x14ac:dyDescent="0.3">
      <c r="A34" s="29">
        <v>3</v>
      </c>
      <c r="B34" s="31" t="s">
        <v>43</v>
      </c>
      <c r="C34" s="38">
        <v>1.9</v>
      </c>
      <c r="D34" s="40" t="s">
        <v>9</v>
      </c>
      <c r="E34" s="43">
        <f t="shared" si="0"/>
        <v>1.9</v>
      </c>
      <c r="F34" s="75" t="s">
        <v>12</v>
      </c>
      <c r="G34" s="4">
        <f t="shared" si="1"/>
        <v>0.38</v>
      </c>
    </row>
    <row r="35" spans="1:7" ht="15.75" thickBot="1" x14ac:dyDescent="0.3">
      <c r="A35" s="29">
        <v>1</v>
      </c>
      <c r="B35" s="31" t="s">
        <v>44</v>
      </c>
      <c r="C35" s="38">
        <v>0.45</v>
      </c>
      <c r="D35" s="40" t="s">
        <v>17</v>
      </c>
      <c r="E35" s="43">
        <f t="shared" si="0"/>
        <v>0.45</v>
      </c>
      <c r="F35" s="75" t="s">
        <v>9</v>
      </c>
      <c r="G35" s="4">
        <f t="shared" si="1"/>
        <v>0.48</v>
      </c>
    </row>
    <row r="36" spans="1:7" ht="15.75" thickBot="1" x14ac:dyDescent="0.3">
      <c r="A36" s="29">
        <v>2</v>
      </c>
      <c r="B36" s="31" t="s">
        <v>45</v>
      </c>
      <c r="C36" s="38">
        <v>2.0499999999999998</v>
      </c>
      <c r="D36" s="40" t="s">
        <v>9</v>
      </c>
      <c r="E36" s="43">
        <f t="shared" si="0"/>
        <v>2.0499999999999998</v>
      </c>
      <c r="F36" s="75" t="s">
        <v>10</v>
      </c>
      <c r="G36" s="4">
        <f t="shared" si="1"/>
        <v>0.3</v>
      </c>
    </row>
    <row r="37" spans="1:7" ht="15.75" thickBot="1" x14ac:dyDescent="0.3">
      <c r="A37" s="29">
        <v>1</v>
      </c>
      <c r="B37" s="31" t="s">
        <v>46</v>
      </c>
      <c r="C37" s="38">
        <v>1.45</v>
      </c>
      <c r="D37" s="40" t="s">
        <v>12</v>
      </c>
      <c r="E37" s="43">
        <f t="shared" si="0"/>
        <v>1.45</v>
      </c>
      <c r="F37" s="74" t="s">
        <v>17</v>
      </c>
      <c r="G37" s="4">
        <f t="shared" si="1"/>
        <v>0.23</v>
      </c>
    </row>
    <row r="38" spans="1:7" ht="15.75" thickBot="1" x14ac:dyDescent="0.3">
      <c r="A38" s="29">
        <v>1</v>
      </c>
      <c r="B38" s="31" t="s">
        <v>47</v>
      </c>
      <c r="C38" s="38">
        <v>0.45</v>
      </c>
      <c r="D38" s="40" t="s">
        <v>17</v>
      </c>
      <c r="E38" s="43">
        <f t="shared" si="0"/>
        <v>0.45</v>
      </c>
      <c r="F38" s="74" t="s">
        <v>9</v>
      </c>
      <c r="G38" s="4">
        <f t="shared" si="1"/>
        <v>0.48</v>
      </c>
    </row>
    <row r="39" spans="1:7" ht="15.75" thickBot="1" x14ac:dyDescent="0.3">
      <c r="A39" s="29">
        <v>1</v>
      </c>
      <c r="B39" s="31" t="s">
        <v>48</v>
      </c>
      <c r="C39" s="38">
        <v>1.35</v>
      </c>
      <c r="D39" s="40" t="s">
        <v>12</v>
      </c>
      <c r="E39" s="43">
        <f t="shared" si="0"/>
        <v>1.35</v>
      </c>
      <c r="F39" s="75" t="s">
        <v>17</v>
      </c>
      <c r="G39" s="4">
        <f t="shared" si="1"/>
        <v>0.23</v>
      </c>
    </row>
    <row r="40" spans="1:7" ht="15.75" thickBot="1" x14ac:dyDescent="0.3">
      <c r="A40" s="29">
        <v>1</v>
      </c>
      <c r="B40" s="31" t="s">
        <v>49</v>
      </c>
      <c r="C40" s="38">
        <v>1.35</v>
      </c>
      <c r="D40" s="40" t="s">
        <v>12</v>
      </c>
      <c r="E40" s="43">
        <f t="shared" si="0"/>
        <v>1.35</v>
      </c>
      <c r="F40" s="75" t="s">
        <v>10</v>
      </c>
      <c r="G40" s="4">
        <f t="shared" si="1"/>
        <v>0.3</v>
      </c>
    </row>
    <row r="41" spans="1:7" ht="15.75" thickBot="1" x14ac:dyDescent="0.3">
      <c r="A41" s="29">
        <v>1</v>
      </c>
      <c r="B41" s="31" t="s">
        <v>50</v>
      </c>
      <c r="C41" s="38">
        <v>0.65</v>
      </c>
      <c r="D41" s="40" t="s">
        <v>10</v>
      </c>
      <c r="E41" s="43">
        <f t="shared" si="0"/>
        <v>0.65</v>
      </c>
      <c r="F41" s="75" t="s">
        <v>9</v>
      </c>
      <c r="G41" s="4">
        <f t="shared" si="1"/>
        <v>0.48</v>
      </c>
    </row>
    <row r="42" spans="1:7" ht="15.75" thickBot="1" x14ac:dyDescent="0.3">
      <c r="A42" s="29">
        <v>1</v>
      </c>
      <c r="B42" s="31" t="s">
        <v>51</v>
      </c>
      <c r="C42" s="38">
        <v>1.4</v>
      </c>
      <c r="D42" s="40" t="s">
        <v>12</v>
      </c>
      <c r="E42" s="43">
        <f t="shared" si="0"/>
        <v>1.4</v>
      </c>
      <c r="F42" s="74" t="s">
        <v>10</v>
      </c>
      <c r="G42" s="4">
        <f t="shared" si="1"/>
        <v>0.3</v>
      </c>
    </row>
    <row r="43" spans="1:7" ht="15.75" thickBot="1" x14ac:dyDescent="0.3">
      <c r="A43" s="29">
        <v>1</v>
      </c>
      <c r="B43" s="31" t="s">
        <v>52</v>
      </c>
      <c r="C43" s="38">
        <v>1.85</v>
      </c>
      <c r="D43" s="40" t="s">
        <v>12</v>
      </c>
      <c r="E43" s="43">
        <f t="shared" si="0"/>
        <v>1.85</v>
      </c>
      <c r="F43" s="40" t="s">
        <v>10</v>
      </c>
      <c r="G43" s="4">
        <f t="shared" si="1"/>
        <v>0.3</v>
      </c>
    </row>
    <row r="44" spans="1:7" ht="15.75" thickBot="1" x14ac:dyDescent="0.3">
      <c r="A44" s="29">
        <v>1</v>
      </c>
      <c r="B44" s="31" t="s">
        <v>53</v>
      </c>
      <c r="C44" s="38">
        <v>1.7</v>
      </c>
      <c r="D44" s="40" t="s">
        <v>9</v>
      </c>
      <c r="E44" s="43">
        <f t="shared" si="0"/>
        <v>1.7</v>
      </c>
      <c r="F44" s="40" t="s">
        <v>17</v>
      </c>
      <c r="G44" s="4">
        <f t="shared" si="1"/>
        <v>0.23</v>
      </c>
    </row>
    <row r="45" spans="1:7" ht="15.75" thickBot="1" x14ac:dyDescent="0.3">
      <c r="A45" s="29">
        <v>3</v>
      </c>
      <c r="B45" s="31" t="s">
        <v>54</v>
      </c>
      <c r="C45" s="38">
        <v>2.15</v>
      </c>
      <c r="D45" s="40" t="s">
        <v>8</v>
      </c>
      <c r="E45" s="43">
        <f t="shared" si="0"/>
        <v>2.15</v>
      </c>
      <c r="F45" s="40" t="s">
        <v>17</v>
      </c>
      <c r="G45" s="4">
        <f t="shared" si="1"/>
        <v>0.23</v>
      </c>
    </row>
    <row r="46" spans="1:7" ht="15.75" thickBot="1" x14ac:dyDescent="0.3">
      <c r="A46" s="29">
        <v>1</v>
      </c>
      <c r="B46" s="31" t="s">
        <v>55</v>
      </c>
      <c r="C46" s="38">
        <v>1.8</v>
      </c>
      <c r="D46" s="40" t="s">
        <v>9</v>
      </c>
      <c r="E46" s="43">
        <f t="shared" si="0"/>
        <v>1.8</v>
      </c>
      <c r="F46" s="40" t="s">
        <v>17</v>
      </c>
      <c r="G46" s="4">
        <f t="shared" si="1"/>
        <v>0.23</v>
      </c>
    </row>
    <row r="47" spans="1:7" ht="15.75" thickBot="1" x14ac:dyDescent="0.3">
      <c r="A47" s="29">
        <v>3</v>
      </c>
      <c r="B47" s="31" t="s">
        <v>56</v>
      </c>
      <c r="C47" s="38">
        <v>1.05</v>
      </c>
      <c r="D47" s="40" t="s">
        <v>10</v>
      </c>
      <c r="E47" s="43">
        <f t="shared" si="0"/>
        <v>1.05</v>
      </c>
      <c r="F47" s="40" t="s">
        <v>12</v>
      </c>
      <c r="G47" s="4">
        <f t="shared" si="1"/>
        <v>0.38</v>
      </c>
    </row>
    <row r="48" spans="1:7" ht="15.75" thickBot="1" x14ac:dyDescent="0.3">
      <c r="A48" s="29">
        <v>3</v>
      </c>
      <c r="B48" s="31" t="s">
        <v>57</v>
      </c>
      <c r="C48" s="38">
        <v>2.2999999999999998</v>
      </c>
      <c r="D48" s="40" t="s">
        <v>9</v>
      </c>
      <c r="E48" s="43">
        <f t="shared" si="0"/>
        <v>2.2999999999999998</v>
      </c>
      <c r="F48" s="40" t="s">
        <v>10</v>
      </c>
      <c r="G48" s="4">
        <f t="shared" si="1"/>
        <v>0.3</v>
      </c>
    </row>
    <row r="49" spans="1:7" ht="15.75" thickBot="1" x14ac:dyDescent="0.3">
      <c r="A49" s="29">
        <v>1</v>
      </c>
      <c r="B49" s="31" t="s">
        <v>58</v>
      </c>
      <c r="C49" s="38">
        <v>0.8</v>
      </c>
      <c r="D49" s="40" t="s">
        <v>10</v>
      </c>
      <c r="E49" s="43">
        <f t="shared" si="0"/>
        <v>0.8</v>
      </c>
      <c r="F49" s="40" t="s">
        <v>10</v>
      </c>
      <c r="G49" s="4">
        <f t="shared" si="1"/>
        <v>0.3</v>
      </c>
    </row>
    <row r="50" spans="1:7" ht="15.75" thickBot="1" x14ac:dyDescent="0.3">
      <c r="A50" s="29">
        <v>1</v>
      </c>
      <c r="B50" s="32" t="s">
        <v>59</v>
      </c>
      <c r="C50" s="38">
        <v>1.9</v>
      </c>
      <c r="D50" s="40" t="s">
        <v>12</v>
      </c>
      <c r="E50" s="43">
        <f t="shared" si="0"/>
        <v>1.9</v>
      </c>
      <c r="F50" s="40" t="s">
        <v>17</v>
      </c>
      <c r="G50" s="4">
        <f t="shared" si="1"/>
        <v>0.23</v>
      </c>
    </row>
    <row r="51" spans="1:7" ht="15.75" thickBot="1" x14ac:dyDescent="0.3">
      <c r="A51" s="29">
        <v>2</v>
      </c>
      <c r="B51" s="31" t="s">
        <v>60</v>
      </c>
      <c r="C51" s="38">
        <v>1.25</v>
      </c>
      <c r="D51" s="40" t="s">
        <v>12</v>
      </c>
      <c r="E51" s="43">
        <f t="shared" si="0"/>
        <v>1.25</v>
      </c>
      <c r="F51" s="40" t="s">
        <v>17</v>
      </c>
      <c r="G51" s="4">
        <f t="shared" si="1"/>
        <v>0.23</v>
      </c>
    </row>
    <row r="52" spans="1:7" ht="15.75" thickBot="1" x14ac:dyDescent="0.3">
      <c r="A52" s="29">
        <v>3</v>
      </c>
      <c r="B52" s="31" t="s">
        <v>61</v>
      </c>
      <c r="C52" s="38">
        <v>1.1499999999999999</v>
      </c>
      <c r="D52" s="40" t="s">
        <v>12</v>
      </c>
      <c r="E52" s="43">
        <f t="shared" si="0"/>
        <v>1.1499999999999999</v>
      </c>
      <c r="F52" s="40" t="s">
        <v>12</v>
      </c>
      <c r="G52" s="4">
        <f t="shared" si="1"/>
        <v>0.38</v>
      </c>
    </row>
    <row r="53" spans="1:7" ht="15.75" thickBot="1" x14ac:dyDescent="0.3">
      <c r="A53" s="29">
        <v>2</v>
      </c>
      <c r="B53" s="32" t="s">
        <v>62</v>
      </c>
      <c r="C53" s="38">
        <v>1.1000000000000001</v>
      </c>
      <c r="D53" s="40" t="s">
        <v>12</v>
      </c>
      <c r="E53" s="43">
        <f t="shared" si="0"/>
        <v>1.1000000000000001</v>
      </c>
      <c r="F53" s="74" t="s">
        <v>12</v>
      </c>
      <c r="G53" s="4">
        <f t="shared" si="1"/>
        <v>0.38</v>
      </c>
    </row>
    <row r="54" spans="1:7" ht="15.75" thickBot="1" x14ac:dyDescent="0.3">
      <c r="A54" s="29">
        <v>1</v>
      </c>
      <c r="B54" s="31" t="s">
        <v>63</v>
      </c>
      <c r="C54" s="38">
        <v>0.6</v>
      </c>
      <c r="D54" s="40" t="s">
        <v>17</v>
      </c>
      <c r="E54" s="43">
        <f t="shared" si="0"/>
        <v>0.6</v>
      </c>
      <c r="F54" s="75" t="s">
        <v>8</v>
      </c>
      <c r="G54" s="4">
        <f t="shared" si="1"/>
        <v>0.6</v>
      </c>
    </row>
    <row r="55" spans="1:7" ht="15.75" thickBot="1" x14ac:dyDescent="0.3">
      <c r="A55" s="29">
        <v>1</v>
      </c>
      <c r="B55" s="31" t="s">
        <v>64</v>
      </c>
      <c r="C55" s="38">
        <v>1.8</v>
      </c>
      <c r="D55" s="40" t="s">
        <v>9</v>
      </c>
      <c r="E55" s="43">
        <f t="shared" si="0"/>
        <v>1.8</v>
      </c>
      <c r="F55" s="75" t="s">
        <v>12</v>
      </c>
      <c r="G55" s="4">
        <f t="shared" si="1"/>
        <v>0.38</v>
      </c>
    </row>
    <row r="56" spans="1:7" ht="15.75" thickBot="1" x14ac:dyDescent="0.3">
      <c r="A56" s="29">
        <v>2</v>
      </c>
      <c r="B56" s="31" t="s">
        <v>65</v>
      </c>
      <c r="C56" s="38">
        <v>1.9</v>
      </c>
      <c r="D56" s="40" t="s">
        <v>9</v>
      </c>
      <c r="E56" s="43">
        <f t="shared" si="0"/>
        <v>1.9</v>
      </c>
      <c r="F56" s="74" t="s">
        <v>17</v>
      </c>
      <c r="G56" s="4">
        <f t="shared" si="1"/>
        <v>0.23</v>
      </c>
    </row>
    <row r="57" spans="1:7" ht="15.75" thickBot="1" x14ac:dyDescent="0.3">
      <c r="A57" s="29">
        <v>1</v>
      </c>
      <c r="B57" s="32" t="s">
        <v>66</v>
      </c>
      <c r="C57" s="38">
        <v>2.1</v>
      </c>
      <c r="D57" s="40" t="s">
        <v>8</v>
      </c>
      <c r="E57" s="43">
        <f t="shared" si="0"/>
        <v>2.1</v>
      </c>
      <c r="F57" s="75" t="s">
        <v>17</v>
      </c>
      <c r="G57" s="4">
        <f t="shared" si="1"/>
        <v>0.23</v>
      </c>
    </row>
    <row r="58" spans="1:7" ht="15.75" thickBot="1" x14ac:dyDescent="0.3">
      <c r="A58" s="29">
        <v>2</v>
      </c>
      <c r="B58" s="32" t="s">
        <v>67</v>
      </c>
      <c r="C58" s="38">
        <v>1.6</v>
      </c>
      <c r="D58" s="40" t="s">
        <v>9</v>
      </c>
      <c r="E58" s="43">
        <f t="shared" si="0"/>
        <v>1.6</v>
      </c>
      <c r="F58" s="75" t="s">
        <v>12</v>
      </c>
      <c r="G58" s="4">
        <f t="shared" si="1"/>
        <v>0.38</v>
      </c>
    </row>
    <row r="59" spans="1:7" ht="15.75" thickBot="1" x14ac:dyDescent="0.3">
      <c r="A59" s="29">
        <v>2</v>
      </c>
      <c r="B59" s="31" t="s">
        <v>68</v>
      </c>
      <c r="C59" s="38">
        <v>0.65</v>
      </c>
      <c r="D59" s="40" t="s">
        <v>10</v>
      </c>
      <c r="E59" s="43">
        <f t="shared" si="0"/>
        <v>0.65</v>
      </c>
      <c r="F59" s="74" t="s">
        <v>9</v>
      </c>
      <c r="G59" s="4">
        <f t="shared" si="1"/>
        <v>0.48</v>
      </c>
    </row>
    <row r="60" spans="1:7" ht="15.75" thickBot="1" x14ac:dyDescent="0.3">
      <c r="A60" s="29">
        <v>2</v>
      </c>
      <c r="B60" s="31" t="s">
        <v>69</v>
      </c>
      <c r="C60" s="38">
        <v>1.85</v>
      </c>
      <c r="D60" s="40" t="s">
        <v>12</v>
      </c>
      <c r="E60" s="43">
        <f t="shared" si="0"/>
        <v>1.85</v>
      </c>
      <c r="F60" s="74" t="s">
        <v>17</v>
      </c>
      <c r="G60" s="4">
        <f t="shared" si="1"/>
        <v>0.23</v>
      </c>
    </row>
    <row r="61" spans="1:7" ht="15.75" thickBot="1" x14ac:dyDescent="0.3">
      <c r="A61" s="29">
        <v>2</v>
      </c>
      <c r="B61" s="32" t="s">
        <v>70</v>
      </c>
      <c r="C61" s="38">
        <v>1.6</v>
      </c>
      <c r="D61" s="40" t="s">
        <v>9</v>
      </c>
      <c r="E61" s="43">
        <f t="shared" si="0"/>
        <v>1.6</v>
      </c>
      <c r="F61" s="74" t="s">
        <v>17</v>
      </c>
      <c r="G61" s="4">
        <f t="shared" si="1"/>
        <v>0.23</v>
      </c>
    </row>
    <row r="62" spans="1:7" ht="15.75" thickBot="1" x14ac:dyDescent="0.3">
      <c r="A62" s="29">
        <v>3</v>
      </c>
      <c r="B62" s="31" t="s">
        <v>71</v>
      </c>
      <c r="C62" s="38">
        <v>1.45</v>
      </c>
      <c r="D62" s="40" t="s">
        <v>12</v>
      </c>
      <c r="E62" s="43">
        <f t="shared" si="0"/>
        <v>1.45</v>
      </c>
      <c r="F62" s="75" t="s">
        <v>17</v>
      </c>
      <c r="G62" s="4">
        <f t="shared" si="1"/>
        <v>0.23</v>
      </c>
    </row>
    <row r="63" spans="1:7" ht="30.75" thickBot="1" x14ac:dyDescent="0.3">
      <c r="A63" s="29">
        <v>1</v>
      </c>
      <c r="B63" s="31" t="s">
        <v>72</v>
      </c>
      <c r="C63" s="38">
        <v>1.25</v>
      </c>
      <c r="D63" s="40" t="s">
        <v>12</v>
      </c>
      <c r="E63" s="43">
        <f t="shared" si="0"/>
        <v>1.25</v>
      </c>
      <c r="F63" s="75" t="s">
        <v>12</v>
      </c>
      <c r="G63" s="4">
        <f t="shared" si="1"/>
        <v>0.38</v>
      </c>
    </row>
    <row r="64" spans="1:7" ht="15.75" thickBot="1" x14ac:dyDescent="0.3">
      <c r="A64" s="29">
        <v>2</v>
      </c>
      <c r="B64" s="31" t="s">
        <v>73</v>
      </c>
      <c r="C64" s="38">
        <v>1.2</v>
      </c>
      <c r="D64" s="40" t="s">
        <v>12</v>
      </c>
      <c r="E64" s="43">
        <f t="shared" si="0"/>
        <v>1.2</v>
      </c>
      <c r="F64" s="75" t="s">
        <v>10</v>
      </c>
      <c r="G64" s="4">
        <f t="shared" si="1"/>
        <v>0.3</v>
      </c>
    </row>
    <row r="65" spans="1:7" ht="15.75" thickBot="1" x14ac:dyDescent="0.3">
      <c r="A65" s="29">
        <v>1</v>
      </c>
      <c r="B65" s="31" t="s">
        <v>74</v>
      </c>
      <c r="C65" s="38">
        <v>1.8</v>
      </c>
      <c r="D65" s="40" t="s">
        <v>9</v>
      </c>
      <c r="E65" s="43">
        <f t="shared" si="0"/>
        <v>1.8</v>
      </c>
      <c r="F65" s="75" t="s">
        <v>17</v>
      </c>
      <c r="G65" s="4">
        <f t="shared" si="1"/>
        <v>0.23</v>
      </c>
    </row>
    <row r="66" spans="1:7" ht="15.75" thickBot="1" x14ac:dyDescent="0.3">
      <c r="A66" s="29">
        <v>2</v>
      </c>
      <c r="B66" s="31" t="s">
        <v>75</v>
      </c>
      <c r="C66" s="38">
        <v>1.1000000000000001</v>
      </c>
      <c r="D66" s="40" t="s">
        <v>10</v>
      </c>
      <c r="E66" s="43">
        <f t="shared" si="0"/>
        <v>1.1000000000000001</v>
      </c>
      <c r="F66" s="75" t="s">
        <v>9</v>
      </c>
      <c r="G66" s="4">
        <f t="shared" si="1"/>
        <v>0.48</v>
      </c>
    </row>
    <row r="67" spans="1:7" ht="15.75" thickBot="1" x14ac:dyDescent="0.3">
      <c r="A67" s="29">
        <v>3</v>
      </c>
      <c r="B67" s="31" t="s">
        <v>76</v>
      </c>
      <c r="C67" s="38">
        <v>1.35</v>
      </c>
      <c r="D67" s="40" t="s">
        <v>12</v>
      </c>
      <c r="E67" s="43">
        <f t="shared" si="0"/>
        <v>1.35</v>
      </c>
      <c r="F67" s="75" t="s">
        <v>12</v>
      </c>
      <c r="G67" s="4">
        <f t="shared" si="1"/>
        <v>0.38</v>
      </c>
    </row>
    <row r="68" spans="1:7" ht="15.75" thickBot="1" x14ac:dyDescent="0.3">
      <c r="A68" s="29">
        <v>3</v>
      </c>
      <c r="B68" s="31" t="s">
        <v>77</v>
      </c>
      <c r="C68" s="38">
        <v>0.7</v>
      </c>
      <c r="D68" s="40" t="s">
        <v>10</v>
      </c>
      <c r="E68" s="43">
        <f t="shared" ref="E68:E131" si="2">IF(C68="",INDEX($N$8:$U$8,1,MATCH(D68,$N$7:$U$7,0)),C68)</f>
        <v>0.7</v>
      </c>
      <c r="F68" s="75" t="s">
        <v>9</v>
      </c>
      <c r="G68" s="4">
        <f t="shared" si="1"/>
        <v>0.48</v>
      </c>
    </row>
    <row r="69" spans="1:7" ht="15.75" thickBot="1" x14ac:dyDescent="0.3">
      <c r="A69" s="29">
        <v>1</v>
      </c>
      <c r="B69" s="31" t="s">
        <v>78</v>
      </c>
      <c r="C69" s="38">
        <v>1.8</v>
      </c>
      <c r="D69" s="40" t="s">
        <v>12</v>
      </c>
      <c r="E69" s="43">
        <f t="shared" si="2"/>
        <v>1.8</v>
      </c>
      <c r="F69" s="74" t="s">
        <v>10</v>
      </c>
      <c r="G69" s="4">
        <f t="shared" ref="G69:G132" si="3">INDEX($N$11:$U$11,1,MATCH(F69,$N$10:$U$10,0))</f>
        <v>0.3</v>
      </c>
    </row>
    <row r="70" spans="1:7" ht="15.75" thickBot="1" x14ac:dyDescent="0.3">
      <c r="A70" s="29">
        <v>1</v>
      </c>
      <c r="B70" s="31" t="s">
        <v>79</v>
      </c>
      <c r="C70" s="38">
        <v>1.3</v>
      </c>
      <c r="D70" s="40" t="s">
        <v>12</v>
      </c>
      <c r="E70" s="43">
        <f t="shared" si="2"/>
        <v>1.3</v>
      </c>
      <c r="F70" s="40" t="s">
        <v>10</v>
      </c>
      <c r="G70" s="4">
        <f t="shared" si="3"/>
        <v>0.3</v>
      </c>
    </row>
    <row r="71" spans="1:7" ht="15.75" thickBot="1" x14ac:dyDescent="0.3">
      <c r="A71" s="29">
        <v>2</v>
      </c>
      <c r="B71" s="31" t="s">
        <v>80</v>
      </c>
      <c r="C71" s="38">
        <v>1.25</v>
      </c>
      <c r="D71" s="40" t="s">
        <v>12</v>
      </c>
      <c r="E71" s="43">
        <f t="shared" si="2"/>
        <v>1.25</v>
      </c>
      <c r="F71" s="40" t="s">
        <v>10</v>
      </c>
      <c r="G71" s="4">
        <f t="shared" si="3"/>
        <v>0.3</v>
      </c>
    </row>
    <row r="72" spans="1:7" ht="15.75" thickBot="1" x14ac:dyDescent="0.3">
      <c r="A72" s="29">
        <v>1</v>
      </c>
      <c r="B72" s="31" t="s">
        <v>81</v>
      </c>
      <c r="C72" s="38">
        <v>0.5</v>
      </c>
      <c r="D72" s="40" t="s">
        <v>17</v>
      </c>
      <c r="E72" s="43">
        <f t="shared" si="2"/>
        <v>0.5</v>
      </c>
      <c r="F72" s="40" t="s">
        <v>12</v>
      </c>
      <c r="G72" s="4">
        <f t="shared" si="3"/>
        <v>0.38</v>
      </c>
    </row>
    <row r="73" spans="1:7" ht="15.75" thickBot="1" x14ac:dyDescent="0.3">
      <c r="A73" s="29">
        <v>2</v>
      </c>
      <c r="B73" s="31" t="s">
        <v>82</v>
      </c>
      <c r="C73" s="38">
        <v>1.5</v>
      </c>
      <c r="D73" s="40" t="s">
        <v>12</v>
      </c>
      <c r="E73" s="43">
        <f t="shared" si="2"/>
        <v>1.5</v>
      </c>
      <c r="F73" s="40" t="s">
        <v>10</v>
      </c>
      <c r="G73" s="4">
        <f t="shared" si="3"/>
        <v>0.3</v>
      </c>
    </row>
    <row r="74" spans="1:7" ht="15.75" thickBot="1" x14ac:dyDescent="0.3">
      <c r="A74" s="29">
        <v>1</v>
      </c>
      <c r="B74" s="32" t="s">
        <v>83</v>
      </c>
      <c r="C74" s="38">
        <v>1.35</v>
      </c>
      <c r="D74" s="40" t="s">
        <v>9</v>
      </c>
      <c r="E74" s="43">
        <f t="shared" si="2"/>
        <v>1.35</v>
      </c>
      <c r="F74" s="40" t="s">
        <v>8</v>
      </c>
      <c r="G74" s="4">
        <f t="shared" si="3"/>
        <v>0.6</v>
      </c>
    </row>
    <row r="75" spans="1:7" ht="15.75" thickBot="1" x14ac:dyDescent="0.3">
      <c r="A75" s="29">
        <v>3</v>
      </c>
      <c r="B75" s="31" t="s">
        <v>84</v>
      </c>
      <c r="C75" s="38">
        <v>1.3</v>
      </c>
      <c r="D75" s="40" t="s">
        <v>12</v>
      </c>
      <c r="E75" s="43">
        <f t="shared" si="2"/>
        <v>1.3</v>
      </c>
      <c r="F75" s="40" t="s">
        <v>10</v>
      </c>
      <c r="G75" s="4">
        <f t="shared" si="3"/>
        <v>0.3</v>
      </c>
    </row>
    <row r="76" spans="1:7" ht="15.75" thickBot="1" x14ac:dyDescent="0.3">
      <c r="A76" s="29">
        <v>1</v>
      </c>
      <c r="B76" s="31" t="s">
        <v>85</v>
      </c>
      <c r="C76" s="38">
        <v>0.9</v>
      </c>
      <c r="D76" s="40" t="s">
        <v>10</v>
      </c>
      <c r="E76" s="43">
        <f t="shared" si="2"/>
        <v>0.9</v>
      </c>
      <c r="F76" s="40" t="s">
        <v>9</v>
      </c>
      <c r="G76" s="4">
        <f t="shared" si="3"/>
        <v>0.48</v>
      </c>
    </row>
    <row r="77" spans="1:7" ht="15.75" thickBot="1" x14ac:dyDescent="0.3">
      <c r="A77" s="29">
        <v>2</v>
      </c>
      <c r="B77" s="31" t="s">
        <v>745</v>
      </c>
      <c r="C77" s="38">
        <v>0.6</v>
      </c>
      <c r="D77" s="40" t="s">
        <v>17</v>
      </c>
      <c r="E77" s="43">
        <f t="shared" si="2"/>
        <v>0.6</v>
      </c>
      <c r="F77" s="40" t="s">
        <v>8</v>
      </c>
      <c r="G77" s="4">
        <f t="shared" si="3"/>
        <v>0.6</v>
      </c>
    </row>
    <row r="78" spans="1:7" ht="15.75" thickBot="1" x14ac:dyDescent="0.3">
      <c r="A78" s="29">
        <v>3</v>
      </c>
      <c r="B78" s="31" t="s">
        <v>86</v>
      </c>
      <c r="C78" s="38">
        <v>3.5</v>
      </c>
      <c r="D78" s="40" t="s">
        <v>178</v>
      </c>
      <c r="E78" s="43">
        <f t="shared" si="2"/>
        <v>3.5</v>
      </c>
      <c r="F78" s="74" t="s">
        <v>12</v>
      </c>
      <c r="G78" s="4">
        <f t="shared" si="3"/>
        <v>0.38</v>
      </c>
    </row>
    <row r="79" spans="1:7" ht="15.75" thickBot="1" x14ac:dyDescent="0.3">
      <c r="A79" s="29">
        <v>4</v>
      </c>
      <c r="B79" s="32" t="s">
        <v>88</v>
      </c>
      <c r="C79" s="38">
        <v>1.1000000000000001</v>
      </c>
      <c r="D79" s="40" t="s">
        <v>12</v>
      </c>
      <c r="E79" s="43">
        <f t="shared" si="2"/>
        <v>1.1000000000000001</v>
      </c>
      <c r="F79" s="75" t="s">
        <v>10</v>
      </c>
      <c r="G79" s="4">
        <f t="shared" si="3"/>
        <v>0.3</v>
      </c>
    </row>
    <row r="80" spans="1:7" ht="15.75" thickBot="1" x14ac:dyDescent="0.3">
      <c r="A80" s="29">
        <v>1</v>
      </c>
      <c r="B80" s="31" t="s">
        <v>89</v>
      </c>
      <c r="C80" s="38">
        <v>1.5</v>
      </c>
      <c r="D80" s="40" t="s">
        <v>12</v>
      </c>
      <c r="E80" s="43">
        <f t="shared" si="2"/>
        <v>1.5</v>
      </c>
      <c r="F80" s="74" t="s">
        <v>10</v>
      </c>
      <c r="G80" s="4">
        <f t="shared" si="3"/>
        <v>0.3</v>
      </c>
    </row>
    <row r="81" spans="1:8" ht="15.75" thickBot="1" x14ac:dyDescent="0.3">
      <c r="A81" s="29">
        <v>4</v>
      </c>
      <c r="B81" s="31" t="s">
        <v>90</v>
      </c>
      <c r="C81" s="38">
        <v>1.45</v>
      </c>
      <c r="D81" s="40" t="s">
        <v>12</v>
      </c>
      <c r="E81" s="43">
        <f t="shared" si="2"/>
        <v>1.45</v>
      </c>
      <c r="F81" s="75" t="s">
        <v>17</v>
      </c>
      <c r="G81" s="4">
        <f t="shared" si="3"/>
        <v>0.23</v>
      </c>
    </row>
    <row r="82" spans="1:8" ht="15.75" thickBot="1" x14ac:dyDescent="0.3">
      <c r="A82" s="29">
        <v>1</v>
      </c>
      <c r="B82" s="32" t="s">
        <v>91</v>
      </c>
      <c r="C82" s="38">
        <v>3.2</v>
      </c>
      <c r="D82" s="40" t="s">
        <v>8</v>
      </c>
      <c r="E82" s="43">
        <f t="shared" si="2"/>
        <v>3.2</v>
      </c>
      <c r="F82" s="40" t="s">
        <v>9</v>
      </c>
      <c r="G82" s="4">
        <f t="shared" si="3"/>
        <v>0.48</v>
      </c>
    </row>
    <row r="83" spans="1:8" ht="15.75" thickBot="1" x14ac:dyDescent="0.3">
      <c r="A83" s="29">
        <v>3</v>
      </c>
      <c r="B83" s="31" t="s">
        <v>92</v>
      </c>
      <c r="C83" s="38">
        <v>1.55</v>
      </c>
      <c r="D83" s="40" t="s">
        <v>12</v>
      </c>
      <c r="E83" s="43">
        <f t="shared" si="2"/>
        <v>1.55</v>
      </c>
      <c r="F83" s="40" t="s">
        <v>17</v>
      </c>
      <c r="G83" s="4">
        <f t="shared" si="3"/>
        <v>0.23</v>
      </c>
    </row>
    <row r="84" spans="1:8" ht="15.75" thickBot="1" x14ac:dyDescent="0.3">
      <c r="A84" s="29">
        <v>4</v>
      </c>
      <c r="B84" s="31" t="s">
        <v>93</v>
      </c>
      <c r="C84" s="38">
        <v>2.25</v>
      </c>
      <c r="D84" s="40" t="s">
        <v>9</v>
      </c>
      <c r="E84" s="43">
        <f t="shared" si="2"/>
        <v>2.25</v>
      </c>
      <c r="F84" s="40" t="s">
        <v>10</v>
      </c>
      <c r="G84" s="4">
        <f t="shared" si="3"/>
        <v>0.3</v>
      </c>
    </row>
    <row r="85" spans="1:8" ht="15.75" thickBot="1" x14ac:dyDescent="0.3">
      <c r="A85" s="29">
        <v>1</v>
      </c>
      <c r="B85" s="31" t="s">
        <v>94</v>
      </c>
      <c r="C85" s="38">
        <v>0.65</v>
      </c>
      <c r="D85" s="40" t="s">
        <v>17</v>
      </c>
      <c r="E85" s="43">
        <f t="shared" si="2"/>
        <v>0.65</v>
      </c>
      <c r="F85" s="40" t="s">
        <v>9</v>
      </c>
      <c r="G85" s="4">
        <f t="shared" si="3"/>
        <v>0.48</v>
      </c>
      <c r="H85" t="s">
        <v>630</v>
      </c>
    </row>
    <row r="86" spans="1:8" ht="15.75" thickBot="1" x14ac:dyDescent="0.3">
      <c r="A86" s="29">
        <v>1</v>
      </c>
      <c r="B86" s="31" t="s">
        <v>95</v>
      </c>
      <c r="C86" s="38">
        <v>0.5</v>
      </c>
      <c r="D86" s="40" t="s">
        <v>17</v>
      </c>
      <c r="E86" s="43">
        <f t="shared" si="2"/>
        <v>0.5</v>
      </c>
      <c r="F86" s="40" t="s">
        <v>9</v>
      </c>
      <c r="G86" s="4">
        <f t="shared" si="3"/>
        <v>0.48</v>
      </c>
    </row>
    <row r="87" spans="1:8" ht="15.75" thickBot="1" x14ac:dyDescent="0.3">
      <c r="A87" s="29">
        <v>3</v>
      </c>
      <c r="B87" s="31" t="s">
        <v>96</v>
      </c>
      <c r="C87" s="38">
        <v>0.75</v>
      </c>
      <c r="D87" s="40" t="s">
        <v>10</v>
      </c>
      <c r="E87" s="43">
        <f t="shared" si="2"/>
        <v>0.75</v>
      </c>
      <c r="F87" s="40" t="s">
        <v>9</v>
      </c>
      <c r="G87" s="4">
        <f t="shared" si="3"/>
        <v>0.48</v>
      </c>
    </row>
    <row r="88" spans="1:8" ht="15.75" thickBot="1" x14ac:dyDescent="0.3">
      <c r="A88" s="29">
        <v>1</v>
      </c>
      <c r="B88" s="32" t="s">
        <v>97</v>
      </c>
      <c r="C88" s="38">
        <v>2.0499999999999998</v>
      </c>
      <c r="D88" s="40" t="s">
        <v>8</v>
      </c>
      <c r="E88" s="43">
        <f t="shared" si="2"/>
        <v>2.0499999999999998</v>
      </c>
      <c r="F88" s="40" t="s">
        <v>10</v>
      </c>
      <c r="G88" s="4">
        <f t="shared" si="3"/>
        <v>0.3</v>
      </c>
    </row>
    <row r="89" spans="1:8" ht="15.75" thickBot="1" x14ac:dyDescent="0.3">
      <c r="A89" s="29">
        <v>3</v>
      </c>
      <c r="B89" s="31" t="s">
        <v>98</v>
      </c>
      <c r="C89" s="38">
        <v>1.8</v>
      </c>
      <c r="D89" s="40" t="s">
        <v>9</v>
      </c>
      <c r="E89" s="43">
        <f t="shared" si="2"/>
        <v>1.8</v>
      </c>
      <c r="F89" s="40" t="s">
        <v>17</v>
      </c>
      <c r="G89" s="4">
        <f t="shared" si="3"/>
        <v>0.23</v>
      </c>
    </row>
    <row r="90" spans="1:8" ht="15.75" thickBot="1" x14ac:dyDescent="0.3">
      <c r="A90" s="29">
        <v>4</v>
      </c>
      <c r="B90" s="31" t="s">
        <v>99</v>
      </c>
      <c r="C90" s="38">
        <v>2.2999999999999998</v>
      </c>
      <c r="D90" s="40" t="s">
        <v>8</v>
      </c>
      <c r="E90" s="43">
        <f t="shared" si="2"/>
        <v>2.2999999999999998</v>
      </c>
      <c r="F90" s="40" t="str">
        <f>F89</f>
        <v>I</v>
      </c>
      <c r="G90" s="4">
        <f t="shared" si="3"/>
        <v>0.23</v>
      </c>
    </row>
    <row r="91" spans="1:8" ht="15.75" thickBot="1" x14ac:dyDescent="0.3">
      <c r="A91" s="29">
        <v>5</v>
      </c>
      <c r="B91" s="32" t="s">
        <v>100</v>
      </c>
      <c r="C91" s="38">
        <v>2.1</v>
      </c>
      <c r="D91" s="40" t="s">
        <v>9</v>
      </c>
      <c r="E91" s="43">
        <f t="shared" si="2"/>
        <v>2.1</v>
      </c>
      <c r="F91" s="40" t="s">
        <v>10</v>
      </c>
      <c r="G91" s="4">
        <f t="shared" si="3"/>
        <v>0.3</v>
      </c>
    </row>
    <row r="92" spans="1:8" ht="15.75" thickBot="1" x14ac:dyDescent="0.3">
      <c r="A92" s="29">
        <v>2</v>
      </c>
      <c r="B92" s="31" t="s">
        <v>101</v>
      </c>
      <c r="C92" s="38">
        <v>2.1</v>
      </c>
      <c r="D92" s="40" t="s">
        <v>9</v>
      </c>
      <c r="E92" s="43">
        <f t="shared" si="2"/>
        <v>2.1</v>
      </c>
      <c r="F92" s="40" t="s">
        <v>17</v>
      </c>
      <c r="G92" s="4">
        <f t="shared" si="3"/>
        <v>0.23</v>
      </c>
    </row>
    <row r="93" spans="1:8" ht="15.75" thickBot="1" x14ac:dyDescent="0.3">
      <c r="A93" s="29">
        <v>3</v>
      </c>
      <c r="B93" s="31" t="s">
        <v>102</v>
      </c>
      <c r="C93" s="38">
        <v>1.5</v>
      </c>
      <c r="D93" s="40" t="s">
        <v>12</v>
      </c>
      <c r="E93" s="43">
        <f t="shared" si="2"/>
        <v>1.5</v>
      </c>
      <c r="F93" s="40" t="s">
        <v>17</v>
      </c>
      <c r="G93" s="4">
        <f t="shared" si="3"/>
        <v>0.23</v>
      </c>
    </row>
    <row r="94" spans="1:8" ht="15.75" thickBot="1" x14ac:dyDescent="0.3">
      <c r="A94" s="29">
        <v>4</v>
      </c>
      <c r="B94" s="31" t="s">
        <v>103</v>
      </c>
      <c r="C94" s="38">
        <v>1.8</v>
      </c>
      <c r="D94" s="40" t="s">
        <v>9</v>
      </c>
      <c r="E94" s="43">
        <f t="shared" si="2"/>
        <v>1.8</v>
      </c>
      <c r="F94" s="40" t="s">
        <v>12</v>
      </c>
      <c r="G94" s="4">
        <f t="shared" si="3"/>
        <v>0.38</v>
      </c>
    </row>
    <row r="95" spans="1:8" ht="15.75" thickBot="1" x14ac:dyDescent="0.3">
      <c r="A95" s="29">
        <v>1</v>
      </c>
      <c r="B95" s="32" t="s">
        <v>104</v>
      </c>
      <c r="C95" s="38">
        <v>1.6</v>
      </c>
      <c r="D95" s="40" t="s">
        <v>9</v>
      </c>
      <c r="E95" s="43">
        <f t="shared" si="2"/>
        <v>1.6</v>
      </c>
      <c r="F95" s="40" t="s">
        <v>12</v>
      </c>
      <c r="G95" s="4">
        <f t="shared" si="3"/>
        <v>0.38</v>
      </c>
    </row>
    <row r="96" spans="1:8" ht="15.75" thickBot="1" x14ac:dyDescent="0.3">
      <c r="A96" s="29">
        <v>1</v>
      </c>
      <c r="B96" s="31" t="s">
        <v>105</v>
      </c>
      <c r="C96" s="38">
        <v>1.45</v>
      </c>
      <c r="D96" s="40" t="s">
        <v>12</v>
      </c>
      <c r="E96" s="43">
        <f t="shared" si="2"/>
        <v>1.45</v>
      </c>
      <c r="F96" s="40" t="s">
        <v>17</v>
      </c>
      <c r="G96" s="4">
        <f t="shared" si="3"/>
        <v>0.23</v>
      </c>
    </row>
    <row r="97" spans="1:7" ht="15.75" thickBot="1" x14ac:dyDescent="0.3">
      <c r="A97" s="29">
        <v>2</v>
      </c>
      <c r="B97" s="31" t="s">
        <v>106</v>
      </c>
      <c r="C97" s="38">
        <v>1.6</v>
      </c>
      <c r="D97" s="40" t="s">
        <v>12</v>
      </c>
      <c r="E97" s="43">
        <f t="shared" si="2"/>
        <v>1.6</v>
      </c>
      <c r="F97" s="40" t="s">
        <v>12</v>
      </c>
      <c r="G97" s="4">
        <f t="shared" si="3"/>
        <v>0.38</v>
      </c>
    </row>
    <row r="98" spans="1:7" ht="15.75" thickBot="1" x14ac:dyDescent="0.3">
      <c r="A98" s="29">
        <v>1</v>
      </c>
      <c r="B98" s="31" t="s">
        <v>107</v>
      </c>
      <c r="C98" s="38">
        <v>1.95</v>
      </c>
      <c r="D98" s="40" t="s">
        <v>9</v>
      </c>
      <c r="E98" s="43">
        <f t="shared" si="2"/>
        <v>1.95</v>
      </c>
      <c r="F98" s="40" t="s">
        <v>17</v>
      </c>
      <c r="G98" s="4">
        <f t="shared" si="3"/>
        <v>0.23</v>
      </c>
    </row>
    <row r="99" spans="1:7" ht="15.75" thickBot="1" x14ac:dyDescent="0.3">
      <c r="A99" s="29">
        <v>2</v>
      </c>
      <c r="B99" s="31" t="s">
        <v>108</v>
      </c>
      <c r="C99" s="38">
        <v>0.85</v>
      </c>
      <c r="D99" s="40" t="s">
        <v>10</v>
      </c>
      <c r="E99" s="43">
        <f t="shared" si="2"/>
        <v>0.85</v>
      </c>
      <c r="F99" s="40" t="s">
        <v>12</v>
      </c>
      <c r="G99" s="4">
        <f t="shared" si="3"/>
        <v>0.38</v>
      </c>
    </row>
    <row r="100" spans="1:7" ht="15.75" thickBot="1" x14ac:dyDescent="0.3">
      <c r="A100" s="29">
        <v>3</v>
      </c>
      <c r="B100" s="31" t="s">
        <v>109</v>
      </c>
      <c r="C100" s="38">
        <v>0.8</v>
      </c>
      <c r="D100" s="40" t="s">
        <v>10</v>
      </c>
      <c r="E100" s="43">
        <f t="shared" si="2"/>
        <v>0.8</v>
      </c>
      <c r="F100" s="40" t="s">
        <v>12</v>
      </c>
      <c r="G100" s="4">
        <f t="shared" si="3"/>
        <v>0.38</v>
      </c>
    </row>
    <row r="101" spans="1:7" ht="15.75" thickBot="1" x14ac:dyDescent="0.3">
      <c r="A101" s="29">
        <v>7</v>
      </c>
      <c r="B101" s="31" t="s">
        <v>110</v>
      </c>
      <c r="C101" s="38">
        <v>2.5499999999999998</v>
      </c>
      <c r="D101" s="40" t="s">
        <v>8</v>
      </c>
      <c r="E101" s="43">
        <f t="shared" si="2"/>
        <v>2.5499999999999998</v>
      </c>
      <c r="F101" s="40" t="s">
        <v>12</v>
      </c>
      <c r="G101" s="4">
        <f t="shared" si="3"/>
        <v>0.38</v>
      </c>
    </row>
    <row r="102" spans="1:7" ht="15.75" thickBot="1" x14ac:dyDescent="0.3">
      <c r="A102" s="29">
        <v>4</v>
      </c>
      <c r="B102" s="31" t="s">
        <v>111</v>
      </c>
      <c r="C102" s="38">
        <v>2.4</v>
      </c>
      <c r="D102" s="40" t="s">
        <v>8</v>
      </c>
      <c r="E102" s="43">
        <f t="shared" si="2"/>
        <v>2.4</v>
      </c>
      <c r="F102" s="75" t="s">
        <v>9</v>
      </c>
      <c r="G102" s="4">
        <f t="shared" si="3"/>
        <v>0.48</v>
      </c>
    </row>
    <row r="103" spans="1:7" ht="15.75" thickBot="1" x14ac:dyDescent="0.3">
      <c r="A103" s="29">
        <v>2</v>
      </c>
      <c r="B103" s="32" t="s">
        <v>112</v>
      </c>
      <c r="C103" s="38">
        <v>1.85</v>
      </c>
      <c r="D103" s="40" t="s">
        <v>9</v>
      </c>
      <c r="E103" s="43">
        <f t="shared" si="2"/>
        <v>1.85</v>
      </c>
      <c r="F103" s="74" t="s">
        <v>10</v>
      </c>
      <c r="G103" s="4">
        <f t="shared" si="3"/>
        <v>0.3</v>
      </c>
    </row>
    <row r="104" spans="1:7" ht="15.75" thickBot="1" x14ac:dyDescent="0.3">
      <c r="A104" s="29">
        <v>1</v>
      </c>
      <c r="B104" s="31" t="s">
        <v>113</v>
      </c>
      <c r="C104" s="38">
        <v>1.35</v>
      </c>
      <c r="D104" s="40" t="s">
        <v>12</v>
      </c>
      <c r="E104" s="43">
        <f t="shared" si="2"/>
        <v>1.35</v>
      </c>
      <c r="F104" s="75" t="s">
        <v>10</v>
      </c>
      <c r="G104" s="4">
        <f t="shared" si="3"/>
        <v>0.3</v>
      </c>
    </row>
    <row r="105" spans="1:7" ht="15.75" thickBot="1" x14ac:dyDescent="0.3">
      <c r="A105" s="29">
        <v>1</v>
      </c>
      <c r="B105" s="31" t="s">
        <v>114</v>
      </c>
      <c r="C105" s="38">
        <v>1.4</v>
      </c>
      <c r="D105" s="40" t="s">
        <v>12</v>
      </c>
      <c r="E105" s="43">
        <f t="shared" si="2"/>
        <v>1.4</v>
      </c>
      <c r="F105" s="75" t="s">
        <v>17</v>
      </c>
      <c r="G105" s="4">
        <f t="shared" si="3"/>
        <v>0.23</v>
      </c>
    </row>
    <row r="106" spans="1:7" ht="15.75" thickBot="1" x14ac:dyDescent="0.3">
      <c r="A106" s="29">
        <v>2</v>
      </c>
      <c r="B106" s="31" t="s">
        <v>115</v>
      </c>
      <c r="C106" s="38">
        <v>1.25</v>
      </c>
      <c r="D106" s="40" t="s">
        <v>12</v>
      </c>
      <c r="E106" s="43">
        <f t="shared" si="2"/>
        <v>1.25</v>
      </c>
      <c r="F106" s="75" t="s">
        <v>12</v>
      </c>
      <c r="G106" s="4">
        <f t="shared" si="3"/>
        <v>0.38</v>
      </c>
    </row>
    <row r="107" spans="1:7" ht="15.75" thickBot="1" x14ac:dyDescent="0.3">
      <c r="A107" s="29">
        <v>3</v>
      </c>
      <c r="B107" s="31" t="s">
        <v>116</v>
      </c>
      <c r="C107" s="38">
        <v>1.2</v>
      </c>
      <c r="D107" s="40" t="s">
        <v>10</v>
      </c>
      <c r="E107" s="43">
        <f t="shared" si="2"/>
        <v>1.2</v>
      </c>
      <c r="F107" s="75" t="s">
        <v>12</v>
      </c>
      <c r="G107" s="4">
        <f t="shared" si="3"/>
        <v>0.38</v>
      </c>
    </row>
    <row r="108" spans="1:7" ht="15.75" thickBot="1" x14ac:dyDescent="0.3">
      <c r="A108" s="29">
        <v>2</v>
      </c>
      <c r="B108" s="31" t="s">
        <v>117</v>
      </c>
      <c r="C108" s="38">
        <v>1.45</v>
      </c>
      <c r="D108" s="40" t="s">
        <v>12</v>
      </c>
      <c r="E108" s="43">
        <f t="shared" si="2"/>
        <v>1.45</v>
      </c>
      <c r="F108" s="75" t="s">
        <v>10</v>
      </c>
      <c r="G108" s="4">
        <f t="shared" si="3"/>
        <v>0.3</v>
      </c>
    </row>
    <row r="109" spans="1:7" ht="15.75" thickBot="1" x14ac:dyDescent="0.3">
      <c r="A109" s="29">
        <v>4</v>
      </c>
      <c r="B109" s="31" t="s">
        <v>118</v>
      </c>
      <c r="C109" s="38">
        <v>1.4</v>
      </c>
      <c r="D109" s="40" t="s">
        <v>12</v>
      </c>
      <c r="E109" s="43">
        <f t="shared" si="2"/>
        <v>1.4</v>
      </c>
      <c r="F109" s="75" t="s">
        <v>17</v>
      </c>
      <c r="G109" s="4">
        <f t="shared" si="3"/>
        <v>0.23</v>
      </c>
    </row>
    <row r="110" spans="1:7" ht="15.75" thickBot="1" x14ac:dyDescent="0.3">
      <c r="A110" s="29">
        <v>2</v>
      </c>
      <c r="B110" s="32" t="s">
        <v>119</v>
      </c>
      <c r="C110" s="38">
        <v>1.95</v>
      </c>
      <c r="D110" s="40" t="s">
        <v>8</v>
      </c>
      <c r="E110" s="43">
        <f t="shared" si="2"/>
        <v>1.95</v>
      </c>
      <c r="F110" s="75" t="s">
        <v>17</v>
      </c>
      <c r="G110" s="4">
        <f t="shared" si="3"/>
        <v>0.23</v>
      </c>
    </row>
    <row r="111" spans="1:7" ht="15.75" thickBot="1" x14ac:dyDescent="0.3">
      <c r="A111" s="29">
        <v>1</v>
      </c>
      <c r="B111" s="31" t="s">
        <v>120</v>
      </c>
      <c r="C111" s="38">
        <v>1.7</v>
      </c>
      <c r="D111" s="40" t="s">
        <v>9</v>
      </c>
      <c r="E111" s="43">
        <f t="shared" si="2"/>
        <v>1.7</v>
      </c>
      <c r="F111" s="75" t="s">
        <v>10</v>
      </c>
      <c r="G111" s="4">
        <f t="shared" si="3"/>
        <v>0.3</v>
      </c>
    </row>
    <row r="112" spans="1:7" ht="30.75" thickBot="1" x14ac:dyDescent="0.3">
      <c r="A112" s="29">
        <v>1</v>
      </c>
      <c r="B112" s="31" t="s">
        <v>121</v>
      </c>
      <c r="C112" s="38">
        <v>4.0999999999999996</v>
      </c>
      <c r="D112" s="40" t="s">
        <v>122</v>
      </c>
      <c r="E112" s="43">
        <f t="shared" si="2"/>
        <v>4.0999999999999996</v>
      </c>
      <c r="F112" s="75" t="s">
        <v>87</v>
      </c>
      <c r="G112" s="4">
        <f t="shared" si="3"/>
        <v>0.85</v>
      </c>
    </row>
    <row r="113" spans="1:7" ht="15.75" thickBot="1" x14ac:dyDescent="0.3">
      <c r="A113" s="29">
        <v>5</v>
      </c>
      <c r="B113" s="32" t="s">
        <v>123</v>
      </c>
      <c r="C113" s="38">
        <v>1.6</v>
      </c>
      <c r="D113" s="40" t="s">
        <v>9</v>
      </c>
      <c r="E113" s="43">
        <f t="shared" si="2"/>
        <v>1.6</v>
      </c>
      <c r="F113" s="75" t="s">
        <v>12</v>
      </c>
      <c r="G113" s="4">
        <f t="shared" si="3"/>
        <v>0.38</v>
      </c>
    </row>
    <row r="114" spans="1:7" ht="15.75" thickBot="1" x14ac:dyDescent="0.3">
      <c r="A114" s="29">
        <v>2</v>
      </c>
      <c r="B114" s="31" t="s">
        <v>124</v>
      </c>
      <c r="C114" s="38">
        <v>1.3</v>
      </c>
      <c r="D114" s="40" t="s">
        <v>12</v>
      </c>
      <c r="E114" s="43">
        <f t="shared" si="2"/>
        <v>1.3</v>
      </c>
      <c r="F114" s="75" t="s">
        <v>17</v>
      </c>
      <c r="G114" s="4">
        <f t="shared" si="3"/>
        <v>0.23</v>
      </c>
    </row>
    <row r="115" spans="1:7" ht="15.75" thickBot="1" x14ac:dyDescent="0.3">
      <c r="A115" s="29">
        <v>3</v>
      </c>
      <c r="B115" s="31" t="s">
        <v>125</v>
      </c>
      <c r="C115" s="38">
        <v>1.3</v>
      </c>
      <c r="D115" s="40" t="s">
        <v>12</v>
      </c>
      <c r="E115" s="43">
        <f t="shared" si="2"/>
        <v>1.3</v>
      </c>
      <c r="F115" s="74" t="s">
        <v>10</v>
      </c>
      <c r="G115" s="4">
        <f t="shared" si="3"/>
        <v>0.3</v>
      </c>
    </row>
    <row r="116" spans="1:7" ht="15.75" thickBot="1" x14ac:dyDescent="0.3">
      <c r="A116" s="29">
        <v>4</v>
      </c>
      <c r="B116" s="32" t="s">
        <v>126</v>
      </c>
      <c r="C116" s="38">
        <v>0.45</v>
      </c>
      <c r="D116" s="40" t="s">
        <v>10</v>
      </c>
      <c r="E116" s="43">
        <f t="shared" si="2"/>
        <v>0.45</v>
      </c>
      <c r="F116" s="75" t="s">
        <v>9</v>
      </c>
      <c r="G116" s="4">
        <f t="shared" si="3"/>
        <v>0.48</v>
      </c>
    </row>
    <row r="117" spans="1:7" ht="15.75" thickBot="1" x14ac:dyDescent="0.3">
      <c r="A117" s="29">
        <v>4</v>
      </c>
      <c r="B117" s="31" t="s">
        <v>127</v>
      </c>
      <c r="C117" s="38">
        <v>0.85</v>
      </c>
      <c r="D117" s="40" t="s">
        <v>10</v>
      </c>
      <c r="E117" s="43">
        <f t="shared" si="2"/>
        <v>0.85</v>
      </c>
      <c r="F117" s="75" t="s">
        <v>12</v>
      </c>
      <c r="G117" s="4">
        <f t="shared" si="3"/>
        <v>0.38</v>
      </c>
    </row>
    <row r="118" spans="1:7" ht="15.75" thickBot="1" x14ac:dyDescent="0.3">
      <c r="A118" s="29">
        <v>4</v>
      </c>
      <c r="B118" s="31" t="s">
        <v>128</v>
      </c>
      <c r="C118" s="38">
        <v>1</v>
      </c>
      <c r="D118" s="40" t="s">
        <v>12</v>
      </c>
      <c r="E118" s="43">
        <f t="shared" si="2"/>
        <v>1</v>
      </c>
      <c r="F118" s="75" t="s">
        <v>12</v>
      </c>
      <c r="G118" s="4">
        <f t="shared" si="3"/>
        <v>0.38</v>
      </c>
    </row>
    <row r="119" spans="1:7" ht="15.75" thickBot="1" x14ac:dyDescent="0.3">
      <c r="A119" s="29">
        <v>1</v>
      </c>
      <c r="B119" s="31" t="s">
        <v>129</v>
      </c>
      <c r="C119" s="38">
        <v>2</v>
      </c>
      <c r="D119" s="40" t="s">
        <v>9</v>
      </c>
      <c r="E119" s="43">
        <f t="shared" si="2"/>
        <v>2</v>
      </c>
      <c r="F119" s="40" t="s">
        <v>17</v>
      </c>
      <c r="G119" s="4">
        <f t="shared" si="3"/>
        <v>0.23</v>
      </c>
    </row>
    <row r="120" spans="1:7" ht="15.75" thickBot="1" x14ac:dyDescent="0.3">
      <c r="A120" s="29">
        <v>1</v>
      </c>
      <c r="B120" s="31" t="s">
        <v>130</v>
      </c>
      <c r="C120" s="38">
        <v>1.55</v>
      </c>
      <c r="D120" s="40" t="s">
        <v>12</v>
      </c>
      <c r="E120" s="43">
        <f t="shared" si="2"/>
        <v>1.55</v>
      </c>
      <c r="F120" s="40" t="s">
        <v>17</v>
      </c>
      <c r="G120" s="4">
        <f t="shared" si="3"/>
        <v>0.23</v>
      </c>
    </row>
    <row r="121" spans="1:7" ht="15.75" thickBot="1" x14ac:dyDescent="0.3">
      <c r="A121" s="29">
        <v>3</v>
      </c>
      <c r="B121" s="31" t="s">
        <v>131</v>
      </c>
      <c r="C121" s="38">
        <v>2.4500000000000002</v>
      </c>
      <c r="D121" s="40" t="s">
        <v>178</v>
      </c>
      <c r="E121" s="43">
        <f t="shared" si="2"/>
        <v>2.4500000000000002</v>
      </c>
      <c r="F121" s="40" t="s">
        <v>12</v>
      </c>
      <c r="G121" s="4">
        <f t="shared" si="3"/>
        <v>0.38</v>
      </c>
    </row>
    <row r="122" spans="1:7" ht="15.75" thickBot="1" x14ac:dyDescent="0.3">
      <c r="A122" s="29">
        <v>2</v>
      </c>
      <c r="B122" s="32" t="s">
        <v>132</v>
      </c>
      <c r="C122" s="38">
        <v>1.6</v>
      </c>
      <c r="D122" s="40" t="s">
        <v>9</v>
      </c>
      <c r="E122" s="43">
        <f t="shared" si="2"/>
        <v>1.6</v>
      </c>
      <c r="F122" s="40" t="s">
        <v>12</v>
      </c>
      <c r="G122" s="4">
        <f t="shared" si="3"/>
        <v>0.38</v>
      </c>
    </row>
    <row r="123" spans="1:7" ht="15.75" thickBot="1" x14ac:dyDescent="0.3">
      <c r="A123" s="29">
        <v>4</v>
      </c>
      <c r="B123" s="31" t="s">
        <v>133</v>
      </c>
      <c r="C123" s="38">
        <v>1.3</v>
      </c>
      <c r="D123" s="40" t="s">
        <v>12</v>
      </c>
      <c r="E123" s="43">
        <f t="shared" si="2"/>
        <v>1.3</v>
      </c>
      <c r="F123" s="40" t="s">
        <v>10</v>
      </c>
      <c r="G123" s="4">
        <f t="shared" si="3"/>
        <v>0.3</v>
      </c>
    </row>
    <row r="124" spans="1:7" ht="15.75" thickBot="1" x14ac:dyDescent="0.3">
      <c r="A124" s="29">
        <v>1</v>
      </c>
      <c r="B124" s="31" t="s">
        <v>134</v>
      </c>
      <c r="C124" s="38">
        <v>1.6</v>
      </c>
      <c r="D124" s="40" t="s">
        <v>12</v>
      </c>
      <c r="E124" s="43">
        <f t="shared" si="2"/>
        <v>1.6</v>
      </c>
      <c r="F124" s="40" t="s">
        <v>10</v>
      </c>
      <c r="G124" s="4">
        <f t="shared" si="3"/>
        <v>0.3</v>
      </c>
    </row>
    <row r="125" spans="1:7" ht="15.75" thickBot="1" x14ac:dyDescent="0.3">
      <c r="A125" s="29">
        <v>4</v>
      </c>
      <c r="B125" s="32" t="s">
        <v>135</v>
      </c>
      <c r="C125" s="38">
        <v>1.8</v>
      </c>
      <c r="D125" s="40" t="s">
        <v>8</v>
      </c>
      <c r="E125" s="43">
        <f t="shared" si="2"/>
        <v>1.8</v>
      </c>
      <c r="F125" s="74" t="s">
        <v>10</v>
      </c>
      <c r="G125" s="4">
        <f t="shared" si="3"/>
        <v>0.3</v>
      </c>
    </row>
    <row r="126" spans="1:7" ht="15.75" thickBot="1" x14ac:dyDescent="0.3">
      <c r="A126" s="29">
        <v>1</v>
      </c>
      <c r="B126" s="31" t="s">
        <v>136</v>
      </c>
      <c r="C126" s="38">
        <v>1.4</v>
      </c>
      <c r="D126" s="40" t="s">
        <v>12</v>
      </c>
      <c r="E126" s="43">
        <f t="shared" si="2"/>
        <v>1.4</v>
      </c>
      <c r="F126" s="75" t="s">
        <v>12</v>
      </c>
      <c r="G126" s="4">
        <f t="shared" si="3"/>
        <v>0.38</v>
      </c>
    </row>
    <row r="127" spans="1:7" ht="15.75" thickBot="1" x14ac:dyDescent="0.3">
      <c r="A127" s="29">
        <v>3</v>
      </c>
      <c r="B127" s="31" t="s">
        <v>137</v>
      </c>
      <c r="C127" s="38">
        <v>1.65</v>
      </c>
      <c r="D127" s="40" t="s">
        <v>12</v>
      </c>
      <c r="E127" s="43">
        <f t="shared" si="2"/>
        <v>1.65</v>
      </c>
      <c r="F127" s="74" t="s">
        <v>10</v>
      </c>
      <c r="G127" s="4">
        <f t="shared" si="3"/>
        <v>0.3</v>
      </c>
    </row>
    <row r="128" spans="1:7" ht="15.75" thickBot="1" x14ac:dyDescent="0.3">
      <c r="A128" s="29">
        <v>2</v>
      </c>
      <c r="B128" s="31" t="s">
        <v>138</v>
      </c>
      <c r="C128" s="38">
        <v>2.25</v>
      </c>
      <c r="D128" s="40" t="s">
        <v>9</v>
      </c>
      <c r="E128" s="43">
        <f t="shared" si="2"/>
        <v>2.25</v>
      </c>
      <c r="F128" s="75" t="s">
        <v>10</v>
      </c>
      <c r="G128" s="4">
        <f t="shared" si="3"/>
        <v>0.3</v>
      </c>
    </row>
    <row r="129" spans="1:7" ht="15.75" thickBot="1" x14ac:dyDescent="0.3">
      <c r="A129" s="29">
        <v>1</v>
      </c>
      <c r="B129" s="31" t="s">
        <v>139</v>
      </c>
      <c r="C129" s="38">
        <v>2.15</v>
      </c>
      <c r="D129" s="40" t="s">
        <v>9</v>
      </c>
      <c r="E129" s="43">
        <f t="shared" si="2"/>
        <v>2.15</v>
      </c>
      <c r="F129" s="74" t="s">
        <v>12</v>
      </c>
      <c r="G129" s="4">
        <f t="shared" si="3"/>
        <v>0.38</v>
      </c>
    </row>
    <row r="130" spans="1:7" ht="15.75" thickBot="1" x14ac:dyDescent="0.3">
      <c r="A130" s="29">
        <v>5</v>
      </c>
      <c r="B130" s="31" t="s">
        <v>140</v>
      </c>
      <c r="C130" s="38">
        <v>1.6</v>
      </c>
      <c r="D130" s="40" t="s">
        <v>12</v>
      </c>
      <c r="E130" s="43">
        <f t="shared" si="2"/>
        <v>1.6</v>
      </c>
      <c r="F130" s="74" t="s">
        <v>17</v>
      </c>
      <c r="G130" s="4">
        <f t="shared" si="3"/>
        <v>0.23</v>
      </c>
    </row>
    <row r="131" spans="1:7" ht="15.75" thickBot="1" x14ac:dyDescent="0.3">
      <c r="A131" s="29">
        <v>5</v>
      </c>
      <c r="B131" s="32" t="s">
        <v>141</v>
      </c>
      <c r="C131" s="38">
        <v>1.55</v>
      </c>
      <c r="D131" s="40" t="s">
        <v>9</v>
      </c>
      <c r="E131" s="43">
        <f t="shared" si="2"/>
        <v>1.55</v>
      </c>
      <c r="F131" s="74" t="s">
        <v>17</v>
      </c>
      <c r="G131" s="4">
        <f t="shared" si="3"/>
        <v>0.23</v>
      </c>
    </row>
    <row r="132" spans="1:7" ht="15.75" thickBot="1" x14ac:dyDescent="0.3">
      <c r="A132" s="29">
        <v>6</v>
      </c>
      <c r="B132" s="31" t="s">
        <v>142</v>
      </c>
      <c r="C132" s="38">
        <v>1.5</v>
      </c>
      <c r="D132" s="40" t="s">
        <v>12</v>
      </c>
      <c r="E132" s="43">
        <f t="shared" ref="E132:E195" si="4">IF(C132="",INDEX($N$8:$U$8,1,MATCH(D132,$N$7:$U$7,0)),C132)</f>
        <v>1.5</v>
      </c>
      <c r="F132" s="75" t="s">
        <v>17</v>
      </c>
      <c r="G132" s="4">
        <f t="shared" si="3"/>
        <v>0.23</v>
      </c>
    </row>
    <row r="133" spans="1:7" ht="15.75" thickBot="1" x14ac:dyDescent="0.3">
      <c r="A133" s="29">
        <v>1</v>
      </c>
      <c r="B133" s="31" t="s">
        <v>143</v>
      </c>
      <c r="C133" s="38">
        <v>1.6</v>
      </c>
      <c r="D133" s="40" t="s">
        <v>12</v>
      </c>
      <c r="E133" s="43">
        <f t="shared" si="4"/>
        <v>1.6</v>
      </c>
      <c r="F133" s="75" t="s">
        <v>17</v>
      </c>
      <c r="G133" s="4">
        <f t="shared" ref="G133:G196" si="5">INDEX($N$11:$U$11,1,MATCH(F133,$N$10:$U$10,0))</f>
        <v>0.23</v>
      </c>
    </row>
    <row r="134" spans="1:7" ht="15.75" thickBot="1" x14ac:dyDescent="0.3">
      <c r="A134" s="29">
        <v>3</v>
      </c>
      <c r="B134" s="31" t="s">
        <v>144</v>
      </c>
      <c r="C134" s="38">
        <v>2.6</v>
      </c>
      <c r="D134" s="40" t="s">
        <v>8</v>
      </c>
      <c r="E134" s="43">
        <f t="shared" si="4"/>
        <v>2.6</v>
      </c>
      <c r="F134" s="74" t="s">
        <v>17</v>
      </c>
      <c r="G134" s="4">
        <f t="shared" si="5"/>
        <v>0.23</v>
      </c>
    </row>
    <row r="135" spans="1:7" ht="15.75" thickBot="1" x14ac:dyDescent="0.3">
      <c r="A135" s="29">
        <v>5</v>
      </c>
      <c r="B135" s="31" t="s">
        <v>145</v>
      </c>
      <c r="C135" s="38">
        <v>0.95</v>
      </c>
      <c r="D135" s="40" t="s">
        <v>10</v>
      </c>
      <c r="E135" s="43">
        <f t="shared" si="4"/>
        <v>0.95</v>
      </c>
      <c r="F135" s="75" t="s">
        <v>9</v>
      </c>
      <c r="G135" s="4">
        <f t="shared" si="5"/>
        <v>0.48</v>
      </c>
    </row>
    <row r="136" spans="1:7" ht="15.75" thickBot="1" x14ac:dyDescent="0.3">
      <c r="A136" s="29">
        <v>2</v>
      </c>
      <c r="B136" s="31" t="s">
        <v>146</v>
      </c>
      <c r="C136" s="38">
        <v>1.55</v>
      </c>
      <c r="D136" s="40" t="s">
        <v>12</v>
      </c>
      <c r="E136" s="43">
        <f t="shared" si="4"/>
        <v>1.55</v>
      </c>
      <c r="F136" s="75" t="s">
        <v>10</v>
      </c>
      <c r="G136" s="4">
        <f t="shared" si="5"/>
        <v>0.3</v>
      </c>
    </row>
    <row r="137" spans="1:7" ht="15.75" thickBot="1" x14ac:dyDescent="0.3">
      <c r="A137" s="29">
        <v>4</v>
      </c>
      <c r="B137" s="31" t="s">
        <v>147</v>
      </c>
      <c r="C137" s="38">
        <v>2.2000000000000002</v>
      </c>
      <c r="D137" s="40" t="s">
        <v>657</v>
      </c>
      <c r="E137" s="43">
        <f t="shared" si="4"/>
        <v>2.2000000000000002</v>
      </c>
      <c r="F137" s="75" t="s">
        <v>12</v>
      </c>
      <c r="G137" s="4">
        <f t="shared" si="5"/>
        <v>0.38</v>
      </c>
    </row>
    <row r="138" spans="1:7" ht="15.75" thickBot="1" x14ac:dyDescent="0.3">
      <c r="A138" s="29">
        <v>5</v>
      </c>
      <c r="B138" s="31" t="s">
        <v>148</v>
      </c>
      <c r="C138" s="38">
        <v>1.8</v>
      </c>
      <c r="D138" s="40" t="s">
        <v>9</v>
      </c>
      <c r="E138" s="43">
        <f t="shared" si="4"/>
        <v>1.8</v>
      </c>
      <c r="F138" s="75" t="s">
        <v>17</v>
      </c>
      <c r="G138" s="4">
        <f t="shared" si="5"/>
        <v>0.23</v>
      </c>
    </row>
    <row r="139" spans="1:7" ht="15.75" thickBot="1" x14ac:dyDescent="0.3">
      <c r="A139" s="29">
        <v>3</v>
      </c>
      <c r="B139" s="32" t="s">
        <v>149</v>
      </c>
      <c r="C139" s="38">
        <v>1.55</v>
      </c>
      <c r="D139" s="40" t="s">
        <v>12</v>
      </c>
      <c r="E139" s="43">
        <f t="shared" si="4"/>
        <v>1.55</v>
      </c>
      <c r="F139" s="40" t="s">
        <v>12</v>
      </c>
      <c r="G139" s="4">
        <f t="shared" si="5"/>
        <v>0.38</v>
      </c>
    </row>
    <row r="140" spans="1:7" ht="15.75" thickBot="1" x14ac:dyDescent="0.3">
      <c r="A140" s="29">
        <v>1</v>
      </c>
      <c r="B140" s="31" t="s">
        <v>150</v>
      </c>
      <c r="C140" s="38">
        <v>2.4500000000000002</v>
      </c>
      <c r="D140" s="40" t="s">
        <v>8</v>
      </c>
      <c r="E140" s="43">
        <f t="shared" si="4"/>
        <v>2.4500000000000002</v>
      </c>
      <c r="F140" s="40" t="s">
        <v>17</v>
      </c>
      <c r="G140" s="4">
        <f t="shared" si="5"/>
        <v>0.23</v>
      </c>
    </row>
    <row r="141" spans="1:7" ht="15.75" thickBot="1" x14ac:dyDescent="0.3">
      <c r="A141" s="29">
        <v>5</v>
      </c>
      <c r="B141" s="31" t="s">
        <v>151</v>
      </c>
      <c r="C141" s="38">
        <v>0.85</v>
      </c>
      <c r="D141" s="40" t="s">
        <v>10</v>
      </c>
      <c r="E141" s="43">
        <f t="shared" si="4"/>
        <v>0.85</v>
      </c>
      <c r="F141" s="40" t="s">
        <v>12</v>
      </c>
      <c r="G141" s="4">
        <f t="shared" si="5"/>
        <v>0.38</v>
      </c>
    </row>
    <row r="142" spans="1:7" ht="15.75" thickBot="1" x14ac:dyDescent="0.3">
      <c r="A142" s="29">
        <v>2</v>
      </c>
      <c r="B142" s="31" t="s">
        <v>152</v>
      </c>
      <c r="C142" s="38">
        <v>1.4</v>
      </c>
      <c r="D142" s="40" t="s">
        <v>12</v>
      </c>
      <c r="E142" s="43">
        <f t="shared" si="4"/>
        <v>1.4</v>
      </c>
      <c r="F142" s="40" t="s">
        <v>10</v>
      </c>
      <c r="G142" s="4">
        <f t="shared" si="5"/>
        <v>0.3</v>
      </c>
    </row>
    <row r="143" spans="1:7" ht="15.75" thickBot="1" x14ac:dyDescent="0.3">
      <c r="A143" s="29">
        <v>1</v>
      </c>
      <c r="B143" s="31" t="s">
        <v>153</v>
      </c>
      <c r="C143" s="38">
        <v>1.6</v>
      </c>
      <c r="D143" s="40" t="s">
        <v>12</v>
      </c>
      <c r="E143" s="43">
        <f t="shared" si="4"/>
        <v>1.6</v>
      </c>
      <c r="F143" s="40" t="s">
        <v>17</v>
      </c>
      <c r="G143" s="4">
        <f t="shared" si="5"/>
        <v>0.23</v>
      </c>
    </row>
    <row r="144" spans="1:7" ht="15.75" thickBot="1" x14ac:dyDescent="0.3">
      <c r="A144" s="29">
        <v>1</v>
      </c>
      <c r="B144" s="32" t="s">
        <v>154</v>
      </c>
      <c r="C144" s="38">
        <v>1.55</v>
      </c>
      <c r="D144" s="40" t="s">
        <v>9</v>
      </c>
      <c r="E144" s="43">
        <f t="shared" si="4"/>
        <v>1.55</v>
      </c>
      <c r="F144" s="40" t="s">
        <v>17</v>
      </c>
      <c r="G144" s="4">
        <f t="shared" si="5"/>
        <v>0.23</v>
      </c>
    </row>
    <row r="145" spans="1:7" ht="15.75" thickBot="1" x14ac:dyDescent="0.3">
      <c r="A145" s="29">
        <v>4</v>
      </c>
      <c r="B145" s="31" t="s">
        <v>155</v>
      </c>
      <c r="C145" s="38">
        <v>1.65</v>
      </c>
      <c r="D145" s="40" t="s">
        <v>9</v>
      </c>
      <c r="E145" s="43">
        <f t="shared" si="4"/>
        <v>1.65</v>
      </c>
      <c r="F145" s="40" t="s">
        <v>12</v>
      </c>
      <c r="G145" s="4">
        <f t="shared" si="5"/>
        <v>0.38</v>
      </c>
    </row>
    <row r="146" spans="1:7" ht="15.75" thickBot="1" x14ac:dyDescent="0.3">
      <c r="A146" s="29">
        <v>2</v>
      </c>
      <c r="B146" s="31" t="s">
        <v>156</v>
      </c>
      <c r="C146" s="38">
        <v>2.15</v>
      </c>
      <c r="D146" s="40" t="s">
        <v>9</v>
      </c>
      <c r="E146" s="43">
        <f t="shared" si="4"/>
        <v>2.15</v>
      </c>
      <c r="F146" s="40" t="s">
        <v>12</v>
      </c>
      <c r="G146" s="4">
        <f t="shared" si="5"/>
        <v>0.38</v>
      </c>
    </row>
    <row r="147" spans="1:7" ht="15.75" thickBot="1" x14ac:dyDescent="0.3">
      <c r="A147" s="29">
        <v>2</v>
      </c>
      <c r="B147" s="31" t="s">
        <v>157</v>
      </c>
      <c r="C147" s="38">
        <v>1.5</v>
      </c>
      <c r="D147" s="40" t="s">
        <v>12</v>
      </c>
      <c r="E147" s="43">
        <f t="shared" si="4"/>
        <v>1.5</v>
      </c>
      <c r="F147" s="40" t="s">
        <v>17</v>
      </c>
      <c r="G147" s="4">
        <f t="shared" si="5"/>
        <v>0.23</v>
      </c>
    </row>
    <row r="148" spans="1:7" ht="15.75" thickBot="1" x14ac:dyDescent="0.3">
      <c r="A148" s="29">
        <v>2</v>
      </c>
      <c r="B148" s="31" t="s">
        <v>158</v>
      </c>
      <c r="C148" s="38">
        <v>1.6</v>
      </c>
      <c r="D148" s="40" t="s">
        <v>12</v>
      </c>
      <c r="E148" s="43">
        <f t="shared" si="4"/>
        <v>1.6</v>
      </c>
      <c r="F148" s="40" t="s">
        <v>17</v>
      </c>
      <c r="G148" s="4">
        <f t="shared" si="5"/>
        <v>0.23</v>
      </c>
    </row>
    <row r="149" spans="1:7" ht="15.75" thickBot="1" x14ac:dyDescent="0.3">
      <c r="A149" s="29">
        <v>1</v>
      </c>
      <c r="B149" s="32" t="s">
        <v>159</v>
      </c>
      <c r="C149" s="38">
        <v>0.45</v>
      </c>
      <c r="D149" s="40" t="s">
        <v>10</v>
      </c>
      <c r="E149" s="43">
        <f t="shared" si="4"/>
        <v>0.45</v>
      </c>
      <c r="F149" s="40" t="s">
        <v>12</v>
      </c>
      <c r="G149" s="4">
        <f t="shared" si="5"/>
        <v>0.38</v>
      </c>
    </row>
    <row r="150" spans="1:7" ht="15.75" thickBot="1" x14ac:dyDescent="0.3">
      <c r="A150" s="29">
        <v>1</v>
      </c>
      <c r="B150" s="32" t="s">
        <v>160</v>
      </c>
      <c r="C150" s="38">
        <v>1.4</v>
      </c>
      <c r="D150" s="40" t="s">
        <v>9</v>
      </c>
      <c r="E150" s="43">
        <f t="shared" si="4"/>
        <v>1.4</v>
      </c>
      <c r="F150" s="40" t="s">
        <v>10</v>
      </c>
      <c r="G150" s="4">
        <f t="shared" si="5"/>
        <v>0.3</v>
      </c>
    </row>
    <row r="151" spans="1:7" ht="15.75" thickBot="1" x14ac:dyDescent="0.3">
      <c r="A151" s="29">
        <v>1</v>
      </c>
      <c r="B151" s="31" t="s">
        <v>161</v>
      </c>
      <c r="C151" s="38">
        <v>0.7</v>
      </c>
      <c r="D151" s="40" t="s">
        <v>10</v>
      </c>
      <c r="E151" s="43">
        <f t="shared" si="4"/>
        <v>0.7</v>
      </c>
      <c r="F151" s="75" t="s">
        <v>12</v>
      </c>
      <c r="G151" s="4">
        <f t="shared" si="5"/>
        <v>0.38</v>
      </c>
    </row>
    <row r="152" spans="1:7" ht="15.75" thickBot="1" x14ac:dyDescent="0.3">
      <c r="A152" s="29">
        <v>4</v>
      </c>
      <c r="B152" s="31" t="s">
        <v>162</v>
      </c>
      <c r="C152" s="38">
        <v>1.25</v>
      </c>
      <c r="D152" s="40" t="s">
        <v>12</v>
      </c>
      <c r="E152" s="43">
        <f t="shared" si="4"/>
        <v>1.25</v>
      </c>
      <c r="F152" s="74" t="s">
        <v>17</v>
      </c>
      <c r="G152" s="4">
        <f t="shared" si="5"/>
        <v>0.23</v>
      </c>
    </row>
    <row r="153" spans="1:7" ht="15.75" thickBot="1" x14ac:dyDescent="0.3">
      <c r="A153" s="29">
        <v>5</v>
      </c>
      <c r="B153" s="31" t="s">
        <v>163</v>
      </c>
      <c r="C153" s="38">
        <v>2.4500000000000002</v>
      </c>
      <c r="D153" s="40" t="s">
        <v>8</v>
      </c>
      <c r="E153" s="43">
        <f t="shared" si="4"/>
        <v>2.4500000000000002</v>
      </c>
      <c r="F153" s="75" t="s">
        <v>10</v>
      </c>
      <c r="G153" s="4">
        <f t="shared" si="5"/>
        <v>0.3</v>
      </c>
    </row>
    <row r="154" spans="1:7" ht="15.75" thickBot="1" x14ac:dyDescent="0.3">
      <c r="A154" s="29">
        <v>2</v>
      </c>
      <c r="B154" s="31" t="s">
        <v>164</v>
      </c>
      <c r="C154" s="38">
        <v>2.15</v>
      </c>
      <c r="D154" s="40" t="s">
        <v>8</v>
      </c>
      <c r="E154" s="43">
        <f t="shared" si="4"/>
        <v>2.15</v>
      </c>
      <c r="F154" s="75" t="s">
        <v>17</v>
      </c>
      <c r="G154" s="4">
        <f t="shared" si="5"/>
        <v>0.23</v>
      </c>
    </row>
    <row r="155" spans="1:7" ht="15.75" thickBot="1" x14ac:dyDescent="0.3">
      <c r="A155" s="29">
        <v>2</v>
      </c>
      <c r="B155" s="31" t="s">
        <v>165</v>
      </c>
      <c r="C155" s="38">
        <v>1.1000000000000001</v>
      </c>
      <c r="D155" s="40" t="s">
        <v>10</v>
      </c>
      <c r="E155" s="43">
        <f t="shared" si="4"/>
        <v>1.1000000000000001</v>
      </c>
      <c r="F155" s="75" t="s">
        <v>12</v>
      </c>
      <c r="G155" s="4">
        <f t="shared" si="5"/>
        <v>0.38</v>
      </c>
    </row>
    <row r="156" spans="1:7" ht="15.75" thickBot="1" x14ac:dyDescent="0.3">
      <c r="A156" s="29">
        <v>6</v>
      </c>
      <c r="B156" s="31" t="s">
        <v>166</v>
      </c>
      <c r="C156" s="38">
        <v>1.95</v>
      </c>
      <c r="D156" s="40" t="s">
        <v>9</v>
      </c>
      <c r="E156" s="43">
        <f t="shared" si="4"/>
        <v>1.95</v>
      </c>
      <c r="F156" s="74" t="s">
        <v>17</v>
      </c>
      <c r="G156" s="4">
        <f t="shared" si="5"/>
        <v>0.23</v>
      </c>
    </row>
    <row r="157" spans="1:7" ht="15.75" thickBot="1" x14ac:dyDescent="0.3">
      <c r="A157" s="29">
        <v>3</v>
      </c>
      <c r="B157" s="31" t="s">
        <v>167</v>
      </c>
      <c r="C157" s="38">
        <v>0.65</v>
      </c>
      <c r="D157" s="75" t="s">
        <v>17</v>
      </c>
      <c r="E157" s="43">
        <f t="shared" si="4"/>
        <v>0.65</v>
      </c>
      <c r="F157" s="74" t="s">
        <v>9</v>
      </c>
      <c r="G157" s="4">
        <f t="shared" si="5"/>
        <v>0.48</v>
      </c>
    </row>
    <row r="158" spans="1:7" ht="15.75" thickBot="1" x14ac:dyDescent="0.3">
      <c r="A158" s="29">
        <v>4</v>
      </c>
      <c r="B158" s="32" t="s">
        <v>168</v>
      </c>
      <c r="C158" s="38">
        <v>1.85</v>
      </c>
      <c r="D158" s="40" t="s">
        <v>8</v>
      </c>
      <c r="E158" s="43">
        <f t="shared" si="4"/>
        <v>1.85</v>
      </c>
      <c r="F158" s="74" t="s">
        <v>17</v>
      </c>
      <c r="G158" s="4">
        <f t="shared" si="5"/>
        <v>0.23</v>
      </c>
    </row>
    <row r="159" spans="1:7" ht="15.75" thickBot="1" x14ac:dyDescent="0.3">
      <c r="A159" s="29">
        <v>2</v>
      </c>
      <c r="B159" s="31" t="s">
        <v>169</v>
      </c>
      <c r="C159" s="38">
        <v>1.95</v>
      </c>
      <c r="D159" s="40" t="s">
        <v>9</v>
      </c>
      <c r="E159" s="43">
        <f t="shared" si="4"/>
        <v>1.95</v>
      </c>
      <c r="F159" s="75" t="s">
        <v>17</v>
      </c>
      <c r="G159" s="4">
        <f t="shared" si="5"/>
        <v>0.23</v>
      </c>
    </row>
    <row r="160" spans="1:7" ht="15.75" thickBot="1" x14ac:dyDescent="0.3">
      <c r="A160" s="29">
        <v>5</v>
      </c>
      <c r="B160" s="31" t="s">
        <v>170</v>
      </c>
      <c r="C160" s="38">
        <f>1.2</f>
        <v>1.2</v>
      </c>
      <c r="D160" s="40" t="s">
        <v>12</v>
      </c>
      <c r="E160" s="43">
        <f t="shared" si="4"/>
        <v>1.2</v>
      </c>
      <c r="F160" s="75" t="s">
        <v>10</v>
      </c>
      <c r="G160" s="4">
        <f t="shared" si="5"/>
        <v>0.3</v>
      </c>
    </row>
    <row r="161" spans="1:7" ht="15.75" thickBot="1" x14ac:dyDescent="0.3">
      <c r="A161" s="29">
        <v>2</v>
      </c>
      <c r="B161" s="31" t="s">
        <v>171</v>
      </c>
      <c r="C161" s="38">
        <v>1.85</v>
      </c>
      <c r="D161" s="40" t="s">
        <v>9</v>
      </c>
      <c r="E161" s="43">
        <f t="shared" si="4"/>
        <v>1.85</v>
      </c>
      <c r="F161" s="75" t="s">
        <v>17</v>
      </c>
      <c r="G161" s="4">
        <f t="shared" si="5"/>
        <v>0.23</v>
      </c>
    </row>
    <row r="162" spans="1:7" ht="15.75" thickBot="1" x14ac:dyDescent="0.3">
      <c r="A162" s="29">
        <v>1</v>
      </c>
      <c r="B162" s="32" t="s">
        <v>172</v>
      </c>
      <c r="C162" s="38">
        <v>0.6</v>
      </c>
      <c r="D162" s="40" t="s">
        <v>10</v>
      </c>
      <c r="E162" s="43">
        <f t="shared" si="4"/>
        <v>0.6</v>
      </c>
      <c r="F162" s="74" t="s">
        <v>9</v>
      </c>
      <c r="G162" s="4">
        <f t="shared" si="5"/>
        <v>0.48</v>
      </c>
    </row>
    <row r="163" spans="1:7" ht="15.75" thickBot="1" x14ac:dyDescent="0.3">
      <c r="A163" s="29">
        <v>1</v>
      </c>
      <c r="B163" s="31" t="s">
        <v>173</v>
      </c>
      <c r="C163" s="38">
        <v>0.4</v>
      </c>
      <c r="D163" s="40" t="s">
        <v>17</v>
      </c>
      <c r="E163" s="43">
        <f t="shared" si="4"/>
        <v>0.4</v>
      </c>
      <c r="F163" s="75" t="s">
        <v>10</v>
      </c>
      <c r="G163" s="4">
        <f t="shared" si="5"/>
        <v>0.3</v>
      </c>
    </row>
    <row r="164" spans="1:7" ht="15.75" thickBot="1" x14ac:dyDescent="0.3">
      <c r="A164" s="29">
        <v>6</v>
      </c>
      <c r="B164" s="31" t="s">
        <v>174</v>
      </c>
      <c r="C164" s="38">
        <v>0.8</v>
      </c>
      <c r="D164" s="40" t="s">
        <v>10</v>
      </c>
      <c r="E164" s="43">
        <f t="shared" si="4"/>
        <v>0.8</v>
      </c>
      <c r="F164" s="74" t="s">
        <v>12</v>
      </c>
      <c r="G164" s="4">
        <f t="shared" si="5"/>
        <v>0.38</v>
      </c>
    </row>
    <row r="165" spans="1:7" ht="15.75" thickBot="1" x14ac:dyDescent="0.3">
      <c r="A165" s="29">
        <v>1</v>
      </c>
      <c r="B165" s="31" t="s">
        <v>175</v>
      </c>
      <c r="C165" s="38">
        <v>0.7</v>
      </c>
      <c r="D165" s="40" t="s">
        <v>10</v>
      </c>
      <c r="E165" s="43">
        <f t="shared" si="4"/>
        <v>0.7</v>
      </c>
      <c r="F165" s="75" t="s">
        <v>12</v>
      </c>
      <c r="G165" s="4">
        <f t="shared" si="5"/>
        <v>0.38</v>
      </c>
    </row>
    <row r="166" spans="1:7" ht="15.75" thickBot="1" x14ac:dyDescent="0.3">
      <c r="A166" s="29">
        <v>2</v>
      </c>
      <c r="B166" s="31" t="s">
        <v>176</v>
      </c>
      <c r="C166" s="38">
        <v>1.4</v>
      </c>
      <c r="D166" s="40" t="s">
        <v>12</v>
      </c>
      <c r="E166" s="43">
        <f t="shared" si="4"/>
        <v>1.4</v>
      </c>
      <c r="F166" s="75" t="s">
        <v>12</v>
      </c>
      <c r="G166" s="4">
        <f t="shared" si="5"/>
        <v>0.38</v>
      </c>
    </row>
    <row r="167" spans="1:7" ht="15.75" thickBot="1" x14ac:dyDescent="0.3">
      <c r="A167" s="29">
        <v>1</v>
      </c>
      <c r="B167" s="31" t="s">
        <v>177</v>
      </c>
      <c r="C167" s="38">
        <v>3.85</v>
      </c>
      <c r="D167" s="40" t="s">
        <v>87</v>
      </c>
      <c r="E167" s="43">
        <f t="shared" si="4"/>
        <v>3.85</v>
      </c>
      <c r="F167" s="75" t="s">
        <v>178</v>
      </c>
      <c r="G167" s="4">
        <f t="shared" si="5"/>
        <v>0.73</v>
      </c>
    </row>
    <row r="168" spans="1:7" ht="15.75" thickBot="1" x14ac:dyDescent="0.3">
      <c r="A168" s="29">
        <v>1</v>
      </c>
      <c r="B168" s="31" t="s">
        <v>179</v>
      </c>
      <c r="C168" s="38">
        <v>0.7</v>
      </c>
      <c r="D168" s="40" t="s">
        <v>10</v>
      </c>
      <c r="E168" s="43">
        <f t="shared" si="4"/>
        <v>0.7</v>
      </c>
      <c r="F168" s="75" t="s">
        <v>17</v>
      </c>
      <c r="G168" s="4">
        <f t="shared" si="5"/>
        <v>0.23</v>
      </c>
    </row>
    <row r="169" spans="1:7" ht="15.75" thickBot="1" x14ac:dyDescent="0.3">
      <c r="A169" s="29">
        <v>2</v>
      </c>
      <c r="B169" s="32" t="s">
        <v>180</v>
      </c>
      <c r="C169" s="38">
        <v>0.5</v>
      </c>
      <c r="D169" s="40" t="s">
        <v>10</v>
      </c>
      <c r="E169" s="43">
        <f t="shared" si="4"/>
        <v>0.5</v>
      </c>
      <c r="F169" s="74" t="s">
        <v>12</v>
      </c>
      <c r="G169" s="4">
        <f t="shared" si="5"/>
        <v>0.38</v>
      </c>
    </row>
    <row r="170" spans="1:7" ht="15.75" thickBot="1" x14ac:dyDescent="0.3">
      <c r="A170" s="29">
        <v>2</v>
      </c>
      <c r="B170" s="31" t="s">
        <v>181</v>
      </c>
      <c r="C170" s="38">
        <v>1.8</v>
      </c>
      <c r="D170" s="40" t="s">
        <v>9</v>
      </c>
      <c r="E170" s="43">
        <f t="shared" si="4"/>
        <v>1.8</v>
      </c>
      <c r="F170" s="75" t="s">
        <v>17</v>
      </c>
      <c r="G170" s="4">
        <f t="shared" si="5"/>
        <v>0.23</v>
      </c>
    </row>
    <row r="171" spans="1:7" ht="15.75" thickBot="1" x14ac:dyDescent="0.3">
      <c r="B171" s="33" t="s">
        <v>223</v>
      </c>
      <c r="D171" s="40" t="s">
        <v>12</v>
      </c>
      <c r="E171" s="43">
        <f t="shared" si="4"/>
        <v>1.5</v>
      </c>
      <c r="F171" s="75" t="s">
        <v>10</v>
      </c>
      <c r="G171" s="4">
        <f t="shared" si="5"/>
        <v>0.3</v>
      </c>
    </row>
    <row r="172" spans="1:7" x14ac:dyDescent="0.25">
      <c r="B172" s="33" t="s">
        <v>224</v>
      </c>
      <c r="D172" s="41" t="s">
        <v>9</v>
      </c>
      <c r="E172" s="44">
        <f t="shared" si="4"/>
        <v>2</v>
      </c>
      <c r="F172" s="76" t="s">
        <v>208</v>
      </c>
      <c r="G172" s="19">
        <f t="shared" si="5"/>
        <v>0.17</v>
      </c>
    </row>
    <row r="173" spans="1:7" ht="15.75" thickBot="1" x14ac:dyDescent="0.3">
      <c r="B173" s="33" t="s">
        <v>225</v>
      </c>
      <c r="D173" s="42" t="str">
        <f>D154</f>
        <v>V</v>
      </c>
      <c r="E173" s="44">
        <f t="shared" si="4"/>
        <v>2.5</v>
      </c>
      <c r="F173" s="42" t="s">
        <v>17</v>
      </c>
      <c r="G173" s="19">
        <f t="shared" si="5"/>
        <v>0.23</v>
      </c>
    </row>
    <row r="174" spans="1:7" ht="15.75" thickTop="1" x14ac:dyDescent="0.25">
      <c r="B174" s="34" t="s">
        <v>226</v>
      </c>
      <c r="D174" s="34" t="s">
        <v>122</v>
      </c>
      <c r="E174" s="44">
        <f t="shared" si="4"/>
        <v>4</v>
      </c>
      <c r="F174" s="42" t="s">
        <v>178</v>
      </c>
      <c r="G174" s="19">
        <f t="shared" si="5"/>
        <v>0.73</v>
      </c>
    </row>
    <row r="175" spans="1:7" ht="15.75" thickBot="1" x14ac:dyDescent="0.3">
      <c r="B175" s="33" t="s">
        <v>227</v>
      </c>
      <c r="D175" s="40"/>
      <c r="E175" s="44" t="e">
        <f t="shared" si="4"/>
        <v>#N/A</v>
      </c>
      <c r="G175" s="19" t="e">
        <f t="shared" si="5"/>
        <v>#N/A</v>
      </c>
    </row>
    <row r="176" spans="1:7" x14ac:dyDescent="0.25">
      <c r="B176" s="33" t="s">
        <v>228</v>
      </c>
      <c r="D176" s="41" t="s">
        <v>10</v>
      </c>
      <c r="E176" s="44">
        <f t="shared" si="4"/>
        <v>1</v>
      </c>
      <c r="F176" s="42" t="s">
        <v>17</v>
      </c>
      <c r="G176" s="19">
        <f t="shared" si="5"/>
        <v>0.23</v>
      </c>
    </row>
    <row r="177" spans="1:8" x14ac:dyDescent="0.25">
      <c r="B177" s="33" t="s">
        <v>229</v>
      </c>
      <c r="D177" s="41" t="s">
        <v>10</v>
      </c>
      <c r="E177" s="44">
        <f t="shared" si="4"/>
        <v>1</v>
      </c>
      <c r="F177" s="42" t="s">
        <v>12</v>
      </c>
      <c r="G177" s="19">
        <f t="shared" si="5"/>
        <v>0.38</v>
      </c>
    </row>
    <row r="178" spans="1:8" x14ac:dyDescent="0.25">
      <c r="B178" s="33" t="s">
        <v>230</v>
      </c>
      <c r="D178" s="41" t="s">
        <v>9</v>
      </c>
      <c r="E178" s="44">
        <f t="shared" si="4"/>
        <v>2</v>
      </c>
      <c r="F178" s="42" t="s">
        <v>10</v>
      </c>
      <c r="G178" s="19">
        <f t="shared" si="5"/>
        <v>0.3</v>
      </c>
    </row>
    <row r="179" spans="1:8" x14ac:dyDescent="0.25">
      <c r="B179" s="33" t="s">
        <v>231</v>
      </c>
      <c r="D179" s="42" t="str">
        <f>D171</f>
        <v>III</v>
      </c>
      <c r="E179" s="44">
        <f t="shared" si="4"/>
        <v>1.5</v>
      </c>
      <c r="F179" s="42" t="s">
        <v>17</v>
      </c>
      <c r="G179" s="19">
        <f t="shared" si="5"/>
        <v>0.23</v>
      </c>
    </row>
    <row r="180" spans="1:8" x14ac:dyDescent="0.25">
      <c r="B180" s="33" t="s">
        <v>232</v>
      </c>
      <c r="D180" s="41" t="s">
        <v>12</v>
      </c>
      <c r="E180" s="44">
        <f t="shared" si="4"/>
        <v>1.5</v>
      </c>
      <c r="F180" s="42" t="s">
        <v>17</v>
      </c>
      <c r="G180" s="19">
        <f t="shared" si="5"/>
        <v>0.23</v>
      </c>
    </row>
    <row r="181" spans="1:8" x14ac:dyDescent="0.25">
      <c r="B181" s="35" t="s">
        <v>233</v>
      </c>
      <c r="D181" s="41" t="s">
        <v>10</v>
      </c>
      <c r="E181" s="44">
        <f t="shared" si="4"/>
        <v>1</v>
      </c>
      <c r="F181" s="42" t="s">
        <v>12</v>
      </c>
      <c r="G181" s="19">
        <f t="shared" si="5"/>
        <v>0.38</v>
      </c>
    </row>
    <row r="182" spans="1:8" x14ac:dyDescent="0.25">
      <c r="B182" s="33" t="s">
        <v>234</v>
      </c>
      <c r="D182" s="41" t="s">
        <v>8</v>
      </c>
      <c r="E182" s="44">
        <f t="shared" si="4"/>
        <v>2.5</v>
      </c>
      <c r="F182" s="42" t="s">
        <v>10</v>
      </c>
      <c r="G182" s="19">
        <f t="shared" si="5"/>
        <v>0.3</v>
      </c>
      <c r="H182" t="s">
        <v>235</v>
      </c>
    </row>
    <row r="183" spans="1:8" x14ac:dyDescent="0.25">
      <c r="B183" s="33" t="s">
        <v>236</v>
      </c>
      <c r="D183" s="42" t="s">
        <v>10</v>
      </c>
      <c r="E183" s="44">
        <f t="shared" si="4"/>
        <v>1</v>
      </c>
      <c r="F183" s="42" t="s">
        <v>17</v>
      </c>
      <c r="G183" s="19">
        <f t="shared" si="5"/>
        <v>0.23</v>
      </c>
      <c r="H183" t="s">
        <v>237</v>
      </c>
    </row>
    <row r="184" spans="1:8" x14ac:dyDescent="0.25">
      <c r="B184" s="33" t="s">
        <v>238</v>
      </c>
      <c r="D184" s="42" t="s">
        <v>17</v>
      </c>
      <c r="E184" s="44">
        <f t="shared" si="4"/>
        <v>0.5</v>
      </c>
      <c r="F184" s="42" t="str">
        <f>F178</f>
        <v>II</v>
      </c>
      <c r="G184" s="19">
        <f t="shared" si="5"/>
        <v>0.3</v>
      </c>
    </row>
    <row r="185" spans="1:8" x14ac:dyDescent="0.25">
      <c r="A185" s="27" t="s">
        <v>658</v>
      </c>
      <c r="B185" s="77" t="s">
        <v>239</v>
      </c>
      <c r="C185" s="49"/>
      <c r="D185" s="78" t="s">
        <v>12</v>
      </c>
      <c r="E185" s="79">
        <f t="shared" si="4"/>
        <v>1.5</v>
      </c>
      <c r="F185" s="50" t="s">
        <v>12</v>
      </c>
      <c r="G185" s="51">
        <f t="shared" si="5"/>
        <v>0.38</v>
      </c>
    </row>
    <row r="186" spans="1:8" x14ac:dyDescent="0.25">
      <c r="B186" s="33" t="s">
        <v>243</v>
      </c>
      <c r="D186" s="41" t="s">
        <v>9</v>
      </c>
      <c r="E186" s="44">
        <f t="shared" si="4"/>
        <v>2</v>
      </c>
      <c r="F186" s="42" t="s">
        <v>17</v>
      </c>
      <c r="G186" s="19">
        <f t="shared" si="5"/>
        <v>0.23</v>
      </c>
    </row>
    <row r="187" spans="1:8" x14ac:dyDescent="0.25">
      <c r="B187" s="33" t="s">
        <v>240</v>
      </c>
      <c r="D187" s="42" t="s">
        <v>9</v>
      </c>
      <c r="E187" s="44">
        <f t="shared" si="4"/>
        <v>2</v>
      </c>
      <c r="F187" s="42" t="s">
        <v>17</v>
      </c>
      <c r="G187" s="19">
        <f t="shared" si="5"/>
        <v>0.23</v>
      </c>
    </row>
    <row r="188" spans="1:8" x14ac:dyDescent="0.25">
      <c r="B188" s="33" t="s">
        <v>241</v>
      </c>
      <c r="D188" s="42" t="str">
        <f>D181</f>
        <v>II</v>
      </c>
      <c r="E188" s="44">
        <f t="shared" si="4"/>
        <v>1</v>
      </c>
      <c r="F188" s="42" t="str">
        <f>F185</f>
        <v>III</v>
      </c>
      <c r="G188" s="19">
        <f t="shared" si="5"/>
        <v>0.38</v>
      </c>
      <c r="H188" t="s">
        <v>242</v>
      </c>
    </row>
    <row r="189" spans="1:8" x14ac:dyDescent="0.25">
      <c r="B189" s="33" t="s">
        <v>182</v>
      </c>
      <c r="D189" s="42" t="str">
        <f>D185</f>
        <v>III</v>
      </c>
      <c r="E189" s="44">
        <f t="shared" si="4"/>
        <v>1.5</v>
      </c>
      <c r="F189" s="42" t="str">
        <f>F184</f>
        <v>II</v>
      </c>
      <c r="G189" s="19">
        <f t="shared" si="5"/>
        <v>0.3</v>
      </c>
    </row>
    <row r="190" spans="1:8" x14ac:dyDescent="0.25">
      <c r="B190" s="33" t="s">
        <v>244</v>
      </c>
      <c r="D190" s="42" t="str">
        <f>D188</f>
        <v>II</v>
      </c>
      <c r="E190" s="44">
        <f t="shared" si="4"/>
        <v>1</v>
      </c>
      <c r="F190" s="42" t="str">
        <f>F188</f>
        <v>III</v>
      </c>
      <c r="G190" s="19">
        <f t="shared" si="5"/>
        <v>0.38</v>
      </c>
      <c r="H190" t="s">
        <v>245</v>
      </c>
    </row>
    <row r="191" spans="1:8" x14ac:dyDescent="0.25">
      <c r="B191" s="33" t="s">
        <v>246</v>
      </c>
      <c r="D191" s="42" t="str">
        <f>D189</f>
        <v>III</v>
      </c>
      <c r="E191" s="44">
        <f t="shared" si="4"/>
        <v>1.5</v>
      </c>
      <c r="F191" s="42" t="str">
        <f>F187</f>
        <v>I</v>
      </c>
      <c r="G191" s="19">
        <f t="shared" si="5"/>
        <v>0.23</v>
      </c>
    </row>
    <row r="192" spans="1:8" x14ac:dyDescent="0.25">
      <c r="A192" t="s">
        <v>387</v>
      </c>
      <c r="B192" s="33" t="s">
        <v>247</v>
      </c>
      <c r="D192" s="42" t="s">
        <v>17</v>
      </c>
      <c r="E192" s="44">
        <f t="shared" si="4"/>
        <v>0.5</v>
      </c>
      <c r="F192" s="42" t="s">
        <v>10</v>
      </c>
      <c r="G192" s="19">
        <f t="shared" si="5"/>
        <v>0.3</v>
      </c>
    </row>
    <row r="193" spans="1:8" s="80" customFormat="1" x14ac:dyDescent="0.25">
      <c r="A193" s="81"/>
      <c r="B193" s="33" t="s">
        <v>270</v>
      </c>
      <c r="C193" s="82"/>
      <c r="D193" s="83" t="s">
        <v>8</v>
      </c>
      <c r="E193" s="44">
        <f t="shared" si="4"/>
        <v>2.5</v>
      </c>
      <c r="F193" s="83" t="s">
        <v>9</v>
      </c>
      <c r="G193" s="19">
        <f t="shared" si="5"/>
        <v>0.48</v>
      </c>
      <c r="H193" s="80" t="s">
        <v>235</v>
      </c>
    </row>
    <row r="194" spans="1:8" x14ac:dyDescent="0.25">
      <c r="B194" s="33" t="s">
        <v>248</v>
      </c>
      <c r="D194" s="42" t="str">
        <f>D191</f>
        <v>III</v>
      </c>
      <c r="E194" s="44">
        <f t="shared" si="4"/>
        <v>1.5</v>
      </c>
      <c r="F194" s="42" t="str">
        <f>F191</f>
        <v>I</v>
      </c>
      <c r="G194" s="19">
        <f t="shared" si="5"/>
        <v>0.23</v>
      </c>
    </row>
    <row r="195" spans="1:8" x14ac:dyDescent="0.25">
      <c r="B195" s="33" t="s">
        <v>249</v>
      </c>
      <c r="D195" s="42" t="s">
        <v>17</v>
      </c>
      <c r="E195" s="44">
        <f t="shared" si="4"/>
        <v>0.5</v>
      </c>
      <c r="F195" s="42" t="s">
        <v>10</v>
      </c>
      <c r="G195" s="19">
        <f t="shared" si="5"/>
        <v>0.3</v>
      </c>
    </row>
    <row r="196" spans="1:8" x14ac:dyDescent="0.25">
      <c r="B196" s="33" t="s">
        <v>197</v>
      </c>
      <c r="D196" s="42" t="s">
        <v>12</v>
      </c>
      <c r="E196" s="44">
        <f t="shared" ref="E196:E259" si="6">IF(C196="",INDEX($N$8:$U$8,1,MATCH(D196,$N$7:$U$7,0)),C196)</f>
        <v>1.5</v>
      </c>
      <c r="F196" s="42" t="s">
        <v>17</v>
      </c>
      <c r="G196" s="19">
        <f t="shared" si="5"/>
        <v>0.23</v>
      </c>
    </row>
    <row r="197" spans="1:8" s="80" customFormat="1" x14ac:dyDescent="0.25">
      <c r="A197" s="81"/>
      <c r="B197" s="33" t="s">
        <v>251</v>
      </c>
      <c r="C197" s="82"/>
      <c r="D197" s="83" t="s">
        <v>17</v>
      </c>
      <c r="E197" s="44">
        <f t="shared" si="6"/>
        <v>0.5</v>
      </c>
      <c r="F197" s="83" t="s">
        <v>12</v>
      </c>
      <c r="G197" s="19">
        <f t="shared" ref="G197:G260" si="7">INDEX($N$11:$U$11,1,MATCH(F197,$N$10:$U$10,0))</f>
        <v>0.38</v>
      </c>
    </row>
    <row r="198" spans="1:8" x14ac:dyDescent="0.25">
      <c r="B198" s="33" t="s">
        <v>252</v>
      </c>
      <c r="D198" s="42" t="s">
        <v>9</v>
      </c>
      <c r="E198" s="44">
        <f t="shared" si="6"/>
        <v>2</v>
      </c>
      <c r="F198" s="42" t="s">
        <v>10</v>
      </c>
      <c r="G198" s="19">
        <f t="shared" si="7"/>
        <v>0.3</v>
      </c>
      <c r="H198" t="s">
        <v>351</v>
      </c>
    </row>
    <row r="199" spans="1:8" x14ac:dyDescent="0.25">
      <c r="B199" s="36" t="s">
        <v>253</v>
      </c>
      <c r="D199" s="42" t="s">
        <v>87</v>
      </c>
      <c r="E199" s="44">
        <f t="shared" si="6"/>
        <v>3.5</v>
      </c>
      <c r="F199" s="42" t="s">
        <v>9</v>
      </c>
      <c r="G199" s="19">
        <f t="shared" si="7"/>
        <v>0.48</v>
      </c>
    </row>
    <row r="200" spans="1:8" x14ac:dyDescent="0.25">
      <c r="B200" s="33" t="s">
        <v>254</v>
      </c>
      <c r="C200" s="82"/>
      <c r="D200" s="83" t="s">
        <v>12</v>
      </c>
      <c r="E200" s="44">
        <v>1.5</v>
      </c>
      <c r="F200" s="83" t="s">
        <v>17</v>
      </c>
      <c r="G200" s="19">
        <f t="shared" si="7"/>
        <v>0.23</v>
      </c>
    </row>
    <row r="201" spans="1:8" x14ac:dyDescent="0.25">
      <c r="B201" s="33" t="s">
        <v>255</v>
      </c>
      <c r="D201" s="42" t="s">
        <v>12</v>
      </c>
      <c r="E201" s="44">
        <f t="shared" si="6"/>
        <v>1.5</v>
      </c>
      <c r="F201" s="42" t="s">
        <v>17</v>
      </c>
      <c r="G201" s="19">
        <f t="shared" si="7"/>
        <v>0.23</v>
      </c>
      <c r="H201" t="s">
        <v>256</v>
      </c>
    </row>
    <row r="202" spans="1:8" x14ac:dyDescent="0.25">
      <c r="B202" s="33" t="s">
        <v>250</v>
      </c>
      <c r="D202" s="42" t="s">
        <v>12</v>
      </c>
      <c r="E202" s="44">
        <f t="shared" si="6"/>
        <v>1.5</v>
      </c>
      <c r="F202" s="42" t="s">
        <v>17</v>
      </c>
      <c r="G202" s="19">
        <f t="shared" si="7"/>
        <v>0.23</v>
      </c>
    </row>
    <row r="203" spans="1:8" x14ac:dyDescent="0.25">
      <c r="B203" s="33" t="s">
        <v>257</v>
      </c>
      <c r="D203" s="42" t="s">
        <v>9</v>
      </c>
      <c r="E203" s="44">
        <f t="shared" si="6"/>
        <v>2</v>
      </c>
      <c r="F203" s="42" t="s">
        <v>17</v>
      </c>
      <c r="G203" s="19">
        <f t="shared" si="7"/>
        <v>0.23</v>
      </c>
    </row>
    <row r="204" spans="1:8" x14ac:dyDescent="0.25">
      <c r="A204" s="27" t="s">
        <v>658</v>
      </c>
      <c r="B204" s="77" t="s">
        <v>259</v>
      </c>
      <c r="C204" s="49"/>
      <c r="D204" s="50" t="str">
        <f>D188</f>
        <v>II</v>
      </c>
      <c r="E204" s="79">
        <f t="shared" si="6"/>
        <v>1</v>
      </c>
      <c r="F204" s="50" t="str">
        <f>F197</f>
        <v>III</v>
      </c>
      <c r="G204" s="51">
        <f t="shared" si="7"/>
        <v>0.38</v>
      </c>
      <c r="H204" t="s">
        <v>258</v>
      </c>
    </row>
    <row r="205" spans="1:8" x14ac:dyDescent="0.25">
      <c r="B205" s="33" t="s">
        <v>260</v>
      </c>
      <c r="D205" s="42" t="str">
        <f>D202</f>
        <v>III</v>
      </c>
      <c r="E205" s="44">
        <f t="shared" si="6"/>
        <v>1.5</v>
      </c>
      <c r="F205" s="42" t="str">
        <f>F198</f>
        <v>II</v>
      </c>
      <c r="G205" s="19">
        <f t="shared" si="7"/>
        <v>0.3</v>
      </c>
    </row>
    <row r="206" spans="1:8" x14ac:dyDescent="0.25">
      <c r="B206" s="33" t="s">
        <v>261</v>
      </c>
      <c r="D206" s="42" t="s">
        <v>12</v>
      </c>
      <c r="E206" s="44">
        <f t="shared" si="6"/>
        <v>1.5</v>
      </c>
      <c r="F206" s="42" t="s">
        <v>17</v>
      </c>
      <c r="G206" s="19">
        <f t="shared" si="7"/>
        <v>0.23</v>
      </c>
    </row>
    <row r="207" spans="1:8" x14ac:dyDescent="0.25">
      <c r="A207" s="27" t="s">
        <v>658</v>
      </c>
      <c r="B207" s="77" t="s">
        <v>262</v>
      </c>
      <c r="C207" s="49"/>
      <c r="D207" s="50" t="str">
        <f>D197</f>
        <v>I</v>
      </c>
      <c r="E207" s="79">
        <f t="shared" si="6"/>
        <v>0.5</v>
      </c>
      <c r="F207" s="50" t="str">
        <f>F204</f>
        <v>III</v>
      </c>
      <c r="G207" s="51">
        <f t="shared" si="7"/>
        <v>0.38</v>
      </c>
      <c r="H207" t="s">
        <v>263</v>
      </c>
    </row>
    <row r="208" spans="1:8" x14ac:dyDescent="0.25">
      <c r="B208" s="33" t="s">
        <v>194</v>
      </c>
      <c r="D208" s="42" t="s">
        <v>8</v>
      </c>
      <c r="E208" s="44">
        <f t="shared" si="6"/>
        <v>2.5</v>
      </c>
      <c r="F208" s="42" t="s">
        <v>10</v>
      </c>
      <c r="G208" s="19">
        <f t="shared" si="7"/>
        <v>0.3</v>
      </c>
    </row>
    <row r="209" spans="2:8" x14ac:dyDescent="0.25">
      <c r="B209" s="33" t="s">
        <v>199</v>
      </c>
      <c r="D209" s="42" t="s">
        <v>12</v>
      </c>
      <c r="E209" s="44">
        <f t="shared" si="6"/>
        <v>1.5</v>
      </c>
      <c r="F209" s="42" t="s">
        <v>10</v>
      </c>
      <c r="G209" s="19">
        <f t="shared" si="7"/>
        <v>0.3</v>
      </c>
    </row>
    <row r="210" spans="2:8" x14ac:dyDescent="0.25">
      <c r="B210" s="33" t="s">
        <v>266</v>
      </c>
      <c r="D210" s="42" t="str">
        <f>D199</f>
        <v>VII</v>
      </c>
      <c r="E210" s="44">
        <f t="shared" si="6"/>
        <v>3.5</v>
      </c>
      <c r="F210" s="42" t="str">
        <f>F112</f>
        <v>VII</v>
      </c>
      <c r="G210" s="19">
        <f t="shared" si="7"/>
        <v>0.85</v>
      </c>
    </row>
    <row r="211" spans="2:8" x14ac:dyDescent="0.25">
      <c r="B211" s="33" t="s">
        <v>268</v>
      </c>
      <c r="D211" s="42" t="s">
        <v>12</v>
      </c>
      <c r="E211" s="44">
        <f t="shared" si="6"/>
        <v>1.5</v>
      </c>
      <c r="F211" s="42" t="s">
        <v>17</v>
      </c>
      <c r="G211" s="19">
        <f t="shared" si="7"/>
        <v>0.23</v>
      </c>
      <c r="H211" t="s">
        <v>267</v>
      </c>
    </row>
    <row r="212" spans="2:8" x14ac:dyDescent="0.25">
      <c r="B212" s="33" t="s">
        <v>269</v>
      </c>
      <c r="D212" s="42" t="str">
        <f>D204</f>
        <v>II</v>
      </c>
      <c r="E212" s="44">
        <f t="shared" si="6"/>
        <v>1</v>
      </c>
      <c r="F212" s="42" t="str">
        <f>F207</f>
        <v>III</v>
      </c>
      <c r="G212" s="19">
        <f t="shared" si="7"/>
        <v>0.38</v>
      </c>
    </row>
    <row r="213" spans="2:8" x14ac:dyDescent="0.25">
      <c r="B213" s="33" t="s">
        <v>271</v>
      </c>
      <c r="D213" s="42" t="str">
        <f>D187</f>
        <v>IV</v>
      </c>
      <c r="E213" s="44">
        <f t="shared" si="6"/>
        <v>2</v>
      </c>
      <c r="F213" s="42" t="s">
        <v>17</v>
      </c>
      <c r="G213" s="19">
        <f t="shared" si="7"/>
        <v>0.23</v>
      </c>
    </row>
    <row r="214" spans="2:8" x14ac:dyDescent="0.25">
      <c r="B214" s="33" t="s">
        <v>272</v>
      </c>
      <c r="D214" s="42" t="s">
        <v>12</v>
      </c>
      <c r="E214" s="44">
        <f t="shared" si="6"/>
        <v>1.5</v>
      </c>
      <c r="F214" s="42" t="s">
        <v>10</v>
      </c>
      <c r="G214" s="19">
        <f t="shared" si="7"/>
        <v>0.3</v>
      </c>
    </row>
    <row r="215" spans="2:8" x14ac:dyDescent="0.25">
      <c r="B215" s="33" t="s">
        <v>273</v>
      </c>
      <c r="D215" s="42" t="s">
        <v>12</v>
      </c>
      <c r="E215" s="44">
        <f t="shared" si="6"/>
        <v>1.5</v>
      </c>
      <c r="F215" s="42" t="s">
        <v>10</v>
      </c>
      <c r="G215" s="19">
        <f t="shared" si="7"/>
        <v>0.3</v>
      </c>
    </row>
    <row r="216" spans="2:8" x14ac:dyDescent="0.25">
      <c r="B216" s="33" t="s">
        <v>274</v>
      </c>
      <c r="D216" s="42" t="str">
        <f>D215</f>
        <v>III</v>
      </c>
      <c r="E216" s="44">
        <f t="shared" si="6"/>
        <v>1.5</v>
      </c>
      <c r="F216" s="42" t="str">
        <f>F215</f>
        <v>II</v>
      </c>
      <c r="G216" s="19">
        <f t="shared" si="7"/>
        <v>0.3</v>
      </c>
    </row>
    <row r="217" spans="2:8" x14ac:dyDescent="0.25">
      <c r="B217" s="33" t="s">
        <v>275</v>
      </c>
      <c r="D217" s="42" t="str">
        <f>D216</f>
        <v>III</v>
      </c>
      <c r="E217" s="44">
        <f t="shared" si="6"/>
        <v>1.5</v>
      </c>
      <c r="F217" s="42" t="str">
        <f>F213</f>
        <v>I</v>
      </c>
      <c r="G217" s="19">
        <f t="shared" si="7"/>
        <v>0.23</v>
      </c>
    </row>
    <row r="218" spans="2:8" x14ac:dyDescent="0.25">
      <c r="B218" s="33" t="s">
        <v>189</v>
      </c>
      <c r="D218" s="42" t="s">
        <v>12</v>
      </c>
      <c r="E218" s="44">
        <f t="shared" si="6"/>
        <v>1.5</v>
      </c>
      <c r="F218" s="42" t="s">
        <v>17</v>
      </c>
      <c r="G218" s="19">
        <f t="shared" si="7"/>
        <v>0.23</v>
      </c>
    </row>
    <row r="219" spans="2:8" x14ac:dyDescent="0.25">
      <c r="B219" s="33" t="s">
        <v>276</v>
      </c>
      <c r="D219" s="42" t="s">
        <v>10</v>
      </c>
      <c r="E219" s="44">
        <f t="shared" si="6"/>
        <v>1</v>
      </c>
      <c r="F219" s="42" t="s">
        <v>17</v>
      </c>
      <c r="G219" s="19">
        <f t="shared" si="7"/>
        <v>0.23</v>
      </c>
    </row>
    <row r="220" spans="2:8" x14ac:dyDescent="0.25">
      <c r="B220" s="33" t="s">
        <v>277</v>
      </c>
      <c r="D220" s="42" t="s">
        <v>12</v>
      </c>
      <c r="E220" s="44">
        <f t="shared" si="6"/>
        <v>1.5</v>
      </c>
      <c r="F220" s="42" t="s">
        <v>10</v>
      </c>
      <c r="G220" s="19">
        <f t="shared" si="7"/>
        <v>0.3</v>
      </c>
    </row>
    <row r="221" spans="2:8" x14ac:dyDescent="0.25">
      <c r="B221" s="33" t="s">
        <v>278</v>
      </c>
      <c r="D221" s="42" t="s">
        <v>17</v>
      </c>
      <c r="E221" s="44">
        <f t="shared" si="6"/>
        <v>0.5</v>
      </c>
      <c r="F221" s="42" t="s">
        <v>12</v>
      </c>
      <c r="G221" s="19">
        <f t="shared" si="7"/>
        <v>0.38</v>
      </c>
    </row>
    <row r="222" spans="2:8" x14ac:dyDescent="0.25">
      <c r="B222" s="33" t="s">
        <v>280</v>
      </c>
      <c r="D222" s="42" t="str">
        <f>D208</f>
        <v>V</v>
      </c>
      <c r="E222" s="44">
        <f t="shared" si="6"/>
        <v>2.5</v>
      </c>
      <c r="F222" s="42" t="str">
        <f>F199</f>
        <v>IV</v>
      </c>
      <c r="G222" s="19">
        <f t="shared" si="7"/>
        <v>0.48</v>
      </c>
    </row>
    <row r="223" spans="2:8" x14ac:dyDescent="0.25">
      <c r="B223" s="33" t="s">
        <v>281</v>
      </c>
      <c r="D223" s="42" t="s">
        <v>10</v>
      </c>
      <c r="E223" s="44">
        <f t="shared" si="6"/>
        <v>1</v>
      </c>
      <c r="F223" s="42" t="s">
        <v>12</v>
      </c>
      <c r="G223" s="19">
        <f t="shared" si="7"/>
        <v>0.38</v>
      </c>
    </row>
    <row r="224" spans="2:8" x14ac:dyDescent="0.25">
      <c r="B224" s="33" t="s">
        <v>282</v>
      </c>
      <c r="D224" s="42" t="str">
        <f>D220</f>
        <v>III</v>
      </c>
      <c r="E224" s="44">
        <f t="shared" si="6"/>
        <v>1.5</v>
      </c>
      <c r="F224" s="42" t="s">
        <v>12</v>
      </c>
      <c r="G224" s="19">
        <f t="shared" si="7"/>
        <v>0.38</v>
      </c>
    </row>
    <row r="225" spans="1:10" x14ac:dyDescent="0.25">
      <c r="B225" s="33" t="s">
        <v>283</v>
      </c>
      <c r="D225" s="42" t="s">
        <v>9</v>
      </c>
      <c r="E225" s="44">
        <f t="shared" si="6"/>
        <v>2</v>
      </c>
      <c r="F225" s="42" t="s">
        <v>17</v>
      </c>
      <c r="G225" s="19">
        <f t="shared" si="7"/>
        <v>0.23</v>
      </c>
    </row>
    <row r="226" spans="1:10" x14ac:dyDescent="0.25">
      <c r="B226" s="33" t="s">
        <v>284</v>
      </c>
      <c r="D226" s="42" t="str">
        <f>D222</f>
        <v>V</v>
      </c>
      <c r="E226" s="44">
        <f t="shared" si="6"/>
        <v>2.5</v>
      </c>
      <c r="F226" s="42" t="str">
        <f>F225</f>
        <v>I</v>
      </c>
      <c r="G226" s="19">
        <f t="shared" si="7"/>
        <v>0.23</v>
      </c>
    </row>
    <row r="227" spans="1:10" x14ac:dyDescent="0.25">
      <c r="B227" s="33" t="s">
        <v>219</v>
      </c>
      <c r="D227" s="42" t="s">
        <v>12</v>
      </c>
      <c r="E227" s="44">
        <f t="shared" si="6"/>
        <v>1.5</v>
      </c>
      <c r="F227" s="42" t="s">
        <v>10</v>
      </c>
      <c r="G227" s="19">
        <f t="shared" si="7"/>
        <v>0.3</v>
      </c>
    </row>
    <row r="228" spans="1:10" x14ac:dyDescent="0.25">
      <c r="B228" s="33" t="s">
        <v>285</v>
      </c>
      <c r="D228" s="42" t="str">
        <f>D221</f>
        <v>I</v>
      </c>
      <c r="E228" s="44">
        <f t="shared" si="6"/>
        <v>0.5</v>
      </c>
      <c r="F228" s="42" t="str">
        <f>F223</f>
        <v>III</v>
      </c>
      <c r="G228" s="19">
        <f t="shared" si="7"/>
        <v>0.38</v>
      </c>
    </row>
    <row r="229" spans="1:10" x14ac:dyDescent="0.25">
      <c r="B229" s="33" t="s">
        <v>286</v>
      </c>
      <c r="D229" s="42" t="s">
        <v>9</v>
      </c>
      <c r="E229" s="44">
        <f t="shared" si="6"/>
        <v>2</v>
      </c>
      <c r="F229" s="42" t="str">
        <f>F227</f>
        <v>II</v>
      </c>
      <c r="G229" s="19">
        <f t="shared" si="7"/>
        <v>0.3</v>
      </c>
      <c r="H229" t="s">
        <v>288</v>
      </c>
    </row>
    <row r="230" spans="1:10" x14ac:dyDescent="0.25">
      <c r="B230" s="33" t="s">
        <v>418</v>
      </c>
      <c r="D230" s="42" t="s">
        <v>9</v>
      </c>
      <c r="E230" s="44">
        <f t="shared" si="6"/>
        <v>2</v>
      </c>
      <c r="F230" s="42" t="str">
        <f>F226</f>
        <v>I</v>
      </c>
      <c r="G230" s="19">
        <f t="shared" si="7"/>
        <v>0.23</v>
      </c>
      <c r="H230" t="s">
        <v>287</v>
      </c>
    </row>
    <row r="231" spans="1:10" x14ac:dyDescent="0.25">
      <c r="A231" s="81"/>
      <c r="B231" s="33" t="s">
        <v>289</v>
      </c>
      <c r="C231" s="82"/>
      <c r="D231" s="83" t="s">
        <v>10</v>
      </c>
      <c r="E231" s="44">
        <v>1.6</v>
      </c>
      <c r="F231" s="42" t="str">
        <f>F228</f>
        <v>III</v>
      </c>
      <c r="G231" s="19">
        <f t="shared" si="7"/>
        <v>0.38</v>
      </c>
      <c r="H231" t="s">
        <v>242</v>
      </c>
      <c r="J231">
        <f>100*(1+0.001*1*(950-500))</f>
        <v>145</v>
      </c>
    </row>
    <row r="232" spans="1:10" x14ac:dyDescent="0.25">
      <c r="B232" s="33" t="s">
        <v>290</v>
      </c>
      <c r="D232" s="42" t="str">
        <f>D223</f>
        <v>II</v>
      </c>
      <c r="E232" s="44">
        <f t="shared" si="6"/>
        <v>1</v>
      </c>
      <c r="F232" s="42" t="str">
        <f>F222</f>
        <v>IV</v>
      </c>
      <c r="G232" s="19">
        <f t="shared" si="7"/>
        <v>0.48</v>
      </c>
    </row>
    <row r="233" spans="1:10" x14ac:dyDescent="0.25">
      <c r="B233" s="33" t="s">
        <v>291</v>
      </c>
      <c r="D233" s="42" t="s">
        <v>12</v>
      </c>
      <c r="E233" s="44">
        <f t="shared" si="6"/>
        <v>1.5</v>
      </c>
      <c r="F233" s="42" t="s">
        <v>17</v>
      </c>
      <c r="G233" s="19">
        <f t="shared" si="7"/>
        <v>0.23</v>
      </c>
    </row>
    <row r="234" spans="1:10" x14ac:dyDescent="0.25">
      <c r="B234" s="33" t="s">
        <v>203</v>
      </c>
      <c r="D234" s="42" t="s">
        <v>8</v>
      </c>
      <c r="E234" s="44">
        <f t="shared" si="6"/>
        <v>2.5</v>
      </c>
      <c r="F234" s="42" t="str">
        <f>F229</f>
        <v>II</v>
      </c>
      <c r="G234" s="19">
        <f t="shared" si="7"/>
        <v>0.3</v>
      </c>
      <c r="H234" t="s">
        <v>292</v>
      </c>
    </row>
    <row r="235" spans="1:10" x14ac:dyDescent="0.25">
      <c r="B235" s="33" t="s">
        <v>222</v>
      </c>
      <c r="D235" s="42" t="s">
        <v>12</v>
      </c>
      <c r="E235" s="44">
        <f t="shared" si="6"/>
        <v>1.5</v>
      </c>
      <c r="F235" s="42" t="s">
        <v>10</v>
      </c>
      <c r="G235" s="19">
        <f t="shared" si="7"/>
        <v>0.3</v>
      </c>
    </row>
    <row r="236" spans="1:10" x14ac:dyDescent="0.25">
      <c r="B236" s="33" t="s">
        <v>293</v>
      </c>
      <c r="D236" s="42" t="s">
        <v>8</v>
      </c>
      <c r="E236" s="44">
        <f t="shared" si="6"/>
        <v>2.5</v>
      </c>
      <c r="F236" s="42" t="s">
        <v>12</v>
      </c>
      <c r="G236" s="19">
        <f t="shared" si="7"/>
        <v>0.38</v>
      </c>
      <c r="H236" t="s">
        <v>235</v>
      </c>
    </row>
    <row r="237" spans="1:10" x14ac:dyDescent="0.25">
      <c r="B237" s="33" t="s">
        <v>294</v>
      </c>
      <c r="D237" s="42" t="s">
        <v>122</v>
      </c>
      <c r="E237" s="44">
        <f t="shared" si="6"/>
        <v>4</v>
      </c>
      <c r="F237" s="42" t="s">
        <v>178</v>
      </c>
      <c r="G237" s="19">
        <f t="shared" si="7"/>
        <v>0.73</v>
      </c>
    </row>
    <row r="238" spans="1:10" x14ac:dyDescent="0.25">
      <c r="B238" s="33" t="s">
        <v>295</v>
      </c>
      <c r="D238" s="42" t="s">
        <v>9</v>
      </c>
      <c r="E238" s="44">
        <f t="shared" si="6"/>
        <v>2</v>
      </c>
      <c r="F238" s="42" t="s">
        <v>17</v>
      </c>
      <c r="G238" s="19">
        <f t="shared" si="7"/>
        <v>0.23</v>
      </c>
    </row>
    <row r="239" spans="1:10" x14ac:dyDescent="0.25">
      <c r="B239" s="33" t="s">
        <v>296</v>
      </c>
      <c r="D239" s="42" t="s">
        <v>12</v>
      </c>
      <c r="E239" s="44">
        <f t="shared" si="6"/>
        <v>1.5</v>
      </c>
      <c r="F239" s="42" t="s">
        <v>17</v>
      </c>
      <c r="G239" s="19">
        <f t="shared" si="7"/>
        <v>0.23</v>
      </c>
      <c r="H239" t="s">
        <v>297</v>
      </c>
    </row>
    <row r="240" spans="1:10" x14ac:dyDescent="0.25">
      <c r="B240" s="33" t="s">
        <v>298</v>
      </c>
      <c r="D240" s="42" t="s">
        <v>8</v>
      </c>
      <c r="E240" s="44">
        <f t="shared" si="6"/>
        <v>2.5</v>
      </c>
      <c r="F240" s="42" t="s">
        <v>178</v>
      </c>
      <c r="G240" s="19">
        <f t="shared" si="7"/>
        <v>0.73</v>
      </c>
      <c r="H240" t="s">
        <v>299</v>
      </c>
    </row>
    <row r="241" spans="2:8" x14ac:dyDescent="0.25">
      <c r="B241" s="33" t="s">
        <v>300</v>
      </c>
      <c r="D241" s="42" t="s">
        <v>12</v>
      </c>
      <c r="E241" s="44">
        <f t="shared" si="6"/>
        <v>1.5</v>
      </c>
      <c r="F241" s="42" t="s">
        <v>10</v>
      </c>
      <c r="G241" s="19">
        <f t="shared" si="7"/>
        <v>0.3</v>
      </c>
      <c r="H241" t="s">
        <v>378</v>
      </c>
    </row>
    <row r="242" spans="2:8" x14ac:dyDescent="0.25">
      <c r="B242" s="33" t="s">
        <v>302</v>
      </c>
      <c r="D242" s="42" t="s">
        <v>10</v>
      </c>
      <c r="E242" s="44">
        <f t="shared" si="6"/>
        <v>1</v>
      </c>
      <c r="F242" s="42" t="s">
        <v>9</v>
      </c>
      <c r="G242" s="19">
        <f t="shared" si="7"/>
        <v>0.48</v>
      </c>
    </row>
    <row r="243" spans="2:8" x14ac:dyDescent="0.25">
      <c r="B243" s="33" t="s">
        <v>303</v>
      </c>
      <c r="D243" s="42" t="s">
        <v>9</v>
      </c>
      <c r="E243" s="44">
        <f t="shared" si="6"/>
        <v>2</v>
      </c>
      <c r="F243" s="42" t="s">
        <v>17</v>
      </c>
      <c r="G243" s="19">
        <f t="shared" si="7"/>
        <v>0.23</v>
      </c>
      <c r="H243" t="s">
        <v>267</v>
      </c>
    </row>
    <row r="244" spans="2:8" x14ac:dyDescent="0.25">
      <c r="B244" s="33" t="s">
        <v>304</v>
      </c>
      <c r="D244" s="42" t="s">
        <v>9</v>
      </c>
      <c r="E244" s="44">
        <f t="shared" si="6"/>
        <v>2</v>
      </c>
      <c r="F244" s="42" t="s">
        <v>17</v>
      </c>
      <c r="G244" s="19">
        <f t="shared" si="7"/>
        <v>0.23</v>
      </c>
      <c r="H244" t="s">
        <v>287</v>
      </c>
    </row>
    <row r="245" spans="2:8" x14ac:dyDescent="0.25">
      <c r="B245" s="33" t="s">
        <v>305</v>
      </c>
      <c r="D245" s="42" t="s">
        <v>8</v>
      </c>
      <c r="E245" s="44">
        <f t="shared" si="6"/>
        <v>2.5</v>
      </c>
      <c r="F245" s="42" t="s">
        <v>10</v>
      </c>
      <c r="G245" s="19">
        <f t="shared" si="7"/>
        <v>0.3</v>
      </c>
    </row>
    <row r="246" spans="2:8" x14ac:dyDescent="0.25">
      <c r="B246" s="33" t="s">
        <v>306</v>
      </c>
      <c r="D246" s="42" t="s">
        <v>8</v>
      </c>
      <c r="E246" s="44">
        <f t="shared" si="6"/>
        <v>2.5</v>
      </c>
      <c r="F246" s="42" t="s">
        <v>10</v>
      </c>
      <c r="G246" s="19">
        <f t="shared" si="7"/>
        <v>0.3</v>
      </c>
    </row>
    <row r="247" spans="2:8" x14ac:dyDescent="0.25">
      <c r="B247" s="33" t="s">
        <v>307</v>
      </c>
      <c r="D247" s="42" t="s">
        <v>12</v>
      </c>
      <c r="E247" s="44">
        <f t="shared" si="6"/>
        <v>1.5</v>
      </c>
      <c r="F247" s="42" t="s">
        <v>12</v>
      </c>
      <c r="G247" s="19">
        <f t="shared" si="7"/>
        <v>0.38</v>
      </c>
    </row>
    <row r="248" spans="2:8" x14ac:dyDescent="0.25">
      <c r="B248" s="33" t="s">
        <v>308</v>
      </c>
      <c r="D248" s="42" t="s">
        <v>8</v>
      </c>
      <c r="E248" s="44">
        <f t="shared" si="6"/>
        <v>2.5</v>
      </c>
      <c r="F248" s="42" t="s">
        <v>17</v>
      </c>
      <c r="G248" s="19">
        <f t="shared" si="7"/>
        <v>0.23</v>
      </c>
    </row>
    <row r="249" spans="2:8" x14ac:dyDescent="0.25">
      <c r="B249" s="33" t="s">
        <v>309</v>
      </c>
      <c r="D249" s="42" t="s">
        <v>178</v>
      </c>
      <c r="E249" s="44">
        <f t="shared" si="6"/>
        <v>3</v>
      </c>
      <c r="F249" s="42" t="s">
        <v>9</v>
      </c>
      <c r="G249" s="19">
        <f t="shared" si="7"/>
        <v>0.48</v>
      </c>
    </row>
    <row r="250" spans="2:8" x14ac:dyDescent="0.25">
      <c r="B250" s="33" t="s">
        <v>310</v>
      </c>
      <c r="D250" s="42" t="s">
        <v>9</v>
      </c>
      <c r="E250" s="44">
        <f t="shared" si="6"/>
        <v>2</v>
      </c>
      <c r="F250" s="42" t="s">
        <v>10</v>
      </c>
      <c r="G250" s="19">
        <f t="shared" si="7"/>
        <v>0.3</v>
      </c>
      <c r="H250" t="s">
        <v>288</v>
      </c>
    </row>
    <row r="251" spans="2:8" x14ac:dyDescent="0.25">
      <c r="B251" s="33" t="s">
        <v>311</v>
      </c>
      <c r="C251" s="82"/>
      <c r="D251" s="83" t="s">
        <v>10</v>
      </c>
      <c r="E251" s="44">
        <f t="shared" si="6"/>
        <v>1</v>
      </c>
      <c r="F251" s="83" t="s">
        <v>8</v>
      </c>
      <c r="G251" s="19">
        <f t="shared" si="7"/>
        <v>0.6</v>
      </c>
      <c r="H251" t="s">
        <v>312</v>
      </c>
    </row>
    <row r="252" spans="2:8" x14ac:dyDescent="0.25">
      <c r="B252" s="33" t="s">
        <v>313</v>
      </c>
      <c r="D252" s="42" t="s">
        <v>8</v>
      </c>
      <c r="E252" s="44">
        <f t="shared" si="6"/>
        <v>2.5</v>
      </c>
      <c r="F252" s="42" t="s">
        <v>8</v>
      </c>
      <c r="G252" s="19">
        <f t="shared" si="7"/>
        <v>0.6</v>
      </c>
    </row>
    <row r="253" spans="2:8" x14ac:dyDescent="0.25">
      <c r="B253" s="33" t="s">
        <v>314</v>
      </c>
      <c r="D253" s="42" t="s">
        <v>12</v>
      </c>
      <c r="E253" s="44">
        <f t="shared" si="6"/>
        <v>1.5</v>
      </c>
      <c r="F253" s="42" t="s">
        <v>17</v>
      </c>
      <c r="G253" s="19">
        <f t="shared" si="7"/>
        <v>0.23</v>
      </c>
    </row>
    <row r="254" spans="2:8" x14ac:dyDescent="0.25">
      <c r="B254" s="33" t="s">
        <v>315</v>
      </c>
      <c r="D254" s="42" t="s">
        <v>12</v>
      </c>
      <c r="E254" s="44">
        <f t="shared" si="6"/>
        <v>1.5</v>
      </c>
      <c r="F254" s="42" t="s">
        <v>10</v>
      </c>
      <c r="G254" s="19">
        <f t="shared" si="7"/>
        <v>0.3</v>
      </c>
      <c r="H254" t="s">
        <v>316</v>
      </c>
    </row>
    <row r="255" spans="2:8" x14ac:dyDescent="0.25">
      <c r="B255" s="33" t="s">
        <v>318</v>
      </c>
      <c r="D255" s="42" t="s">
        <v>10</v>
      </c>
      <c r="E255" s="44">
        <f t="shared" si="6"/>
        <v>1</v>
      </c>
      <c r="F255" s="42" t="s">
        <v>9</v>
      </c>
      <c r="G255" s="19">
        <f t="shared" si="7"/>
        <v>0.48</v>
      </c>
      <c r="H255" t="s">
        <v>317</v>
      </c>
    </row>
    <row r="256" spans="2:8" x14ac:dyDescent="0.25">
      <c r="B256" s="33" t="s">
        <v>319</v>
      </c>
      <c r="D256" s="42" t="s">
        <v>17</v>
      </c>
      <c r="E256" s="44">
        <f t="shared" si="6"/>
        <v>0.5</v>
      </c>
      <c r="F256" s="42" t="s">
        <v>9</v>
      </c>
      <c r="G256" s="19">
        <f t="shared" si="7"/>
        <v>0.48</v>
      </c>
    </row>
    <row r="257" spans="2:8" x14ac:dyDescent="0.25">
      <c r="B257" s="33" t="s">
        <v>320</v>
      </c>
      <c r="D257" s="42" t="s">
        <v>12</v>
      </c>
      <c r="E257" s="44">
        <f t="shared" si="6"/>
        <v>1.5</v>
      </c>
      <c r="F257" s="42" t="s">
        <v>17</v>
      </c>
      <c r="G257" s="19">
        <f t="shared" si="7"/>
        <v>0.23</v>
      </c>
      <c r="H257" t="s">
        <v>297</v>
      </c>
    </row>
    <row r="258" spans="2:8" x14ac:dyDescent="0.25">
      <c r="B258" s="33" t="s">
        <v>321</v>
      </c>
      <c r="D258" s="42" t="s">
        <v>12</v>
      </c>
      <c r="E258" s="44">
        <f t="shared" si="6"/>
        <v>1.5</v>
      </c>
      <c r="F258" s="42" t="s">
        <v>10</v>
      </c>
      <c r="G258" s="19">
        <f t="shared" si="7"/>
        <v>0.3</v>
      </c>
      <c r="H258" t="s">
        <v>322</v>
      </c>
    </row>
    <row r="259" spans="2:8" x14ac:dyDescent="0.25">
      <c r="B259" s="33" t="s">
        <v>323</v>
      </c>
      <c r="D259" s="42" t="s">
        <v>12</v>
      </c>
      <c r="E259" s="44">
        <f t="shared" si="6"/>
        <v>1.5</v>
      </c>
      <c r="F259" s="42" t="s">
        <v>10</v>
      </c>
      <c r="G259" s="19">
        <f t="shared" si="7"/>
        <v>0.3</v>
      </c>
      <c r="H259" t="s">
        <v>322</v>
      </c>
    </row>
    <row r="260" spans="2:8" x14ac:dyDescent="0.25">
      <c r="B260" s="33" t="s">
        <v>324</v>
      </c>
      <c r="D260" s="42" t="s">
        <v>8</v>
      </c>
      <c r="E260" s="44">
        <f t="shared" ref="E260:E323" si="8">IF(C260="",INDEX($N$8:$U$8,1,MATCH(D260,$N$7:$U$7,0)),C260)</f>
        <v>2.5</v>
      </c>
      <c r="F260" s="42" t="s">
        <v>12</v>
      </c>
      <c r="G260" s="19">
        <f t="shared" si="7"/>
        <v>0.38</v>
      </c>
    </row>
    <row r="261" spans="2:8" x14ac:dyDescent="0.25">
      <c r="B261" s="33" t="s">
        <v>325</v>
      </c>
      <c r="D261" s="42" t="s">
        <v>178</v>
      </c>
      <c r="E261" s="44">
        <f t="shared" si="8"/>
        <v>3</v>
      </c>
      <c r="F261" s="42" t="s">
        <v>178</v>
      </c>
      <c r="G261" s="19">
        <f t="shared" ref="G261:G324" si="9">INDEX($N$11:$U$11,1,MATCH(F261,$N$10:$U$10,0))</f>
        <v>0.73</v>
      </c>
      <c r="H261" t="s">
        <v>299</v>
      </c>
    </row>
    <row r="262" spans="2:8" x14ac:dyDescent="0.25">
      <c r="B262" s="33" t="s">
        <v>326</v>
      </c>
      <c r="D262" s="42" t="s">
        <v>12</v>
      </c>
      <c r="E262" s="44">
        <f t="shared" si="8"/>
        <v>1.5</v>
      </c>
      <c r="F262" s="42" t="s">
        <v>10</v>
      </c>
      <c r="G262" s="19">
        <f t="shared" si="9"/>
        <v>0.3</v>
      </c>
    </row>
    <row r="263" spans="2:8" x14ac:dyDescent="0.25">
      <c r="B263" s="33" t="s">
        <v>327</v>
      </c>
      <c r="C263" s="82"/>
      <c r="D263" s="83" t="s">
        <v>12</v>
      </c>
      <c r="E263" s="44">
        <f t="shared" si="8"/>
        <v>1.5</v>
      </c>
      <c r="F263" s="83" t="s">
        <v>10</v>
      </c>
      <c r="G263" s="19">
        <f t="shared" si="9"/>
        <v>0.3</v>
      </c>
    </row>
    <row r="264" spans="2:8" x14ac:dyDescent="0.25">
      <c r="B264" s="33" t="s">
        <v>328</v>
      </c>
      <c r="D264" s="42" t="s">
        <v>12</v>
      </c>
      <c r="E264" s="44">
        <f t="shared" si="8"/>
        <v>1.5</v>
      </c>
      <c r="F264" s="42" t="s">
        <v>12</v>
      </c>
      <c r="G264" s="19">
        <f t="shared" si="9"/>
        <v>0.38</v>
      </c>
    </row>
    <row r="265" spans="2:8" x14ac:dyDescent="0.25">
      <c r="B265" s="33" t="s">
        <v>329</v>
      </c>
      <c r="D265" s="42" t="s">
        <v>17</v>
      </c>
      <c r="E265" s="44">
        <f t="shared" si="8"/>
        <v>0.5</v>
      </c>
      <c r="F265" s="42" t="s">
        <v>10</v>
      </c>
      <c r="G265" s="19">
        <f t="shared" si="9"/>
        <v>0.3</v>
      </c>
    </row>
    <row r="266" spans="2:8" x14ac:dyDescent="0.25">
      <c r="B266" s="33" t="s">
        <v>330</v>
      </c>
      <c r="D266" s="42" t="s">
        <v>8</v>
      </c>
      <c r="E266" s="44">
        <f t="shared" si="8"/>
        <v>2.5</v>
      </c>
      <c r="F266" s="42" t="s">
        <v>10</v>
      </c>
      <c r="G266" s="19">
        <f t="shared" si="9"/>
        <v>0.3</v>
      </c>
    </row>
    <row r="267" spans="2:8" x14ac:dyDescent="0.25">
      <c r="B267" s="33" t="s">
        <v>331</v>
      </c>
      <c r="D267" s="42" t="s">
        <v>12</v>
      </c>
      <c r="E267" s="44">
        <f t="shared" si="8"/>
        <v>1.5</v>
      </c>
      <c r="F267" s="42" t="s">
        <v>17</v>
      </c>
      <c r="G267" s="19">
        <f t="shared" si="9"/>
        <v>0.23</v>
      </c>
    </row>
    <row r="268" spans="2:8" x14ac:dyDescent="0.25">
      <c r="B268" s="33" t="s">
        <v>332</v>
      </c>
      <c r="D268" s="42" t="s">
        <v>9</v>
      </c>
      <c r="E268" s="44">
        <f t="shared" si="8"/>
        <v>2</v>
      </c>
      <c r="F268" s="42" t="s">
        <v>10</v>
      </c>
      <c r="G268" s="19">
        <f t="shared" si="9"/>
        <v>0.3</v>
      </c>
      <c r="H268" t="s">
        <v>288</v>
      </c>
    </row>
    <row r="269" spans="2:8" x14ac:dyDescent="0.25">
      <c r="B269" s="33" t="s">
        <v>333</v>
      </c>
      <c r="D269" s="42" t="s">
        <v>8</v>
      </c>
      <c r="E269" s="44">
        <f t="shared" si="8"/>
        <v>2.5</v>
      </c>
      <c r="F269" s="42" t="s">
        <v>17</v>
      </c>
      <c r="G269" s="19">
        <f t="shared" si="9"/>
        <v>0.23</v>
      </c>
    </row>
    <row r="270" spans="2:8" ht="30" x14ac:dyDescent="0.25">
      <c r="B270" s="33" t="s">
        <v>334</v>
      </c>
      <c r="D270" s="42" t="s">
        <v>10</v>
      </c>
      <c r="E270" s="44">
        <f t="shared" si="8"/>
        <v>1</v>
      </c>
      <c r="F270" s="42" t="s">
        <v>12</v>
      </c>
      <c r="G270" s="19">
        <f t="shared" si="9"/>
        <v>0.38</v>
      </c>
      <c r="H270" t="s">
        <v>335</v>
      </c>
    </row>
    <row r="271" spans="2:8" x14ac:dyDescent="0.25">
      <c r="B271" s="33"/>
      <c r="D271" s="42" t="s">
        <v>12</v>
      </c>
      <c r="E271" s="44">
        <f t="shared" si="8"/>
        <v>1.5</v>
      </c>
      <c r="F271" s="42" t="s">
        <v>12</v>
      </c>
      <c r="G271" s="19">
        <f t="shared" si="9"/>
        <v>0.38</v>
      </c>
    </row>
    <row r="272" spans="2:8" x14ac:dyDescent="0.25">
      <c r="B272" s="33" t="s">
        <v>337</v>
      </c>
      <c r="D272" s="42" t="s">
        <v>12</v>
      </c>
      <c r="E272" s="44">
        <f t="shared" si="8"/>
        <v>1.5</v>
      </c>
      <c r="F272" s="42" t="s">
        <v>17</v>
      </c>
      <c r="G272" s="19">
        <f t="shared" si="9"/>
        <v>0.23</v>
      </c>
      <c r="H272" t="s">
        <v>339</v>
      </c>
    </row>
    <row r="273" spans="2:8" x14ac:dyDescent="0.25">
      <c r="B273" s="33" t="s">
        <v>338</v>
      </c>
      <c r="D273" s="42" t="s">
        <v>12</v>
      </c>
      <c r="E273" s="44">
        <f t="shared" si="8"/>
        <v>1.5</v>
      </c>
      <c r="F273" s="42" t="s">
        <v>17</v>
      </c>
      <c r="G273" s="19">
        <f t="shared" si="9"/>
        <v>0.23</v>
      </c>
    </row>
    <row r="274" spans="2:8" x14ac:dyDescent="0.25">
      <c r="B274" s="33" t="s">
        <v>340</v>
      </c>
      <c r="D274" s="42" t="s">
        <v>8</v>
      </c>
      <c r="E274" s="44">
        <f t="shared" si="8"/>
        <v>2.5</v>
      </c>
      <c r="F274" s="42" t="s">
        <v>10</v>
      </c>
      <c r="G274" s="19">
        <f t="shared" si="9"/>
        <v>0.3</v>
      </c>
      <c r="H274" t="s">
        <v>341</v>
      </c>
    </row>
    <row r="275" spans="2:8" x14ac:dyDescent="0.25">
      <c r="B275" s="33" t="s">
        <v>342</v>
      </c>
      <c r="D275" s="42" t="s">
        <v>12</v>
      </c>
      <c r="E275" s="44">
        <f t="shared" si="8"/>
        <v>1.5</v>
      </c>
      <c r="F275" s="42" t="s">
        <v>17</v>
      </c>
      <c r="G275" s="19">
        <f t="shared" si="9"/>
        <v>0.23</v>
      </c>
    </row>
    <row r="276" spans="2:8" x14ac:dyDescent="0.25">
      <c r="B276" s="33" t="s">
        <v>343</v>
      </c>
      <c r="D276" s="42" t="s">
        <v>9</v>
      </c>
      <c r="E276" s="44">
        <f t="shared" si="8"/>
        <v>2</v>
      </c>
      <c r="F276" s="42" t="s">
        <v>10</v>
      </c>
      <c r="G276" s="19">
        <f t="shared" si="9"/>
        <v>0.3</v>
      </c>
      <c r="H276" t="s">
        <v>288</v>
      </c>
    </row>
    <row r="277" spans="2:8" x14ac:dyDescent="0.25">
      <c r="B277" s="33" t="s">
        <v>344</v>
      </c>
      <c r="D277" s="42" t="s">
        <v>178</v>
      </c>
      <c r="E277" s="44">
        <f t="shared" si="8"/>
        <v>3</v>
      </c>
      <c r="F277" s="42" t="s">
        <v>12</v>
      </c>
      <c r="G277" s="19">
        <f t="shared" si="9"/>
        <v>0.38</v>
      </c>
      <c r="H277" t="s">
        <v>177</v>
      </c>
    </row>
    <row r="278" spans="2:8" x14ac:dyDescent="0.25">
      <c r="B278" s="33" t="s">
        <v>193</v>
      </c>
      <c r="D278" s="42" t="s">
        <v>8</v>
      </c>
      <c r="E278" s="44">
        <f t="shared" si="8"/>
        <v>2.5</v>
      </c>
      <c r="F278" s="42" t="s">
        <v>9</v>
      </c>
      <c r="G278" s="19">
        <f t="shared" si="9"/>
        <v>0.48</v>
      </c>
    </row>
    <row r="279" spans="2:8" ht="30" x14ac:dyDescent="0.25">
      <c r="B279" s="33" t="s">
        <v>345</v>
      </c>
      <c r="D279" s="42" t="s">
        <v>12</v>
      </c>
      <c r="E279" s="44">
        <f t="shared" si="8"/>
        <v>1.5</v>
      </c>
      <c r="F279" s="42" t="s">
        <v>12</v>
      </c>
      <c r="G279" s="19">
        <f t="shared" si="9"/>
        <v>0.38</v>
      </c>
      <c r="H279" t="s">
        <v>346</v>
      </c>
    </row>
    <row r="280" spans="2:8" x14ac:dyDescent="0.25">
      <c r="B280" s="33" t="s">
        <v>347</v>
      </c>
      <c r="D280" s="42" t="s">
        <v>12</v>
      </c>
      <c r="E280" s="44">
        <f t="shared" si="8"/>
        <v>1.5</v>
      </c>
      <c r="F280" s="42" t="s">
        <v>17</v>
      </c>
      <c r="G280" s="19">
        <f t="shared" si="9"/>
        <v>0.23</v>
      </c>
    </row>
    <row r="281" spans="2:8" x14ac:dyDescent="0.25">
      <c r="B281" s="33" t="s">
        <v>349</v>
      </c>
      <c r="D281" s="42" t="s">
        <v>9</v>
      </c>
      <c r="E281" s="44">
        <f t="shared" si="8"/>
        <v>2</v>
      </c>
      <c r="F281" s="42" t="s">
        <v>17</v>
      </c>
      <c r="G281" s="19">
        <f t="shared" si="9"/>
        <v>0.23</v>
      </c>
    </row>
    <row r="282" spans="2:8" x14ac:dyDescent="0.25">
      <c r="B282" s="33" t="s">
        <v>350</v>
      </c>
      <c r="D282" s="42" t="s">
        <v>9</v>
      </c>
      <c r="E282" s="44">
        <f t="shared" si="8"/>
        <v>2</v>
      </c>
      <c r="F282" s="42" t="s">
        <v>17</v>
      </c>
      <c r="G282" s="19">
        <f t="shared" si="9"/>
        <v>0.23</v>
      </c>
      <c r="H282" t="s">
        <v>351</v>
      </c>
    </row>
    <row r="283" spans="2:8" x14ac:dyDescent="0.25">
      <c r="B283" s="33" t="s">
        <v>352</v>
      </c>
      <c r="D283" s="42" t="s">
        <v>10</v>
      </c>
      <c r="E283" s="44">
        <f t="shared" si="8"/>
        <v>1</v>
      </c>
      <c r="F283" s="42" t="s">
        <v>12</v>
      </c>
      <c r="G283" s="19">
        <f t="shared" si="9"/>
        <v>0.38</v>
      </c>
      <c r="H283" t="s">
        <v>353</v>
      </c>
    </row>
    <row r="284" spans="2:8" x14ac:dyDescent="0.25">
      <c r="B284" s="33" t="s">
        <v>354</v>
      </c>
      <c r="D284" s="42" t="s">
        <v>10</v>
      </c>
      <c r="E284" s="44">
        <f t="shared" si="8"/>
        <v>1</v>
      </c>
      <c r="F284" s="42" t="s">
        <v>12</v>
      </c>
      <c r="G284" s="19">
        <f t="shared" si="9"/>
        <v>0.38</v>
      </c>
    </row>
    <row r="285" spans="2:8" x14ac:dyDescent="0.25">
      <c r="B285" s="33" t="s">
        <v>311</v>
      </c>
      <c r="C285" s="82"/>
      <c r="D285" s="83" t="s">
        <v>12</v>
      </c>
      <c r="E285" s="44">
        <f t="shared" si="8"/>
        <v>1.5</v>
      </c>
      <c r="F285" s="83" t="s">
        <v>10</v>
      </c>
      <c r="G285" s="19">
        <f t="shared" si="9"/>
        <v>0.3</v>
      </c>
      <c r="H285" t="s">
        <v>312</v>
      </c>
    </row>
    <row r="286" spans="2:8" x14ac:dyDescent="0.25">
      <c r="B286" s="33" t="s">
        <v>355</v>
      </c>
      <c r="D286" s="42" t="s">
        <v>9</v>
      </c>
      <c r="E286" s="44">
        <f t="shared" si="8"/>
        <v>2</v>
      </c>
      <c r="F286" s="42" t="s">
        <v>10</v>
      </c>
      <c r="G286" s="19">
        <f t="shared" si="9"/>
        <v>0.3</v>
      </c>
    </row>
    <row r="287" spans="2:8" x14ac:dyDescent="0.25">
      <c r="B287" s="33" t="s">
        <v>356</v>
      </c>
      <c r="D287" s="42" t="s">
        <v>10</v>
      </c>
      <c r="E287" s="44">
        <f t="shared" si="8"/>
        <v>1</v>
      </c>
      <c r="F287" s="42" t="s">
        <v>9</v>
      </c>
      <c r="G287" s="19">
        <f t="shared" si="9"/>
        <v>0.48</v>
      </c>
    </row>
    <row r="288" spans="2:8" x14ac:dyDescent="0.25">
      <c r="B288" s="33" t="s">
        <v>357</v>
      </c>
      <c r="D288" s="42" t="s">
        <v>12</v>
      </c>
      <c r="E288" s="44">
        <f t="shared" si="8"/>
        <v>1.5</v>
      </c>
      <c r="F288" s="42" t="s">
        <v>17</v>
      </c>
      <c r="G288" s="19">
        <f t="shared" si="9"/>
        <v>0.23</v>
      </c>
      <c r="H288" t="s">
        <v>358</v>
      </c>
    </row>
    <row r="289" spans="2:8" x14ac:dyDescent="0.25">
      <c r="B289" s="33" t="s">
        <v>359</v>
      </c>
      <c r="D289" s="42" t="s">
        <v>17</v>
      </c>
      <c r="E289" s="44">
        <f t="shared" si="8"/>
        <v>0.5</v>
      </c>
      <c r="F289" s="42" t="s">
        <v>178</v>
      </c>
      <c r="G289" s="19">
        <f t="shared" si="9"/>
        <v>0.73</v>
      </c>
    </row>
    <row r="290" spans="2:8" x14ac:dyDescent="0.25">
      <c r="B290" s="33" t="s">
        <v>360</v>
      </c>
      <c r="D290" s="42" t="s">
        <v>10</v>
      </c>
      <c r="E290" s="44">
        <f t="shared" si="8"/>
        <v>1</v>
      </c>
      <c r="F290" s="42" t="s">
        <v>10</v>
      </c>
      <c r="G290" s="19">
        <f t="shared" si="9"/>
        <v>0.3</v>
      </c>
      <c r="H290" t="s">
        <v>361</v>
      </c>
    </row>
    <row r="291" spans="2:8" x14ac:dyDescent="0.25">
      <c r="B291" s="33" t="s">
        <v>362</v>
      </c>
      <c r="D291" s="42" t="s">
        <v>12</v>
      </c>
      <c r="E291" s="44">
        <f t="shared" si="8"/>
        <v>1.5</v>
      </c>
      <c r="F291" s="42" t="s">
        <v>10</v>
      </c>
      <c r="G291" s="19">
        <f t="shared" si="9"/>
        <v>0.3</v>
      </c>
    </row>
    <row r="292" spans="2:8" x14ac:dyDescent="0.25">
      <c r="B292" s="33" t="s">
        <v>187</v>
      </c>
      <c r="D292" s="42" t="s">
        <v>8</v>
      </c>
      <c r="E292" s="44">
        <f t="shared" si="8"/>
        <v>2.5</v>
      </c>
      <c r="F292" s="42" t="s">
        <v>10</v>
      </c>
      <c r="G292" s="19">
        <f t="shared" si="9"/>
        <v>0.3</v>
      </c>
    </row>
    <row r="293" spans="2:8" x14ac:dyDescent="0.25">
      <c r="B293" s="33" t="s">
        <v>363</v>
      </c>
      <c r="D293" s="42" t="s">
        <v>8</v>
      </c>
      <c r="E293" s="44">
        <f t="shared" si="8"/>
        <v>2.5</v>
      </c>
      <c r="F293" s="42" t="s">
        <v>17</v>
      </c>
      <c r="G293" s="19">
        <f t="shared" si="9"/>
        <v>0.23</v>
      </c>
    </row>
    <row r="294" spans="2:8" x14ac:dyDescent="0.25">
      <c r="B294" s="33" t="s">
        <v>364</v>
      </c>
      <c r="D294" s="42" t="s">
        <v>12</v>
      </c>
      <c r="E294" s="44">
        <f t="shared" si="8"/>
        <v>1.5</v>
      </c>
      <c r="F294" s="42" t="s">
        <v>17</v>
      </c>
      <c r="G294" s="19">
        <f t="shared" si="9"/>
        <v>0.23</v>
      </c>
    </row>
    <row r="295" spans="2:8" x14ac:dyDescent="0.25">
      <c r="B295" s="33" t="s">
        <v>365</v>
      </c>
      <c r="D295" s="42" t="s">
        <v>9</v>
      </c>
      <c r="E295" s="44">
        <f t="shared" si="8"/>
        <v>2</v>
      </c>
      <c r="F295" s="42" t="s">
        <v>10</v>
      </c>
      <c r="G295" s="19">
        <f t="shared" si="9"/>
        <v>0.3</v>
      </c>
    </row>
    <row r="296" spans="2:8" x14ac:dyDescent="0.25">
      <c r="B296" s="33" t="s">
        <v>366</v>
      </c>
      <c r="D296" s="42" t="s">
        <v>12</v>
      </c>
      <c r="E296" s="44">
        <f t="shared" si="8"/>
        <v>1.5</v>
      </c>
      <c r="F296" s="42" t="s">
        <v>17</v>
      </c>
      <c r="G296" s="19">
        <f t="shared" si="9"/>
        <v>0.23</v>
      </c>
    </row>
    <row r="297" spans="2:8" x14ac:dyDescent="0.25">
      <c r="B297" s="33" t="s">
        <v>367</v>
      </c>
      <c r="D297" s="42" t="s">
        <v>8</v>
      </c>
      <c r="E297" s="44">
        <f t="shared" si="8"/>
        <v>2.5</v>
      </c>
      <c r="F297" s="42" t="s">
        <v>9</v>
      </c>
      <c r="G297" s="19">
        <f t="shared" si="9"/>
        <v>0.48</v>
      </c>
    </row>
    <row r="298" spans="2:8" x14ac:dyDescent="0.25">
      <c r="B298" s="33" t="s">
        <v>368</v>
      </c>
      <c r="D298" s="42" t="s">
        <v>12</v>
      </c>
      <c r="E298" s="44">
        <f t="shared" si="8"/>
        <v>1.5</v>
      </c>
      <c r="F298" s="42" t="s">
        <v>12</v>
      </c>
      <c r="G298" s="19">
        <f t="shared" si="9"/>
        <v>0.38</v>
      </c>
    </row>
    <row r="299" spans="2:8" x14ac:dyDescent="0.25">
      <c r="B299" s="33" t="s">
        <v>369</v>
      </c>
      <c r="D299" s="42" t="s">
        <v>178</v>
      </c>
      <c r="E299" s="44">
        <f t="shared" si="8"/>
        <v>3</v>
      </c>
      <c r="F299" s="42" t="s">
        <v>9</v>
      </c>
      <c r="G299" s="19">
        <f t="shared" si="9"/>
        <v>0.48</v>
      </c>
      <c r="H299" t="s">
        <v>370</v>
      </c>
    </row>
    <row r="300" spans="2:8" x14ac:dyDescent="0.25">
      <c r="B300" s="33" t="s">
        <v>371</v>
      </c>
      <c r="D300" s="42" t="s">
        <v>178</v>
      </c>
      <c r="E300" s="44">
        <f t="shared" si="8"/>
        <v>3</v>
      </c>
      <c r="F300" s="42" t="s">
        <v>12</v>
      </c>
      <c r="G300" s="19">
        <f t="shared" si="9"/>
        <v>0.38</v>
      </c>
      <c r="H300" t="s">
        <v>292</v>
      </c>
    </row>
    <row r="301" spans="2:8" x14ac:dyDescent="0.25">
      <c r="B301" s="33" t="s">
        <v>373</v>
      </c>
      <c r="D301" s="42" t="s">
        <v>9</v>
      </c>
      <c r="E301" s="44">
        <f t="shared" si="8"/>
        <v>2</v>
      </c>
      <c r="F301" s="42" t="s">
        <v>10</v>
      </c>
      <c r="G301" s="19">
        <f t="shared" si="9"/>
        <v>0.3</v>
      </c>
      <c r="H301" t="s">
        <v>372</v>
      </c>
    </row>
    <row r="302" spans="2:8" x14ac:dyDescent="0.25">
      <c r="B302" s="33" t="s">
        <v>374</v>
      </c>
      <c r="D302" s="42" t="s">
        <v>10</v>
      </c>
      <c r="E302" s="44">
        <f t="shared" si="8"/>
        <v>1</v>
      </c>
      <c r="F302" s="42" t="s">
        <v>12</v>
      </c>
      <c r="G302" s="19">
        <f t="shared" si="9"/>
        <v>0.38</v>
      </c>
      <c r="H302" t="s">
        <v>375</v>
      </c>
    </row>
    <row r="303" spans="2:8" x14ac:dyDescent="0.25">
      <c r="B303" s="33" t="s">
        <v>376</v>
      </c>
      <c r="D303" s="42" t="s">
        <v>10</v>
      </c>
      <c r="E303" s="44">
        <f t="shared" si="8"/>
        <v>1</v>
      </c>
      <c r="F303" s="42" t="s">
        <v>12</v>
      </c>
      <c r="G303" s="19">
        <f t="shared" si="9"/>
        <v>0.38</v>
      </c>
    </row>
    <row r="304" spans="2:8" x14ac:dyDescent="0.25">
      <c r="B304" s="33" t="s">
        <v>377</v>
      </c>
      <c r="D304" s="42" t="s">
        <v>12</v>
      </c>
      <c r="E304" s="44">
        <f t="shared" si="8"/>
        <v>1.5</v>
      </c>
      <c r="F304" s="42" t="s">
        <v>10</v>
      </c>
      <c r="G304" s="19">
        <f t="shared" si="9"/>
        <v>0.3</v>
      </c>
      <c r="H304" t="s">
        <v>378</v>
      </c>
    </row>
    <row r="305" spans="2:8" x14ac:dyDescent="0.25">
      <c r="B305" s="33" t="s">
        <v>371</v>
      </c>
      <c r="D305" s="42" t="s">
        <v>8</v>
      </c>
      <c r="E305" s="44">
        <f t="shared" si="8"/>
        <v>2.5</v>
      </c>
      <c r="F305" s="42" t="s">
        <v>12</v>
      </c>
      <c r="G305" s="19">
        <f t="shared" si="9"/>
        <v>0.38</v>
      </c>
      <c r="H305" t="s">
        <v>292</v>
      </c>
    </row>
    <row r="306" spans="2:8" x14ac:dyDescent="0.25">
      <c r="B306" s="33" t="s">
        <v>379</v>
      </c>
      <c r="D306" s="42" t="s">
        <v>12</v>
      </c>
      <c r="E306" s="44">
        <f t="shared" si="8"/>
        <v>1.5</v>
      </c>
      <c r="F306" s="42" t="s">
        <v>17</v>
      </c>
      <c r="G306" s="19">
        <f t="shared" si="9"/>
        <v>0.23</v>
      </c>
      <c r="H306" t="s">
        <v>380</v>
      </c>
    </row>
    <row r="307" spans="2:8" x14ac:dyDescent="0.25">
      <c r="B307" s="33" t="s">
        <v>381</v>
      </c>
      <c r="D307" s="42" t="s">
        <v>12</v>
      </c>
      <c r="E307" s="44">
        <f t="shared" si="8"/>
        <v>1.5</v>
      </c>
      <c r="F307" s="42" t="s">
        <v>10</v>
      </c>
      <c r="G307" s="19">
        <f t="shared" si="9"/>
        <v>0.3</v>
      </c>
    </row>
    <row r="308" spans="2:8" x14ac:dyDescent="0.25">
      <c r="B308" s="33" t="s">
        <v>382</v>
      </c>
      <c r="D308" s="42" t="s">
        <v>8</v>
      </c>
      <c r="E308" s="44">
        <f t="shared" si="8"/>
        <v>2.5</v>
      </c>
      <c r="F308" s="42" t="s">
        <v>10</v>
      </c>
      <c r="G308" s="19">
        <f t="shared" si="9"/>
        <v>0.3</v>
      </c>
    </row>
    <row r="309" spans="2:8" x14ac:dyDescent="0.25">
      <c r="B309" s="33" t="s">
        <v>383</v>
      </c>
      <c r="D309" s="42" t="s">
        <v>12</v>
      </c>
      <c r="E309" s="44">
        <f t="shared" si="8"/>
        <v>1.5</v>
      </c>
      <c r="F309" s="42" t="s">
        <v>10</v>
      </c>
      <c r="G309" s="19">
        <f t="shared" si="9"/>
        <v>0.3</v>
      </c>
    </row>
    <row r="310" spans="2:8" x14ac:dyDescent="0.25">
      <c r="B310" s="33" t="s">
        <v>384</v>
      </c>
      <c r="D310" s="42" t="s">
        <v>12</v>
      </c>
      <c r="E310" s="44">
        <f t="shared" si="8"/>
        <v>1.5</v>
      </c>
      <c r="F310" s="42" t="s">
        <v>17</v>
      </c>
      <c r="G310" s="19">
        <f t="shared" si="9"/>
        <v>0.23</v>
      </c>
      <c r="H310" t="s">
        <v>380</v>
      </c>
    </row>
    <row r="311" spans="2:8" x14ac:dyDescent="0.25">
      <c r="B311" s="33" t="s">
        <v>386</v>
      </c>
      <c r="D311" s="42" t="s">
        <v>17</v>
      </c>
      <c r="E311" s="44">
        <f t="shared" si="8"/>
        <v>0.5</v>
      </c>
      <c r="F311" s="42" t="s">
        <v>10</v>
      </c>
      <c r="G311" s="19">
        <f t="shared" si="9"/>
        <v>0.3</v>
      </c>
      <c r="H311" t="s">
        <v>387</v>
      </c>
    </row>
    <row r="312" spans="2:8" x14ac:dyDescent="0.25">
      <c r="B312" s="33" t="s">
        <v>388</v>
      </c>
      <c r="D312" s="42" t="s">
        <v>9</v>
      </c>
      <c r="E312" s="44">
        <f t="shared" si="8"/>
        <v>2</v>
      </c>
      <c r="F312" s="42" t="s">
        <v>12</v>
      </c>
      <c r="G312" s="19">
        <f t="shared" si="9"/>
        <v>0.38</v>
      </c>
      <c r="H312" t="s">
        <v>389</v>
      </c>
    </row>
    <row r="313" spans="2:8" x14ac:dyDescent="0.25">
      <c r="B313" s="33" t="s">
        <v>390</v>
      </c>
      <c r="D313" s="42" t="s">
        <v>12</v>
      </c>
      <c r="E313" s="44">
        <f t="shared" si="8"/>
        <v>1.5</v>
      </c>
      <c r="F313" s="42" t="s">
        <v>17</v>
      </c>
      <c r="G313" s="19">
        <f t="shared" si="9"/>
        <v>0.23</v>
      </c>
      <c r="H313" t="s">
        <v>391</v>
      </c>
    </row>
    <row r="314" spans="2:8" x14ac:dyDescent="0.25">
      <c r="B314" s="33" t="s">
        <v>392</v>
      </c>
      <c r="D314" s="42" t="s">
        <v>12</v>
      </c>
      <c r="E314" s="44">
        <f t="shared" si="8"/>
        <v>1.5</v>
      </c>
      <c r="F314" s="42" t="s">
        <v>10</v>
      </c>
      <c r="G314" s="19">
        <f t="shared" si="9"/>
        <v>0.3</v>
      </c>
      <c r="H314" t="s">
        <v>322</v>
      </c>
    </row>
    <row r="315" spans="2:8" x14ac:dyDescent="0.25">
      <c r="B315" s="33" t="s">
        <v>393</v>
      </c>
      <c r="D315" s="42" t="s">
        <v>9</v>
      </c>
      <c r="E315" s="44">
        <f t="shared" si="8"/>
        <v>2</v>
      </c>
      <c r="F315" s="42" t="s">
        <v>12</v>
      </c>
      <c r="G315" s="19">
        <f t="shared" si="9"/>
        <v>0.38</v>
      </c>
      <c r="H315" t="s">
        <v>394</v>
      </c>
    </row>
    <row r="316" spans="2:8" x14ac:dyDescent="0.25">
      <c r="B316" s="33" t="s">
        <v>395</v>
      </c>
      <c r="D316" s="42" t="s">
        <v>9</v>
      </c>
      <c r="E316" s="44">
        <f t="shared" si="8"/>
        <v>2</v>
      </c>
      <c r="F316" s="42" t="s">
        <v>87</v>
      </c>
      <c r="G316" s="19">
        <f t="shared" si="9"/>
        <v>0.85</v>
      </c>
      <c r="H316" t="s">
        <v>396</v>
      </c>
    </row>
    <row r="317" spans="2:8" x14ac:dyDescent="0.25">
      <c r="B317" s="33" t="s">
        <v>397</v>
      </c>
      <c r="D317" s="42" t="s">
        <v>10</v>
      </c>
      <c r="E317" s="44">
        <f t="shared" si="8"/>
        <v>1</v>
      </c>
      <c r="F317" s="42" t="s">
        <v>12</v>
      </c>
      <c r="G317" s="19">
        <f t="shared" si="9"/>
        <v>0.38</v>
      </c>
      <c r="H317" t="s">
        <v>398</v>
      </c>
    </row>
    <row r="318" spans="2:8" x14ac:dyDescent="0.25">
      <c r="B318" s="33" t="s">
        <v>399</v>
      </c>
      <c r="D318" s="42" t="s">
        <v>12</v>
      </c>
      <c r="E318" s="44">
        <f t="shared" si="8"/>
        <v>1.5</v>
      </c>
      <c r="F318" s="42" t="s">
        <v>10</v>
      </c>
      <c r="G318" s="19">
        <f t="shared" si="9"/>
        <v>0.3</v>
      </c>
      <c r="H318" t="s">
        <v>400</v>
      </c>
    </row>
    <row r="319" spans="2:8" x14ac:dyDescent="0.25">
      <c r="B319" s="33" t="s">
        <v>401</v>
      </c>
      <c r="D319" s="42" t="s">
        <v>8</v>
      </c>
      <c r="E319" s="44">
        <f t="shared" si="8"/>
        <v>2.5</v>
      </c>
      <c r="F319" s="42" t="s">
        <v>17</v>
      </c>
      <c r="G319" s="19">
        <f t="shared" si="9"/>
        <v>0.23</v>
      </c>
    </row>
    <row r="320" spans="2:8" x14ac:dyDescent="0.25">
      <c r="B320" s="33" t="s">
        <v>402</v>
      </c>
      <c r="D320" s="42" t="s">
        <v>12</v>
      </c>
      <c r="E320" s="44">
        <f t="shared" si="8"/>
        <v>1.5</v>
      </c>
      <c r="F320" s="42" t="s">
        <v>17</v>
      </c>
      <c r="G320" s="19">
        <f t="shared" si="9"/>
        <v>0.23</v>
      </c>
    </row>
    <row r="321" spans="1:8" x14ac:dyDescent="0.25">
      <c r="B321" s="33" t="s">
        <v>403</v>
      </c>
      <c r="D321" s="42" t="s">
        <v>10</v>
      </c>
      <c r="E321" s="44">
        <f t="shared" si="8"/>
        <v>1</v>
      </c>
      <c r="F321" s="42" t="s">
        <v>12</v>
      </c>
      <c r="G321" s="19">
        <f t="shared" si="9"/>
        <v>0.38</v>
      </c>
      <c r="H321" t="s">
        <v>245</v>
      </c>
    </row>
    <row r="322" spans="1:8" x14ac:dyDescent="0.25">
      <c r="B322" s="33" t="s">
        <v>404</v>
      </c>
      <c r="D322" s="42" t="s">
        <v>12</v>
      </c>
      <c r="E322" s="44">
        <f t="shared" si="8"/>
        <v>1.5</v>
      </c>
      <c r="F322" s="42" t="s">
        <v>10</v>
      </c>
      <c r="G322" s="19">
        <f t="shared" si="9"/>
        <v>0.3</v>
      </c>
    </row>
    <row r="323" spans="1:8" x14ac:dyDescent="0.25">
      <c r="B323" s="33" t="s">
        <v>405</v>
      </c>
      <c r="D323" s="42" t="s">
        <v>17</v>
      </c>
      <c r="E323" s="44">
        <f t="shared" si="8"/>
        <v>0.5</v>
      </c>
      <c r="F323" s="42" t="s">
        <v>12</v>
      </c>
      <c r="G323" s="19">
        <f t="shared" si="9"/>
        <v>0.38</v>
      </c>
      <c r="H323" t="s">
        <v>407</v>
      </c>
    </row>
    <row r="324" spans="1:8" x14ac:dyDescent="0.25">
      <c r="B324" s="33" t="s">
        <v>406</v>
      </c>
      <c r="D324" s="42" t="s">
        <v>12</v>
      </c>
      <c r="E324" s="44">
        <f t="shared" ref="E324:E387" si="10">IF(C324="",INDEX($N$8:$U$8,1,MATCH(D324,$N$7:$U$7,0)),C324)</f>
        <v>1.5</v>
      </c>
      <c r="F324" s="42" t="s">
        <v>10</v>
      </c>
      <c r="G324" s="19">
        <f t="shared" si="9"/>
        <v>0.3</v>
      </c>
    </row>
    <row r="325" spans="1:8" x14ac:dyDescent="0.25">
      <c r="B325" s="33" t="s">
        <v>408</v>
      </c>
      <c r="D325" s="42" t="s">
        <v>9</v>
      </c>
      <c r="E325" s="44">
        <f t="shared" si="10"/>
        <v>2</v>
      </c>
      <c r="F325" s="42" t="s">
        <v>17</v>
      </c>
      <c r="G325" s="19">
        <f t="shared" ref="G325:G388" si="11">INDEX($N$11:$U$11,1,MATCH(F325,$N$10:$U$10,0))</f>
        <v>0.23</v>
      </c>
    </row>
    <row r="326" spans="1:8" x14ac:dyDescent="0.25">
      <c r="B326" s="33" t="s">
        <v>409</v>
      </c>
      <c r="D326" s="42" t="s">
        <v>12</v>
      </c>
      <c r="E326" s="44">
        <f t="shared" si="10"/>
        <v>1.5</v>
      </c>
      <c r="F326" s="42" t="s">
        <v>17</v>
      </c>
      <c r="G326" s="19">
        <f t="shared" si="11"/>
        <v>0.23</v>
      </c>
      <c r="H326" t="s">
        <v>410</v>
      </c>
    </row>
    <row r="327" spans="1:8" x14ac:dyDescent="0.25">
      <c r="B327" s="33" t="s">
        <v>411</v>
      </c>
      <c r="D327" s="42" t="s">
        <v>12</v>
      </c>
      <c r="E327" s="44">
        <f t="shared" si="10"/>
        <v>1.5</v>
      </c>
      <c r="F327" s="42" t="s">
        <v>10</v>
      </c>
      <c r="G327" s="19">
        <f t="shared" si="11"/>
        <v>0.3</v>
      </c>
    </row>
    <row r="328" spans="1:8" x14ac:dyDescent="0.25">
      <c r="B328" s="33" t="s">
        <v>412</v>
      </c>
      <c r="D328" s="42" t="s">
        <v>12</v>
      </c>
      <c r="E328" s="44">
        <f t="shared" si="10"/>
        <v>1.5</v>
      </c>
      <c r="F328" s="42" t="s">
        <v>10</v>
      </c>
      <c r="G328" s="19">
        <f t="shared" si="11"/>
        <v>0.3</v>
      </c>
    </row>
    <row r="329" spans="1:8" x14ac:dyDescent="0.25">
      <c r="B329" s="33" t="s">
        <v>413</v>
      </c>
      <c r="D329" s="42" t="s">
        <v>8</v>
      </c>
      <c r="E329" s="44">
        <f t="shared" si="10"/>
        <v>2.5</v>
      </c>
      <c r="F329" s="42" t="s">
        <v>9</v>
      </c>
      <c r="G329" s="19">
        <f t="shared" si="11"/>
        <v>0.48</v>
      </c>
    </row>
    <row r="330" spans="1:8" x14ac:dyDescent="0.25">
      <c r="B330" s="33" t="s">
        <v>414</v>
      </c>
      <c r="D330" s="42" t="s">
        <v>10</v>
      </c>
      <c r="E330" s="44">
        <f t="shared" si="10"/>
        <v>1</v>
      </c>
      <c r="F330" s="42" t="s">
        <v>12</v>
      </c>
      <c r="G330" s="19">
        <f t="shared" si="11"/>
        <v>0.38</v>
      </c>
      <c r="H330" t="s">
        <v>415</v>
      </c>
    </row>
    <row r="331" spans="1:8" x14ac:dyDescent="0.25">
      <c r="B331" s="33" t="s">
        <v>416</v>
      </c>
      <c r="D331" s="42" t="s">
        <v>9</v>
      </c>
      <c r="E331" s="44">
        <f t="shared" si="10"/>
        <v>2</v>
      </c>
      <c r="F331" s="42" t="s">
        <v>17</v>
      </c>
      <c r="G331" s="19">
        <f t="shared" si="11"/>
        <v>0.23</v>
      </c>
      <c r="H331" s="20" t="s">
        <v>417</v>
      </c>
    </row>
    <row r="332" spans="1:8" x14ac:dyDescent="0.25">
      <c r="B332" s="33" t="s">
        <v>419</v>
      </c>
      <c r="D332" s="42" t="s">
        <v>9</v>
      </c>
      <c r="E332" s="44">
        <f t="shared" si="10"/>
        <v>2</v>
      </c>
      <c r="F332" s="42" t="s">
        <v>17</v>
      </c>
      <c r="G332" s="19">
        <f t="shared" si="11"/>
        <v>0.23</v>
      </c>
    </row>
    <row r="333" spans="1:8" x14ac:dyDescent="0.25">
      <c r="B333" s="33" t="s">
        <v>420</v>
      </c>
      <c r="D333" s="42" t="s">
        <v>9</v>
      </c>
      <c r="E333" s="44">
        <f t="shared" si="10"/>
        <v>2</v>
      </c>
      <c r="F333" s="42" t="s">
        <v>10</v>
      </c>
      <c r="G333" s="19">
        <f t="shared" si="11"/>
        <v>0.3</v>
      </c>
    </row>
    <row r="334" spans="1:8" x14ac:dyDescent="0.25">
      <c r="B334" s="33" t="s">
        <v>421</v>
      </c>
      <c r="D334" s="42" t="s">
        <v>17</v>
      </c>
      <c r="E334" s="44">
        <f t="shared" si="10"/>
        <v>0.5</v>
      </c>
      <c r="F334" s="42" t="s">
        <v>10</v>
      </c>
      <c r="G334" s="19">
        <f t="shared" si="11"/>
        <v>0.3</v>
      </c>
    </row>
    <row r="335" spans="1:8" x14ac:dyDescent="0.25">
      <c r="B335" s="33" t="s">
        <v>422</v>
      </c>
      <c r="D335" s="42" t="s">
        <v>12</v>
      </c>
      <c r="E335" s="44">
        <f t="shared" si="10"/>
        <v>1.5</v>
      </c>
      <c r="F335" s="42" t="s">
        <v>17</v>
      </c>
      <c r="G335" s="19">
        <f t="shared" si="11"/>
        <v>0.23</v>
      </c>
    </row>
    <row r="336" spans="1:8" x14ac:dyDescent="0.25">
      <c r="A336" s="27" t="s">
        <v>658</v>
      </c>
      <c r="B336" s="77" t="s">
        <v>423</v>
      </c>
      <c r="C336" s="49"/>
      <c r="D336" s="50" t="s">
        <v>12</v>
      </c>
      <c r="E336" s="79">
        <f t="shared" si="10"/>
        <v>1.5</v>
      </c>
      <c r="F336" s="50" t="s">
        <v>8</v>
      </c>
      <c r="G336" s="51">
        <f t="shared" si="11"/>
        <v>0.6</v>
      </c>
    </row>
    <row r="337" spans="2:11" x14ac:dyDescent="0.25">
      <c r="B337" s="33" t="s">
        <v>424</v>
      </c>
      <c r="D337" s="42" t="s">
        <v>10</v>
      </c>
      <c r="E337" s="44">
        <f t="shared" si="10"/>
        <v>1</v>
      </c>
      <c r="F337" s="42" t="s">
        <v>12</v>
      </c>
      <c r="G337" s="19">
        <f t="shared" si="11"/>
        <v>0.38</v>
      </c>
    </row>
    <row r="338" spans="2:11" x14ac:dyDescent="0.25">
      <c r="B338" s="33" t="s">
        <v>425</v>
      </c>
      <c r="D338" s="42" t="s">
        <v>12</v>
      </c>
      <c r="E338" s="44">
        <f t="shared" si="10"/>
        <v>1.5</v>
      </c>
      <c r="F338" s="42" t="s">
        <v>17</v>
      </c>
      <c r="G338" s="19">
        <f t="shared" si="11"/>
        <v>0.23</v>
      </c>
    </row>
    <row r="339" spans="2:11" x14ac:dyDescent="0.25">
      <c r="B339" s="33" t="s">
        <v>426</v>
      </c>
      <c r="D339" s="42" t="s">
        <v>12</v>
      </c>
      <c r="E339" s="44">
        <f t="shared" si="10"/>
        <v>1.5</v>
      </c>
      <c r="F339" s="42" t="s">
        <v>17</v>
      </c>
      <c r="G339" s="19">
        <f t="shared" si="11"/>
        <v>0.23</v>
      </c>
    </row>
    <row r="340" spans="2:11" x14ac:dyDescent="0.25">
      <c r="B340" s="33" t="s">
        <v>427</v>
      </c>
      <c r="D340" s="42" t="s">
        <v>9</v>
      </c>
      <c r="E340" s="44">
        <f t="shared" si="10"/>
        <v>2</v>
      </c>
      <c r="F340" s="42" t="s">
        <v>17</v>
      </c>
      <c r="G340" s="19">
        <f t="shared" si="11"/>
        <v>0.23</v>
      </c>
    </row>
    <row r="341" spans="2:11" x14ac:dyDescent="0.25">
      <c r="B341" s="33" t="s">
        <v>428</v>
      </c>
      <c r="D341" s="42" t="s">
        <v>12</v>
      </c>
      <c r="E341" s="44">
        <f t="shared" si="10"/>
        <v>1.5</v>
      </c>
      <c r="F341" s="42" t="s">
        <v>17</v>
      </c>
      <c r="G341" s="19">
        <f t="shared" si="11"/>
        <v>0.23</v>
      </c>
    </row>
    <row r="342" spans="2:11" x14ac:dyDescent="0.25">
      <c r="B342" s="33" t="s">
        <v>429</v>
      </c>
      <c r="D342" s="42" t="s">
        <v>10</v>
      </c>
      <c r="E342" s="44">
        <f t="shared" si="10"/>
        <v>1</v>
      </c>
      <c r="F342" s="42" t="s">
        <v>9</v>
      </c>
      <c r="G342" s="19">
        <f t="shared" si="11"/>
        <v>0.48</v>
      </c>
      <c r="H342" t="s">
        <v>430</v>
      </c>
    </row>
    <row r="343" spans="2:11" x14ac:dyDescent="0.25">
      <c r="B343" s="33" t="s">
        <v>431</v>
      </c>
      <c r="D343" s="42" t="s">
        <v>10</v>
      </c>
      <c r="E343" s="44">
        <f t="shared" si="10"/>
        <v>1</v>
      </c>
      <c r="F343" s="42" t="s">
        <v>9</v>
      </c>
      <c r="G343" s="19">
        <f t="shared" si="11"/>
        <v>0.48</v>
      </c>
      <c r="H343" t="s">
        <v>659</v>
      </c>
    </row>
    <row r="344" spans="2:11" x14ac:dyDescent="0.25">
      <c r="B344" s="33" t="s">
        <v>432</v>
      </c>
      <c r="D344" s="42" t="s">
        <v>10</v>
      </c>
      <c r="E344" s="44">
        <f t="shared" si="10"/>
        <v>1</v>
      </c>
      <c r="F344" s="42" t="s">
        <v>9</v>
      </c>
      <c r="G344" s="19">
        <f t="shared" si="11"/>
        <v>0.48</v>
      </c>
    </row>
    <row r="345" spans="2:11" x14ac:dyDescent="0.25">
      <c r="B345" s="33" t="s">
        <v>433</v>
      </c>
      <c r="D345" s="42" t="s">
        <v>12</v>
      </c>
      <c r="E345" s="44">
        <f t="shared" si="10"/>
        <v>1.5</v>
      </c>
      <c r="F345" s="42" t="s">
        <v>10</v>
      </c>
      <c r="G345" s="19">
        <f t="shared" si="11"/>
        <v>0.3</v>
      </c>
    </row>
    <row r="346" spans="2:11" x14ac:dyDescent="0.25">
      <c r="B346" s="33" t="s">
        <v>434</v>
      </c>
      <c r="D346" s="42" t="s">
        <v>17</v>
      </c>
      <c r="E346" s="44">
        <f t="shared" si="10"/>
        <v>0.5</v>
      </c>
      <c r="F346" s="42" t="s">
        <v>10</v>
      </c>
      <c r="G346" s="19">
        <f t="shared" si="11"/>
        <v>0.3</v>
      </c>
    </row>
    <row r="347" spans="2:11" x14ac:dyDescent="0.25">
      <c r="B347" s="33" t="s">
        <v>435</v>
      </c>
      <c r="D347" s="42" t="s">
        <v>9</v>
      </c>
      <c r="E347" s="44">
        <f t="shared" si="10"/>
        <v>2</v>
      </c>
      <c r="F347" s="42" t="s">
        <v>17</v>
      </c>
      <c r="G347" s="19">
        <f t="shared" si="11"/>
        <v>0.23</v>
      </c>
      <c r="H347" t="s">
        <v>436</v>
      </c>
    </row>
    <row r="348" spans="2:11" x14ac:dyDescent="0.25">
      <c r="B348" s="33" t="s">
        <v>437</v>
      </c>
      <c r="D348" s="42" t="s">
        <v>12</v>
      </c>
      <c r="E348" s="44">
        <f t="shared" si="10"/>
        <v>1.5</v>
      </c>
      <c r="F348" s="42" t="s">
        <v>17</v>
      </c>
      <c r="G348" s="19">
        <f t="shared" si="11"/>
        <v>0.23</v>
      </c>
    </row>
    <row r="349" spans="2:11" x14ac:dyDescent="0.25">
      <c r="B349" s="33" t="s">
        <v>438</v>
      </c>
      <c r="D349" s="42" t="s">
        <v>122</v>
      </c>
      <c r="E349" s="44">
        <f t="shared" si="10"/>
        <v>4</v>
      </c>
      <c r="F349" s="42" t="s">
        <v>87</v>
      </c>
      <c r="G349" s="19">
        <f t="shared" si="11"/>
        <v>0.85</v>
      </c>
      <c r="H349" t="s">
        <v>439</v>
      </c>
    </row>
    <row r="350" spans="2:11" x14ac:dyDescent="0.25">
      <c r="B350" s="33" t="s">
        <v>440</v>
      </c>
      <c r="D350" s="42" t="s">
        <v>12</v>
      </c>
      <c r="E350" s="44">
        <f t="shared" si="10"/>
        <v>1.5</v>
      </c>
      <c r="F350" s="42" t="s">
        <v>10</v>
      </c>
      <c r="G350" s="19">
        <f t="shared" si="11"/>
        <v>0.3</v>
      </c>
    </row>
    <row r="351" spans="2:11" x14ac:dyDescent="0.25">
      <c r="B351" s="33" t="s">
        <v>441</v>
      </c>
      <c r="D351" s="42" t="s">
        <v>12</v>
      </c>
      <c r="E351" s="44">
        <f t="shared" si="10"/>
        <v>1.5</v>
      </c>
      <c r="F351" s="42" t="s">
        <v>10</v>
      </c>
      <c r="G351" s="19">
        <f t="shared" si="11"/>
        <v>0.3</v>
      </c>
      <c r="H351" t="s">
        <v>442</v>
      </c>
    </row>
    <row r="352" spans="2:11" x14ac:dyDescent="0.25">
      <c r="B352" s="33" t="s">
        <v>443</v>
      </c>
      <c r="D352" s="42" t="s">
        <v>8</v>
      </c>
      <c r="E352" s="44">
        <f t="shared" si="10"/>
        <v>2.5</v>
      </c>
      <c r="F352" s="42" t="s">
        <v>17</v>
      </c>
      <c r="G352" s="19">
        <f t="shared" si="11"/>
        <v>0.23</v>
      </c>
      <c r="H352" t="s">
        <v>444</v>
      </c>
      <c r="K352" t="s">
        <v>449</v>
      </c>
    </row>
    <row r="353" spans="2:8" x14ac:dyDescent="0.25">
      <c r="B353" s="33" t="s">
        <v>445</v>
      </c>
      <c r="D353" s="42" t="s">
        <v>12</v>
      </c>
      <c r="E353" s="44">
        <f t="shared" si="10"/>
        <v>1.5</v>
      </c>
      <c r="F353" s="42" t="s">
        <v>10</v>
      </c>
      <c r="G353" s="19">
        <f t="shared" si="11"/>
        <v>0.3</v>
      </c>
    </row>
    <row r="354" spans="2:8" x14ac:dyDescent="0.25">
      <c r="B354" s="33" t="s">
        <v>446</v>
      </c>
      <c r="D354" s="42" t="s">
        <v>9</v>
      </c>
      <c r="E354" s="44">
        <f t="shared" si="10"/>
        <v>2</v>
      </c>
      <c r="F354" s="42" t="s">
        <v>10</v>
      </c>
      <c r="G354" s="19">
        <f t="shared" si="11"/>
        <v>0.3</v>
      </c>
    </row>
    <row r="355" spans="2:8" x14ac:dyDescent="0.25">
      <c r="B355" s="33" t="s">
        <v>447</v>
      </c>
      <c r="D355" s="42" t="s">
        <v>10</v>
      </c>
      <c r="E355" s="44">
        <f t="shared" si="10"/>
        <v>1</v>
      </c>
      <c r="F355" s="42" t="s">
        <v>12</v>
      </c>
      <c r="G355" s="19">
        <f t="shared" si="11"/>
        <v>0.38</v>
      </c>
      <c r="H355" t="s">
        <v>448</v>
      </c>
    </row>
    <row r="356" spans="2:8" x14ac:dyDescent="0.25">
      <c r="B356" s="33" t="s">
        <v>234</v>
      </c>
      <c r="D356" s="42" t="s">
        <v>8</v>
      </c>
      <c r="E356" s="44">
        <f t="shared" si="10"/>
        <v>2.5</v>
      </c>
      <c r="F356" s="42" t="s">
        <v>10</v>
      </c>
      <c r="G356" s="19">
        <f t="shared" si="11"/>
        <v>0.3</v>
      </c>
    </row>
    <row r="357" spans="2:8" x14ac:dyDescent="0.25">
      <c r="B357" s="33" t="s">
        <v>450</v>
      </c>
      <c r="D357" s="42" t="s">
        <v>9</v>
      </c>
      <c r="E357" s="44">
        <f t="shared" si="10"/>
        <v>2</v>
      </c>
      <c r="F357" s="42" t="s">
        <v>12</v>
      </c>
      <c r="G357" s="19">
        <f t="shared" si="11"/>
        <v>0.38</v>
      </c>
    </row>
    <row r="358" spans="2:8" x14ac:dyDescent="0.25">
      <c r="B358" s="33" t="s">
        <v>451</v>
      </c>
      <c r="D358" s="42" t="s">
        <v>17</v>
      </c>
      <c r="E358" s="44">
        <f t="shared" si="10"/>
        <v>0.5</v>
      </c>
      <c r="F358" s="42" t="s">
        <v>12</v>
      </c>
      <c r="G358" s="19">
        <f t="shared" si="11"/>
        <v>0.38</v>
      </c>
      <c r="H358" t="s">
        <v>452</v>
      </c>
    </row>
    <row r="359" spans="2:8" x14ac:dyDescent="0.25">
      <c r="B359" s="33" t="s">
        <v>453</v>
      </c>
      <c r="D359" s="42" t="s">
        <v>10</v>
      </c>
      <c r="E359" s="44">
        <f t="shared" si="10"/>
        <v>1</v>
      </c>
      <c r="F359" s="42" t="s">
        <v>12</v>
      </c>
      <c r="G359" s="19">
        <f t="shared" si="11"/>
        <v>0.38</v>
      </c>
    </row>
    <row r="360" spans="2:8" x14ac:dyDescent="0.25">
      <c r="B360" s="33" t="s">
        <v>454</v>
      </c>
      <c r="D360" s="42" t="s">
        <v>10</v>
      </c>
      <c r="E360" s="44">
        <f t="shared" si="10"/>
        <v>1</v>
      </c>
      <c r="F360" s="42" t="s">
        <v>9</v>
      </c>
      <c r="G360" s="19">
        <f t="shared" si="11"/>
        <v>0.48</v>
      </c>
    </row>
    <row r="361" spans="2:8" x14ac:dyDescent="0.25">
      <c r="B361" s="33" t="s">
        <v>455</v>
      </c>
      <c r="D361" s="42" t="s">
        <v>10</v>
      </c>
      <c r="E361" s="44">
        <f t="shared" si="10"/>
        <v>1</v>
      </c>
      <c r="F361" s="42" t="s">
        <v>12</v>
      </c>
      <c r="G361" s="19">
        <f t="shared" si="11"/>
        <v>0.38</v>
      </c>
      <c r="H361" t="s">
        <v>456</v>
      </c>
    </row>
    <row r="362" spans="2:8" x14ac:dyDescent="0.25">
      <c r="B362" s="33" t="s">
        <v>459</v>
      </c>
      <c r="D362" s="42" t="s">
        <v>178</v>
      </c>
      <c r="E362" s="44">
        <f t="shared" si="10"/>
        <v>3</v>
      </c>
      <c r="F362" s="42" t="s">
        <v>12</v>
      </c>
      <c r="G362" s="19">
        <f t="shared" si="11"/>
        <v>0.38</v>
      </c>
      <c r="H362" t="s">
        <v>457</v>
      </c>
    </row>
    <row r="363" spans="2:8" x14ac:dyDescent="0.25">
      <c r="B363" s="33" t="s">
        <v>458</v>
      </c>
      <c r="D363" s="42" t="s">
        <v>12</v>
      </c>
      <c r="E363" s="44">
        <f t="shared" si="10"/>
        <v>1.5</v>
      </c>
      <c r="F363" s="42" t="s">
        <v>10</v>
      </c>
      <c r="G363" s="19">
        <f t="shared" si="11"/>
        <v>0.3</v>
      </c>
    </row>
    <row r="364" spans="2:8" x14ac:dyDescent="0.25">
      <c r="B364" s="33" t="s">
        <v>460</v>
      </c>
      <c r="D364" s="42" t="s">
        <v>12</v>
      </c>
      <c r="E364" s="44">
        <f t="shared" si="10"/>
        <v>1.5</v>
      </c>
      <c r="F364" s="42" t="s">
        <v>17</v>
      </c>
      <c r="G364" s="19">
        <f t="shared" si="11"/>
        <v>0.23</v>
      </c>
    </row>
    <row r="365" spans="2:8" x14ac:dyDescent="0.25">
      <c r="B365" s="33" t="s">
        <v>166</v>
      </c>
      <c r="D365" s="42" t="s">
        <v>9</v>
      </c>
      <c r="E365" s="44">
        <f t="shared" si="10"/>
        <v>2</v>
      </c>
      <c r="F365" s="42" t="s">
        <v>17</v>
      </c>
      <c r="G365" s="19">
        <f t="shared" si="11"/>
        <v>0.23</v>
      </c>
    </row>
    <row r="366" spans="2:8" x14ac:dyDescent="0.25">
      <c r="B366" s="33" t="s">
        <v>462</v>
      </c>
      <c r="D366" s="42" t="s">
        <v>12</v>
      </c>
      <c r="E366" s="44">
        <f t="shared" si="10"/>
        <v>1.5</v>
      </c>
      <c r="F366" s="42" t="s">
        <v>12</v>
      </c>
      <c r="G366" s="19">
        <f t="shared" si="11"/>
        <v>0.38</v>
      </c>
      <c r="H366" t="s">
        <v>463</v>
      </c>
    </row>
    <row r="367" spans="2:8" x14ac:dyDescent="0.25">
      <c r="B367" s="33" t="s">
        <v>464</v>
      </c>
      <c r="D367" s="42" t="s">
        <v>8</v>
      </c>
      <c r="E367" s="44">
        <f t="shared" si="10"/>
        <v>2.5</v>
      </c>
      <c r="F367" s="42" t="s">
        <v>12</v>
      </c>
      <c r="G367" s="19">
        <f t="shared" si="11"/>
        <v>0.38</v>
      </c>
    </row>
    <row r="368" spans="2:8" x14ac:dyDescent="0.25">
      <c r="B368" s="33" t="s">
        <v>465</v>
      </c>
      <c r="D368" s="42" t="s">
        <v>12</v>
      </c>
      <c r="E368" s="44">
        <f t="shared" si="10"/>
        <v>1.5</v>
      </c>
      <c r="F368" s="42" t="s">
        <v>17</v>
      </c>
      <c r="G368" s="19">
        <f t="shared" si="11"/>
        <v>0.23</v>
      </c>
    </row>
    <row r="369" spans="2:8" x14ac:dyDescent="0.25">
      <c r="B369" s="33" t="s">
        <v>466</v>
      </c>
      <c r="D369" s="42" t="s">
        <v>12</v>
      </c>
      <c r="E369" s="44">
        <f t="shared" si="10"/>
        <v>1.5</v>
      </c>
      <c r="F369" s="42" t="s">
        <v>10</v>
      </c>
      <c r="G369" s="19">
        <f t="shared" si="11"/>
        <v>0.3</v>
      </c>
    </row>
    <row r="370" spans="2:8" x14ac:dyDescent="0.25">
      <c r="B370" s="33" t="s">
        <v>467</v>
      </c>
      <c r="D370" s="42" t="s">
        <v>10</v>
      </c>
      <c r="E370" s="44">
        <f t="shared" si="10"/>
        <v>1</v>
      </c>
      <c r="F370" s="42" t="s">
        <v>12</v>
      </c>
      <c r="G370" s="19">
        <f t="shared" si="11"/>
        <v>0.38</v>
      </c>
    </row>
    <row r="371" spans="2:8" x14ac:dyDescent="0.25">
      <c r="B371" s="33" t="s">
        <v>468</v>
      </c>
      <c r="D371" s="42" t="s">
        <v>12</v>
      </c>
      <c r="E371" s="44">
        <f t="shared" si="10"/>
        <v>1.5</v>
      </c>
      <c r="F371" s="42" t="s">
        <v>12</v>
      </c>
      <c r="G371" s="19">
        <f t="shared" si="11"/>
        <v>0.38</v>
      </c>
      <c r="H371" t="s">
        <v>469</v>
      </c>
    </row>
    <row r="372" spans="2:8" x14ac:dyDescent="0.25">
      <c r="B372" s="33" t="s">
        <v>470</v>
      </c>
      <c r="D372" s="42" t="s">
        <v>12</v>
      </c>
      <c r="E372" s="44">
        <f t="shared" si="10"/>
        <v>1.5</v>
      </c>
      <c r="F372" s="42" t="s">
        <v>10</v>
      </c>
      <c r="G372" s="19">
        <f t="shared" si="11"/>
        <v>0.3</v>
      </c>
    </row>
    <row r="373" spans="2:8" x14ac:dyDescent="0.25">
      <c r="B373" s="33" t="s">
        <v>471</v>
      </c>
      <c r="D373" s="42" t="s">
        <v>9</v>
      </c>
      <c r="E373" s="44">
        <f t="shared" si="10"/>
        <v>2</v>
      </c>
      <c r="F373" s="42" t="s">
        <v>10</v>
      </c>
      <c r="G373" s="19">
        <f t="shared" si="11"/>
        <v>0.3</v>
      </c>
      <c r="H373" t="s">
        <v>316</v>
      </c>
    </row>
    <row r="374" spans="2:8" x14ac:dyDescent="0.25">
      <c r="B374" s="33" t="s">
        <v>472</v>
      </c>
      <c r="D374" s="42" t="s">
        <v>17</v>
      </c>
      <c r="E374" s="44">
        <f t="shared" si="10"/>
        <v>0.5</v>
      </c>
      <c r="F374" s="42" t="s">
        <v>10</v>
      </c>
      <c r="G374" s="19">
        <f t="shared" si="11"/>
        <v>0.3</v>
      </c>
      <c r="H374" t="s">
        <v>498</v>
      </c>
    </row>
    <row r="375" spans="2:8" x14ac:dyDescent="0.25">
      <c r="B375" s="33" t="s">
        <v>473</v>
      </c>
      <c r="D375" s="42" t="s">
        <v>12</v>
      </c>
      <c r="E375" s="44">
        <f t="shared" si="10"/>
        <v>1.5</v>
      </c>
      <c r="F375" s="42" t="s">
        <v>17</v>
      </c>
      <c r="G375" s="19">
        <f t="shared" si="11"/>
        <v>0.23</v>
      </c>
    </row>
    <row r="376" spans="2:8" x14ac:dyDescent="0.25">
      <c r="B376" s="33" t="s">
        <v>475</v>
      </c>
      <c r="D376" s="42" t="s">
        <v>12</v>
      </c>
      <c r="E376" s="44">
        <f t="shared" si="10"/>
        <v>1.5</v>
      </c>
      <c r="F376" s="42" t="s">
        <v>10</v>
      </c>
      <c r="G376" s="19">
        <f t="shared" si="11"/>
        <v>0.3</v>
      </c>
      <c r="H376" t="s">
        <v>322</v>
      </c>
    </row>
    <row r="377" spans="2:8" x14ac:dyDescent="0.25">
      <c r="B377" s="33" t="s">
        <v>476</v>
      </c>
      <c r="D377" s="42" t="s">
        <v>8</v>
      </c>
      <c r="E377" s="44">
        <f t="shared" si="10"/>
        <v>2.5</v>
      </c>
      <c r="F377" s="42" t="s">
        <v>10</v>
      </c>
      <c r="G377" s="19">
        <f t="shared" si="11"/>
        <v>0.3</v>
      </c>
    </row>
    <row r="378" spans="2:8" x14ac:dyDescent="0.25">
      <c r="B378" s="33" t="s">
        <v>477</v>
      </c>
      <c r="D378" s="42" t="s">
        <v>12</v>
      </c>
      <c r="E378" s="44">
        <f t="shared" si="10"/>
        <v>1.5</v>
      </c>
      <c r="F378" s="42" t="s">
        <v>10</v>
      </c>
      <c r="G378" s="19">
        <f t="shared" si="11"/>
        <v>0.3</v>
      </c>
    </row>
    <row r="379" spans="2:8" x14ac:dyDescent="0.25">
      <c r="B379" s="33" t="s">
        <v>478</v>
      </c>
      <c r="D379" s="42" t="s">
        <v>17</v>
      </c>
      <c r="E379" s="44">
        <f t="shared" si="10"/>
        <v>0.5</v>
      </c>
      <c r="F379" s="42" t="s">
        <v>9</v>
      </c>
      <c r="G379" s="19">
        <f t="shared" si="11"/>
        <v>0.48</v>
      </c>
    </row>
    <row r="380" spans="2:8" x14ac:dyDescent="0.25">
      <c r="B380" s="33" t="s">
        <v>479</v>
      </c>
      <c r="D380" s="42" t="s">
        <v>10</v>
      </c>
      <c r="E380" s="44">
        <f t="shared" si="10"/>
        <v>1</v>
      </c>
      <c r="F380" s="42" t="s">
        <v>12</v>
      </c>
      <c r="G380" s="19">
        <f t="shared" si="11"/>
        <v>0.38</v>
      </c>
    </row>
    <row r="381" spans="2:8" x14ac:dyDescent="0.25">
      <c r="B381" s="33" t="s">
        <v>480</v>
      </c>
      <c r="D381" s="42" t="s">
        <v>87</v>
      </c>
      <c r="E381" s="44">
        <f t="shared" si="10"/>
        <v>3.5</v>
      </c>
      <c r="F381" s="42" t="s">
        <v>9</v>
      </c>
      <c r="G381" s="19">
        <f t="shared" si="11"/>
        <v>0.48</v>
      </c>
    </row>
    <row r="382" spans="2:8" x14ac:dyDescent="0.25">
      <c r="B382" s="33" t="s">
        <v>481</v>
      </c>
      <c r="D382" s="42" t="s">
        <v>9</v>
      </c>
      <c r="E382" s="44">
        <f t="shared" si="10"/>
        <v>2</v>
      </c>
      <c r="F382" s="42" t="s">
        <v>17</v>
      </c>
      <c r="G382" s="19">
        <f t="shared" si="11"/>
        <v>0.23</v>
      </c>
    </row>
    <row r="383" spans="2:8" x14ac:dyDescent="0.25">
      <c r="B383" s="33" t="s">
        <v>482</v>
      </c>
      <c r="D383" s="42" t="s">
        <v>8</v>
      </c>
      <c r="E383" s="44">
        <f t="shared" si="10"/>
        <v>2.5</v>
      </c>
      <c r="F383" s="42" t="s">
        <v>178</v>
      </c>
      <c r="G383" s="19">
        <f t="shared" si="11"/>
        <v>0.73</v>
      </c>
    </row>
    <row r="384" spans="2:8" x14ac:dyDescent="0.25">
      <c r="B384" s="33" t="s">
        <v>483</v>
      </c>
      <c r="D384" s="42" t="s">
        <v>178</v>
      </c>
      <c r="E384" s="44">
        <f t="shared" si="10"/>
        <v>3</v>
      </c>
      <c r="F384" s="42" t="s">
        <v>12</v>
      </c>
      <c r="G384" s="19">
        <f t="shared" si="11"/>
        <v>0.38</v>
      </c>
    </row>
    <row r="385" spans="2:8" x14ac:dyDescent="0.25">
      <c r="B385" s="33" t="s">
        <v>485</v>
      </c>
      <c r="D385" s="42" t="s">
        <v>9</v>
      </c>
      <c r="E385" s="44">
        <f t="shared" si="10"/>
        <v>2</v>
      </c>
      <c r="F385" s="42" t="s">
        <v>17</v>
      </c>
      <c r="G385" s="19">
        <f t="shared" si="11"/>
        <v>0.23</v>
      </c>
    </row>
    <row r="386" spans="2:8" x14ac:dyDescent="0.25">
      <c r="B386" s="33" t="s">
        <v>484</v>
      </c>
      <c r="D386" s="42" t="s">
        <v>10</v>
      </c>
      <c r="E386" s="44">
        <f t="shared" si="10"/>
        <v>1</v>
      </c>
      <c r="F386" s="42" t="s">
        <v>12</v>
      </c>
      <c r="G386" s="19">
        <f t="shared" si="11"/>
        <v>0.38</v>
      </c>
      <c r="H386" t="s">
        <v>242</v>
      </c>
    </row>
    <row r="387" spans="2:8" x14ac:dyDescent="0.25">
      <c r="B387" s="33" t="s">
        <v>214</v>
      </c>
      <c r="D387" s="42" t="s">
        <v>12</v>
      </c>
      <c r="E387" s="44">
        <f t="shared" si="10"/>
        <v>1.5</v>
      </c>
      <c r="F387" s="42" t="s">
        <v>17</v>
      </c>
      <c r="G387" s="19">
        <f t="shared" si="11"/>
        <v>0.23</v>
      </c>
      <c r="H387" t="s">
        <v>486</v>
      </c>
    </row>
    <row r="388" spans="2:8" x14ac:dyDescent="0.25">
      <c r="B388" s="33" t="s">
        <v>487</v>
      </c>
      <c r="D388" s="42" t="s">
        <v>9</v>
      </c>
      <c r="E388" s="44">
        <f t="shared" ref="E388:E451" si="12">IF(C388="",INDEX($N$8:$U$8,1,MATCH(D388,$N$7:$U$7,0)),C388)</f>
        <v>2</v>
      </c>
      <c r="F388" s="42" t="s">
        <v>17</v>
      </c>
      <c r="G388" s="19">
        <f t="shared" si="11"/>
        <v>0.23</v>
      </c>
    </row>
    <row r="389" spans="2:8" x14ac:dyDescent="0.25">
      <c r="B389" s="33" t="s">
        <v>488</v>
      </c>
      <c r="D389" s="42" t="s">
        <v>12</v>
      </c>
      <c r="E389" s="44">
        <f t="shared" si="12"/>
        <v>1.5</v>
      </c>
      <c r="F389" s="42" t="s">
        <v>10</v>
      </c>
      <c r="G389" s="19">
        <f t="shared" ref="G389:G452" si="13">INDEX($N$11:$U$11,1,MATCH(F389,$N$10:$U$10,0))</f>
        <v>0.3</v>
      </c>
    </row>
    <row r="390" spans="2:8" x14ac:dyDescent="0.25">
      <c r="B390" s="33" t="s">
        <v>489</v>
      </c>
      <c r="D390" s="42" t="s">
        <v>9</v>
      </c>
      <c r="E390" s="44">
        <f t="shared" si="12"/>
        <v>2</v>
      </c>
      <c r="F390" s="42" t="s">
        <v>12</v>
      </c>
      <c r="G390" s="19">
        <f t="shared" si="13"/>
        <v>0.38</v>
      </c>
      <c r="H390" t="s">
        <v>490</v>
      </c>
    </row>
    <row r="391" spans="2:8" x14ac:dyDescent="0.25">
      <c r="B391" s="33" t="s">
        <v>491</v>
      </c>
      <c r="D391" s="42" t="s">
        <v>8</v>
      </c>
      <c r="E391" s="44">
        <f t="shared" si="12"/>
        <v>2.5</v>
      </c>
      <c r="F391" s="42" t="s">
        <v>10</v>
      </c>
      <c r="G391" s="19">
        <f t="shared" si="13"/>
        <v>0.3</v>
      </c>
    </row>
    <row r="392" spans="2:8" x14ac:dyDescent="0.25">
      <c r="B392" s="33" t="s">
        <v>492</v>
      </c>
      <c r="D392" s="42" t="s">
        <v>9</v>
      </c>
      <c r="E392" s="44">
        <f t="shared" si="12"/>
        <v>2</v>
      </c>
      <c r="F392" s="42" t="s">
        <v>208</v>
      </c>
      <c r="G392" s="19">
        <f t="shared" si="13"/>
        <v>0.17</v>
      </c>
      <c r="H392" t="s">
        <v>493</v>
      </c>
    </row>
    <row r="393" spans="2:8" x14ac:dyDescent="0.25">
      <c r="B393" s="33" t="s">
        <v>494</v>
      </c>
      <c r="D393" s="42" t="s">
        <v>178</v>
      </c>
      <c r="E393" s="44">
        <f t="shared" si="12"/>
        <v>3</v>
      </c>
      <c r="F393" s="42" t="s">
        <v>17</v>
      </c>
      <c r="G393" s="19">
        <f t="shared" si="13"/>
        <v>0.23</v>
      </c>
    </row>
    <row r="394" spans="2:8" x14ac:dyDescent="0.25">
      <c r="B394" s="33" t="s">
        <v>202</v>
      </c>
      <c r="D394" s="42" t="s">
        <v>12</v>
      </c>
      <c r="E394" s="44">
        <f t="shared" si="12"/>
        <v>1.5</v>
      </c>
      <c r="F394" s="42" t="s">
        <v>17</v>
      </c>
      <c r="G394" s="19">
        <f t="shared" si="13"/>
        <v>0.23</v>
      </c>
      <c r="H394" t="s">
        <v>495</v>
      </c>
    </row>
    <row r="395" spans="2:8" x14ac:dyDescent="0.25">
      <c r="B395" s="33" t="s">
        <v>484</v>
      </c>
      <c r="D395" s="42" t="s">
        <v>10</v>
      </c>
      <c r="E395" s="44">
        <f t="shared" si="12"/>
        <v>1</v>
      </c>
      <c r="F395" s="42" t="s">
        <v>12</v>
      </c>
      <c r="G395" s="19">
        <f t="shared" si="13"/>
        <v>0.38</v>
      </c>
      <c r="H395" t="s">
        <v>496</v>
      </c>
    </row>
    <row r="396" spans="2:8" x14ac:dyDescent="0.25">
      <c r="B396" s="33" t="s">
        <v>499</v>
      </c>
      <c r="D396" s="42" t="s">
        <v>17</v>
      </c>
      <c r="E396" s="44">
        <f t="shared" si="12"/>
        <v>0.5</v>
      </c>
      <c r="F396" s="42" t="s">
        <v>12</v>
      </c>
      <c r="G396" s="19">
        <f t="shared" si="13"/>
        <v>0.38</v>
      </c>
      <c r="H396" t="s">
        <v>407</v>
      </c>
    </row>
    <row r="397" spans="2:8" x14ac:dyDescent="0.25">
      <c r="B397" s="33" t="s">
        <v>500</v>
      </c>
      <c r="D397" s="42" t="s">
        <v>8</v>
      </c>
      <c r="E397" s="44">
        <f t="shared" si="12"/>
        <v>2.5</v>
      </c>
      <c r="F397" s="42" t="s">
        <v>17</v>
      </c>
      <c r="G397" s="19">
        <f t="shared" si="13"/>
        <v>0.23</v>
      </c>
    </row>
    <row r="398" spans="2:8" x14ac:dyDescent="0.25">
      <c r="B398" s="33" t="s">
        <v>501</v>
      </c>
      <c r="D398" s="42" t="s">
        <v>9</v>
      </c>
      <c r="E398" s="44">
        <f t="shared" si="12"/>
        <v>2</v>
      </c>
      <c r="F398" s="42" t="s">
        <v>17</v>
      </c>
      <c r="G398" s="19">
        <f t="shared" si="13"/>
        <v>0.23</v>
      </c>
    </row>
    <row r="399" spans="2:8" x14ac:dyDescent="0.25">
      <c r="B399" s="33" t="s">
        <v>502</v>
      </c>
      <c r="D399" s="42" t="s">
        <v>9</v>
      </c>
      <c r="E399" s="44">
        <f t="shared" si="12"/>
        <v>2</v>
      </c>
      <c r="F399" s="42" t="s">
        <v>9</v>
      </c>
      <c r="G399" s="19">
        <f t="shared" si="13"/>
        <v>0.48</v>
      </c>
    </row>
    <row r="400" spans="2:8" x14ac:dyDescent="0.25">
      <c r="B400" s="33" t="s">
        <v>503</v>
      </c>
      <c r="D400" s="42" t="s">
        <v>9</v>
      </c>
      <c r="E400" s="44">
        <f t="shared" si="12"/>
        <v>2</v>
      </c>
      <c r="F400" s="42" t="s">
        <v>17</v>
      </c>
      <c r="G400" s="19">
        <f t="shared" si="13"/>
        <v>0.23</v>
      </c>
    </row>
    <row r="401" spans="2:8" x14ac:dyDescent="0.25">
      <c r="B401" s="33" t="s">
        <v>504</v>
      </c>
      <c r="D401" s="42" t="s">
        <v>17</v>
      </c>
      <c r="E401" s="44">
        <f t="shared" si="12"/>
        <v>0.5</v>
      </c>
      <c r="F401" s="42" t="s">
        <v>12</v>
      </c>
      <c r="G401" s="19">
        <f t="shared" si="13"/>
        <v>0.38</v>
      </c>
    </row>
    <row r="402" spans="2:8" x14ac:dyDescent="0.25">
      <c r="B402" s="33" t="s">
        <v>508</v>
      </c>
      <c r="D402" s="42" t="s">
        <v>12</v>
      </c>
      <c r="E402" s="44">
        <f t="shared" si="12"/>
        <v>1.5</v>
      </c>
      <c r="F402" s="42" t="s">
        <v>17</v>
      </c>
      <c r="G402" s="19">
        <f t="shared" si="13"/>
        <v>0.23</v>
      </c>
    </row>
    <row r="403" spans="2:8" x14ac:dyDescent="0.25">
      <c r="B403" s="33" t="s">
        <v>511</v>
      </c>
      <c r="D403" s="42" t="s">
        <v>12</v>
      </c>
      <c r="E403" s="44">
        <f t="shared" si="12"/>
        <v>1.5</v>
      </c>
      <c r="F403" s="42" t="s">
        <v>17</v>
      </c>
      <c r="G403" s="19">
        <f t="shared" si="13"/>
        <v>0.23</v>
      </c>
    </row>
    <row r="404" spans="2:8" x14ac:dyDescent="0.25">
      <c r="B404" s="33" t="s">
        <v>514</v>
      </c>
      <c r="D404" s="42" t="s">
        <v>12</v>
      </c>
      <c r="E404" s="44">
        <f t="shared" si="12"/>
        <v>1.5</v>
      </c>
      <c r="F404" s="42" t="s">
        <v>10</v>
      </c>
      <c r="G404" s="19">
        <f t="shared" si="13"/>
        <v>0.3</v>
      </c>
    </row>
    <row r="405" spans="2:8" x14ac:dyDescent="0.25">
      <c r="B405" s="33" t="s">
        <v>517</v>
      </c>
      <c r="D405" s="42" t="s">
        <v>12</v>
      </c>
      <c r="E405" s="44">
        <f t="shared" ref="E405" si="14">IF(C405="",INDEX($N$8:$U$8,1,MATCH(D405,$N$7:$U$7,0)),C405)</f>
        <v>1.5</v>
      </c>
      <c r="F405" s="42" t="s">
        <v>17</v>
      </c>
      <c r="G405" s="19">
        <f t="shared" ref="G405" si="15">INDEX($N$11:$U$11,1,MATCH(F405,$N$10:$U$10,0))</f>
        <v>0.23</v>
      </c>
    </row>
    <row r="406" spans="2:8" x14ac:dyDescent="0.25">
      <c r="B406" s="33" t="s">
        <v>518</v>
      </c>
      <c r="D406" s="42" t="s">
        <v>12</v>
      </c>
      <c r="E406" s="44">
        <f t="shared" si="12"/>
        <v>1.5</v>
      </c>
      <c r="F406" s="42" t="s">
        <v>17</v>
      </c>
      <c r="G406" s="19">
        <f t="shared" si="13"/>
        <v>0.23</v>
      </c>
    </row>
    <row r="407" spans="2:8" x14ac:dyDescent="0.25">
      <c r="B407" s="33" t="s">
        <v>519</v>
      </c>
      <c r="D407" s="42" t="s">
        <v>8</v>
      </c>
      <c r="E407" s="44">
        <f t="shared" si="12"/>
        <v>2.5</v>
      </c>
      <c r="F407" s="42" t="s">
        <v>17</v>
      </c>
      <c r="G407" s="19">
        <f t="shared" si="13"/>
        <v>0.23</v>
      </c>
    </row>
    <row r="408" spans="2:8" x14ac:dyDescent="0.25">
      <c r="B408" s="35" t="s">
        <v>520</v>
      </c>
      <c r="D408" s="42" t="s">
        <v>87</v>
      </c>
      <c r="E408" s="44">
        <f t="shared" si="12"/>
        <v>3.5</v>
      </c>
      <c r="F408" s="42" t="s">
        <v>9</v>
      </c>
      <c r="G408" s="19">
        <f t="shared" si="13"/>
        <v>0.48</v>
      </c>
    </row>
    <row r="409" spans="2:8" x14ac:dyDescent="0.25">
      <c r="B409" s="33" t="s">
        <v>521</v>
      </c>
      <c r="D409" s="42" t="s">
        <v>8</v>
      </c>
      <c r="E409" s="44">
        <f t="shared" si="12"/>
        <v>2.5</v>
      </c>
      <c r="F409" s="42" t="s">
        <v>8</v>
      </c>
      <c r="G409" s="19">
        <f t="shared" si="13"/>
        <v>0.6</v>
      </c>
      <c r="H409" t="s">
        <v>522</v>
      </c>
    </row>
    <row r="410" spans="2:8" x14ac:dyDescent="0.25">
      <c r="B410" s="33" t="s">
        <v>523</v>
      </c>
      <c r="D410" s="42" t="s">
        <v>12</v>
      </c>
      <c r="E410" s="44">
        <f t="shared" si="12"/>
        <v>1.5</v>
      </c>
      <c r="F410" s="42" t="s">
        <v>17</v>
      </c>
      <c r="G410" s="19">
        <f t="shared" si="13"/>
        <v>0.23</v>
      </c>
    </row>
    <row r="411" spans="2:8" x14ac:dyDescent="0.25">
      <c r="B411" s="33" t="s">
        <v>524</v>
      </c>
      <c r="D411" s="42" t="s">
        <v>10</v>
      </c>
      <c r="E411" s="44">
        <f t="shared" si="12"/>
        <v>1</v>
      </c>
      <c r="F411" s="42" t="s">
        <v>12</v>
      </c>
      <c r="G411" s="19">
        <f t="shared" si="13"/>
        <v>0.38</v>
      </c>
    </row>
    <row r="412" spans="2:8" x14ac:dyDescent="0.25">
      <c r="B412" s="33" t="s">
        <v>525</v>
      </c>
      <c r="D412" s="42" t="s">
        <v>12</v>
      </c>
      <c r="E412" s="44">
        <f t="shared" si="12"/>
        <v>1.5</v>
      </c>
      <c r="F412" s="42" t="s">
        <v>17</v>
      </c>
      <c r="G412" s="19">
        <f t="shared" si="13"/>
        <v>0.23</v>
      </c>
    </row>
    <row r="413" spans="2:8" x14ac:dyDescent="0.25">
      <c r="B413" s="33" t="s">
        <v>526</v>
      </c>
      <c r="D413" s="42" t="s">
        <v>10</v>
      </c>
      <c r="E413" s="44">
        <f t="shared" si="12"/>
        <v>1</v>
      </c>
      <c r="F413" s="42" t="s">
        <v>12</v>
      </c>
      <c r="G413" s="19">
        <f t="shared" si="13"/>
        <v>0.38</v>
      </c>
      <c r="H413" t="s">
        <v>527</v>
      </c>
    </row>
    <row r="414" spans="2:8" x14ac:dyDescent="0.25">
      <c r="B414" s="33" t="s">
        <v>528</v>
      </c>
      <c r="D414" s="42" t="s">
        <v>8</v>
      </c>
      <c r="E414" s="44">
        <f t="shared" si="12"/>
        <v>2.5</v>
      </c>
      <c r="F414" s="42" t="s">
        <v>178</v>
      </c>
      <c r="G414" s="19">
        <f t="shared" si="13"/>
        <v>0.73</v>
      </c>
    </row>
    <row r="415" spans="2:8" x14ac:dyDescent="0.25">
      <c r="B415" s="35" t="s">
        <v>529</v>
      </c>
      <c r="D415" s="42" t="s">
        <v>10</v>
      </c>
      <c r="E415" s="44">
        <f t="shared" si="12"/>
        <v>1</v>
      </c>
      <c r="F415" s="42" t="s">
        <v>9</v>
      </c>
      <c r="G415" s="19">
        <f t="shared" si="13"/>
        <v>0.48</v>
      </c>
    </row>
    <row r="416" spans="2:8" x14ac:dyDescent="0.25">
      <c r="B416" s="33" t="s">
        <v>530</v>
      </c>
      <c r="D416" s="42" t="s">
        <v>12</v>
      </c>
      <c r="E416" s="44">
        <f t="shared" si="12"/>
        <v>1.5</v>
      </c>
      <c r="F416" s="42" t="s">
        <v>10</v>
      </c>
      <c r="G416" s="19">
        <f t="shared" si="13"/>
        <v>0.3</v>
      </c>
    </row>
    <row r="417" spans="1:8" x14ac:dyDescent="0.25">
      <c r="A417" s="27" t="s">
        <v>658</v>
      </c>
      <c r="B417" s="77" t="s">
        <v>196</v>
      </c>
      <c r="C417" s="49"/>
      <c r="D417" s="50" t="s">
        <v>12</v>
      </c>
      <c r="E417" s="79">
        <f t="shared" si="12"/>
        <v>1.5</v>
      </c>
      <c r="F417" s="50" t="s">
        <v>9</v>
      </c>
      <c r="G417" s="51">
        <f t="shared" si="13"/>
        <v>0.48</v>
      </c>
      <c r="H417" t="s">
        <v>430</v>
      </c>
    </row>
    <row r="418" spans="1:8" x14ac:dyDescent="0.25">
      <c r="B418" s="33" t="s">
        <v>532</v>
      </c>
      <c r="D418" s="42" t="s">
        <v>8</v>
      </c>
      <c r="E418" s="44">
        <f t="shared" si="12"/>
        <v>2.5</v>
      </c>
      <c r="F418" s="42" t="s">
        <v>178</v>
      </c>
      <c r="G418" s="19">
        <f t="shared" si="13"/>
        <v>0.73</v>
      </c>
    </row>
    <row r="419" spans="1:8" x14ac:dyDescent="0.25">
      <c r="B419" s="33" t="s">
        <v>535</v>
      </c>
      <c r="D419" s="42" t="s">
        <v>9</v>
      </c>
      <c r="E419" s="44">
        <f t="shared" si="12"/>
        <v>2</v>
      </c>
      <c r="F419" s="42" t="s">
        <v>17</v>
      </c>
      <c r="G419" s="19">
        <f t="shared" si="13"/>
        <v>0.23</v>
      </c>
    </row>
    <row r="420" spans="1:8" x14ac:dyDescent="0.25">
      <c r="B420" s="33" t="s">
        <v>536</v>
      </c>
      <c r="D420" s="42" t="s">
        <v>12</v>
      </c>
      <c r="E420" s="44">
        <f t="shared" si="12"/>
        <v>1.5</v>
      </c>
      <c r="F420" s="42" t="s">
        <v>10</v>
      </c>
      <c r="G420" s="19">
        <f t="shared" si="13"/>
        <v>0.3</v>
      </c>
    </row>
    <row r="421" spans="1:8" x14ac:dyDescent="0.25">
      <c r="B421" s="33" t="s">
        <v>538</v>
      </c>
      <c r="D421" s="42" t="s">
        <v>87</v>
      </c>
      <c r="E421" s="44">
        <f t="shared" si="12"/>
        <v>3.5</v>
      </c>
      <c r="F421" s="42" t="s">
        <v>178</v>
      </c>
      <c r="G421" s="19">
        <f t="shared" si="13"/>
        <v>0.73</v>
      </c>
    </row>
    <row r="422" spans="1:8" x14ac:dyDescent="0.25">
      <c r="B422" s="33" t="s">
        <v>539</v>
      </c>
      <c r="D422" s="42" t="s">
        <v>9</v>
      </c>
      <c r="E422" s="44">
        <f t="shared" si="12"/>
        <v>2</v>
      </c>
      <c r="F422" s="42" t="s">
        <v>10</v>
      </c>
      <c r="G422" s="19">
        <f t="shared" si="13"/>
        <v>0.3</v>
      </c>
    </row>
    <row r="423" spans="1:8" x14ac:dyDescent="0.25">
      <c r="B423" s="33" t="s">
        <v>540</v>
      </c>
      <c r="D423" s="42" t="s">
        <v>12</v>
      </c>
      <c r="E423" s="44">
        <f t="shared" si="12"/>
        <v>1.5</v>
      </c>
      <c r="F423" s="42" t="s">
        <v>10</v>
      </c>
      <c r="G423" s="19">
        <f t="shared" si="13"/>
        <v>0.3</v>
      </c>
    </row>
    <row r="424" spans="1:8" x14ac:dyDescent="0.25">
      <c r="B424" s="33" t="s">
        <v>541</v>
      </c>
      <c r="D424" s="42" t="s">
        <v>12</v>
      </c>
      <c r="E424" s="44">
        <f t="shared" si="12"/>
        <v>1.5</v>
      </c>
      <c r="F424" s="42" t="s">
        <v>10</v>
      </c>
      <c r="G424" s="19">
        <f t="shared" si="13"/>
        <v>0.3</v>
      </c>
      <c r="H424" t="s">
        <v>353</v>
      </c>
    </row>
    <row r="425" spans="1:8" x14ac:dyDescent="0.25">
      <c r="B425" s="33" t="s">
        <v>542</v>
      </c>
      <c r="D425" s="42" t="s">
        <v>12</v>
      </c>
      <c r="E425" s="44">
        <f t="shared" si="12"/>
        <v>1.5</v>
      </c>
      <c r="F425" s="42" t="s">
        <v>17</v>
      </c>
      <c r="G425" s="19">
        <f t="shared" si="13"/>
        <v>0.23</v>
      </c>
    </row>
    <row r="426" spans="1:8" x14ac:dyDescent="0.25">
      <c r="B426" s="33" t="s">
        <v>543</v>
      </c>
      <c r="D426" s="42" t="s">
        <v>12</v>
      </c>
      <c r="E426" s="44">
        <f t="shared" si="12"/>
        <v>1.5</v>
      </c>
      <c r="F426" s="42" t="s">
        <v>17</v>
      </c>
      <c r="G426" s="19">
        <f t="shared" si="13"/>
        <v>0.23</v>
      </c>
    </row>
    <row r="427" spans="1:8" x14ac:dyDescent="0.25">
      <c r="B427" s="33" t="s">
        <v>137</v>
      </c>
      <c r="D427" s="42" t="s">
        <v>12</v>
      </c>
      <c r="E427" s="44">
        <f t="shared" si="12"/>
        <v>1.5</v>
      </c>
      <c r="F427" s="42" t="s">
        <v>10</v>
      </c>
      <c r="G427" s="19">
        <f t="shared" si="13"/>
        <v>0.3</v>
      </c>
    </row>
    <row r="428" spans="1:8" x14ac:dyDescent="0.25">
      <c r="B428" s="33" t="s">
        <v>544</v>
      </c>
      <c r="D428" s="42" t="s">
        <v>12</v>
      </c>
      <c r="E428" s="44">
        <f t="shared" si="12"/>
        <v>1.5</v>
      </c>
      <c r="F428" s="42" t="s">
        <v>10</v>
      </c>
      <c r="G428" s="19">
        <f t="shared" si="13"/>
        <v>0.3</v>
      </c>
    </row>
    <row r="429" spans="1:8" x14ac:dyDescent="0.25">
      <c r="B429" s="33" t="s">
        <v>545</v>
      </c>
      <c r="D429" s="42" t="s">
        <v>12</v>
      </c>
      <c r="E429" s="44">
        <f t="shared" si="12"/>
        <v>1.5</v>
      </c>
      <c r="F429" s="42" t="s">
        <v>17</v>
      </c>
      <c r="G429" s="19">
        <f t="shared" si="13"/>
        <v>0.23</v>
      </c>
    </row>
    <row r="430" spans="1:8" x14ac:dyDescent="0.25">
      <c r="B430" s="33" t="s">
        <v>547</v>
      </c>
      <c r="D430" s="42" t="s">
        <v>12</v>
      </c>
      <c r="E430" s="44">
        <f t="shared" si="12"/>
        <v>1.5</v>
      </c>
      <c r="F430" s="42" t="s">
        <v>12</v>
      </c>
      <c r="G430" s="19">
        <f t="shared" si="13"/>
        <v>0.38</v>
      </c>
    </row>
    <row r="431" spans="1:8" x14ac:dyDescent="0.25">
      <c r="B431" s="33" t="s">
        <v>548</v>
      </c>
      <c r="D431" s="42" t="s">
        <v>9</v>
      </c>
      <c r="E431" s="44">
        <f t="shared" si="12"/>
        <v>2</v>
      </c>
      <c r="F431" s="42" t="s">
        <v>17</v>
      </c>
      <c r="G431" s="19">
        <f t="shared" si="13"/>
        <v>0.23</v>
      </c>
    </row>
    <row r="432" spans="1:8" x14ac:dyDescent="0.25">
      <c r="B432" s="33" t="s">
        <v>549</v>
      </c>
      <c r="D432" s="42" t="s">
        <v>12</v>
      </c>
      <c r="E432" s="44">
        <f t="shared" si="12"/>
        <v>1.5</v>
      </c>
      <c r="F432" s="42" t="s">
        <v>10</v>
      </c>
      <c r="G432" s="19">
        <f t="shared" si="13"/>
        <v>0.3</v>
      </c>
    </row>
    <row r="433" spans="2:8" x14ac:dyDescent="0.25">
      <c r="B433" s="33" t="s">
        <v>554</v>
      </c>
      <c r="D433" s="42" t="s">
        <v>12</v>
      </c>
      <c r="E433" s="44">
        <f t="shared" si="12"/>
        <v>1.5</v>
      </c>
      <c r="F433" s="42" t="s">
        <v>17</v>
      </c>
      <c r="G433" s="19">
        <f t="shared" si="13"/>
        <v>0.23</v>
      </c>
    </row>
    <row r="434" spans="2:8" x14ac:dyDescent="0.25">
      <c r="B434" s="33" t="s">
        <v>558</v>
      </c>
      <c r="D434" s="42" t="s">
        <v>9</v>
      </c>
      <c r="E434" s="44">
        <f t="shared" si="12"/>
        <v>2</v>
      </c>
      <c r="F434" s="42" t="s">
        <v>17</v>
      </c>
      <c r="G434" s="19">
        <f t="shared" si="13"/>
        <v>0.23</v>
      </c>
    </row>
    <row r="435" spans="2:8" x14ac:dyDescent="0.25">
      <c r="B435" s="33" t="s">
        <v>559</v>
      </c>
      <c r="D435" s="42" t="s">
        <v>12</v>
      </c>
      <c r="E435" s="44">
        <f t="shared" si="12"/>
        <v>1.5</v>
      </c>
      <c r="F435" s="42" t="s">
        <v>10</v>
      </c>
      <c r="G435" s="19">
        <f t="shared" si="13"/>
        <v>0.3</v>
      </c>
    </row>
    <row r="436" spans="2:8" x14ac:dyDescent="0.25">
      <c r="B436" s="33" t="s">
        <v>560</v>
      </c>
      <c r="D436" s="42" t="s">
        <v>12</v>
      </c>
      <c r="E436" s="44">
        <f t="shared" si="12"/>
        <v>1.5</v>
      </c>
      <c r="F436" s="42" t="s">
        <v>10</v>
      </c>
      <c r="G436" s="19">
        <f t="shared" si="13"/>
        <v>0.3</v>
      </c>
    </row>
    <row r="437" spans="2:8" x14ac:dyDescent="0.25">
      <c r="B437" s="33" t="s">
        <v>561</v>
      </c>
      <c r="D437" s="42" t="s">
        <v>12</v>
      </c>
      <c r="E437" s="44">
        <v>1.8</v>
      </c>
      <c r="F437" s="42" t="s">
        <v>17</v>
      </c>
      <c r="G437" s="19">
        <f t="shared" si="13"/>
        <v>0.23</v>
      </c>
    </row>
    <row r="438" spans="2:8" x14ac:dyDescent="0.25">
      <c r="B438" s="33" t="s">
        <v>562</v>
      </c>
      <c r="D438" s="42" t="s">
        <v>12</v>
      </c>
      <c r="E438" s="44">
        <f t="shared" si="12"/>
        <v>1.5</v>
      </c>
      <c r="F438" s="42" t="s">
        <v>17</v>
      </c>
      <c r="G438" s="19">
        <f t="shared" si="13"/>
        <v>0.23</v>
      </c>
    </row>
    <row r="439" spans="2:8" x14ac:dyDescent="0.25">
      <c r="B439" s="33" t="s">
        <v>563</v>
      </c>
      <c r="D439" s="42" t="s">
        <v>8</v>
      </c>
      <c r="E439" s="44">
        <f t="shared" si="12"/>
        <v>2.5</v>
      </c>
      <c r="F439" s="42" t="s">
        <v>10</v>
      </c>
      <c r="G439" s="19">
        <f t="shared" si="13"/>
        <v>0.3</v>
      </c>
      <c r="H439" t="s">
        <v>163</v>
      </c>
    </row>
    <row r="440" spans="2:8" x14ac:dyDescent="0.25">
      <c r="B440" s="33" t="s">
        <v>556</v>
      </c>
      <c r="D440" s="42" t="s">
        <v>12</v>
      </c>
      <c r="E440" s="44">
        <f t="shared" si="12"/>
        <v>1.5</v>
      </c>
      <c r="F440" s="42" t="s">
        <v>10</v>
      </c>
      <c r="G440" s="19">
        <f t="shared" si="13"/>
        <v>0.3</v>
      </c>
    </row>
    <row r="441" spans="2:8" x14ac:dyDescent="0.25">
      <c r="B441" s="33" t="s">
        <v>557</v>
      </c>
      <c r="D441" s="42" t="s">
        <v>12</v>
      </c>
      <c r="E441" s="44">
        <f t="shared" si="12"/>
        <v>1.5</v>
      </c>
      <c r="F441" s="42" t="s">
        <v>12</v>
      </c>
      <c r="G441" s="19">
        <f t="shared" si="13"/>
        <v>0.38</v>
      </c>
    </row>
    <row r="442" spans="2:8" x14ac:dyDescent="0.25">
      <c r="B442" s="33" t="s">
        <v>552</v>
      </c>
      <c r="D442" s="42" t="s">
        <v>12</v>
      </c>
      <c r="E442" s="44">
        <f t="shared" si="12"/>
        <v>1.5</v>
      </c>
      <c r="F442" s="42" t="s">
        <v>12</v>
      </c>
      <c r="G442" s="19">
        <f t="shared" si="13"/>
        <v>0.38</v>
      </c>
    </row>
    <row r="443" spans="2:8" x14ac:dyDescent="0.25">
      <c r="B443" s="33" t="s">
        <v>553</v>
      </c>
      <c r="D443" s="42" t="s">
        <v>10</v>
      </c>
      <c r="E443" s="44">
        <f t="shared" si="12"/>
        <v>1</v>
      </c>
      <c r="F443" s="42" t="s">
        <v>12</v>
      </c>
      <c r="G443" s="19">
        <f t="shared" si="13"/>
        <v>0.38</v>
      </c>
    </row>
    <row r="444" spans="2:8" x14ac:dyDescent="0.25">
      <c r="B444" s="33" t="s">
        <v>564</v>
      </c>
      <c r="D444" s="42" t="s">
        <v>8</v>
      </c>
      <c r="E444" s="44">
        <f t="shared" si="12"/>
        <v>2.5</v>
      </c>
      <c r="F444" s="42" t="s">
        <v>10</v>
      </c>
      <c r="G444" s="19">
        <f t="shared" si="13"/>
        <v>0.3</v>
      </c>
    </row>
    <row r="445" spans="2:8" x14ac:dyDescent="0.25">
      <c r="B445" s="35" t="s">
        <v>566</v>
      </c>
      <c r="D445" s="42" t="s">
        <v>8</v>
      </c>
      <c r="E445" s="44">
        <f t="shared" si="12"/>
        <v>2.5</v>
      </c>
      <c r="F445" s="42" t="s">
        <v>10</v>
      </c>
      <c r="G445" s="19">
        <f t="shared" si="13"/>
        <v>0.3</v>
      </c>
      <c r="H445" t="s">
        <v>565</v>
      </c>
    </row>
    <row r="446" spans="2:8" x14ac:dyDescent="0.25">
      <c r="B446" s="33" t="s">
        <v>567</v>
      </c>
      <c r="D446" s="42" t="s">
        <v>8</v>
      </c>
      <c r="E446" s="44">
        <f t="shared" si="12"/>
        <v>2.5</v>
      </c>
      <c r="F446" s="42" t="s">
        <v>10</v>
      </c>
      <c r="G446" s="19">
        <f t="shared" si="13"/>
        <v>0.3</v>
      </c>
    </row>
    <row r="447" spans="2:8" x14ac:dyDescent="0.25">
      <c r="B447" s="33" t="s">
        <v>568</v>
      </c>
      <c r="D447" s="42" t="s">
        <v>8</v>
      </c>
      <c r="E447" s="44">
        <f t="shared" si="12"/>
        <v>2.5</v>
      </c>
      <c r="F447" s="42" t="s">
        <v>10</v>
      </c>
      <c r="G447" s="19">
        <f t="shared" si="13"/>
        <v>0.3</v>
      </c>
    </row>
    <row r="448" spans="2:8" x14ac:dyDescent="0.25">
      <c r="B448" s="33" t="s">
        <v>569</v>
      </c>
      <c r="D448" s="42" t="s">
        <v>8</v>
      </c>
      <c r="E448" s="44">
        <f t="shared" si="12"/>
        <v>2.5</v>
      </c>
      <c r="F448" s="42" t="s">
        <v>10</v>
      </c>
      <c r="G448" s="19">
        <f t="shared" si="13"/>
        <v>0.3</v>
      </c>
    </row>
    <row r="449" spans="2:8" x14ac:dyDescent="0.25">
      <c r="B449" s="33" t="s">
        <v>571</v>
      </c>
      <c r="D449" s="42" t="s">
        <v>9</v>
      </c>
      <c r="E449" s="44">
        <f t="shared" si="12"/>
        <v>2</v>
      </c>
      <c r="F449" s="42" t="s">
        <v>17</v>
      </c>
      <c r="G449" s="19">
        <f t="shared" si="13"/>
        <v>0.23</v>
      </c>
    </row>
    <row r="450" spans="2:8" x14ac:dyDescent="0.25">
      <c r="B450" s="33" t="s">
        <v>573</v>
      </c>
      <c r="D450" s="42" t="s">
        <v>12</v>
      </c>
      <c r="E450" s="44">
        <f t="shared" si="12"/>
        <v>1.5</v>
      </c>
      <c r="F450" s="42" t="s">
        <v>12</v>
      </c>
      <c r="G450" s="19">
        <f t="shared" si="13"/>
        <v>0.38</v>
      </c>
    </row>
    <row r="451" spans="2:8" x14ac:dyDescent="0.25">
      <c r="B451" s="33" t="s">
        <v>574</v>
      </c>
      <c r="D451" s="42" t="s">
        <v>12</v>
      </c>
      <c r="E451" s="44">
        <f t="shared" si="12"/>
        <v>1.5</v>
      </c>
      <c r="F451" s="42" t="s">
        <v>12</v>
      </c>
      <c r="G451" s="19">
        <f t="shared" si="13"/>
        <v>0.38</v>
      </c>
      <c r="H451" t="s">
        <v>575</v>
      </c>
    </row>
    <row r="452" spans="2:8" x14ac:dyDescent="0.25">
      <c r="B452" s="33" t="s">
        <v>576</v>
      </c>
      <c r="D452" s="42" t="s">
        <v>9</v>
      </c>
      <c r="E452" s="44">
        <f t="shared" ref="E452:E474" si="16">IF(C452="",INDEX($N$8:$U$8,1,MATCH(D452,$N$7:$U$7,0)),C452)</f>
        <v>2</v>
      </c>
      <c r="F452" s="42" t="s">
        <v>10</v>
      </c>
      <c r="G452" s="19">
        <f t="shared" si="13"/>
        <v>0.3</v>
      </c>
    </row>
    <row r="453" spans="2:8" x14ac:dyDescent="0.25">
      <c r="B453" s="33" t="s">
        <v>577</v>
      </c>
      <c r="D453" s="42" t="s">
        <v>8</v>
      </c>
      <c r="E453" s="44">
        <f t="shared" si="16"/>
        <v>2.5</v>
      </c>
      <c r="F453" s="42" t="s">
        <v>8</v>
      </c>
      <c r="G453" s="19">
        <f t="shared" ref="G453:G519" si="17">INDEX($N$11:$U$11,1,MATCH(F453,$N$10:$U$10,0))</f>
        <v>0.6</v>
      </c>
    </row>
    <row r="454" spans="2:8" x14ac:dyDescent="0.25">
      <c r="B454" s="33" t="s">
        <v>580</v>
      </c>
      <c r="D454" s="42" t="s">
        <v>12</v>
      </c>
      <c r="E454" s="44">
        <f t="shared" si="16"/>
        <v>1.5</v>
      </c>
      <c r="F454" s="42" t="s">
        <v>17</v>
      </c>
      <c r="G454" s="19">
        <f t="shared" si="17"/>
        <v>0.23</v>
      </c>
    </row>
    <row r="455" spans="2:8" x14ac:dyDescent="0.25">
      <c r="B455" s="33" t="s">
        <v>581</v>
      </c>
      <c r="D455" s="42" t="s">
        <v>9</v>
      </c>
      <c r="E455" s="44">
        <f t="shared" si="16"/>
        <v>2</v>
      </c>
      <c r="F455" s="42" t="s">
        <v>10</v>
      </c>
      <c r="G455" s="19">
        <f t="shared" si="17"/>
        <v>0.3</v>
      </c>
    </row>
    <row r="456" spans="2:8" x14ac:dyDescent="0.25">
      <c r="B456" s="33" t="s">
        <v>582</v>
      </c>
      <c r="D456" s="42" t="s">
        <v>12</v>
      </c>
      <c r="E456" s="44">
        <f t="shared" si="16"/>
        <v>1.5</v>
      </c>
      <c r="F456" s="42" t="s">
        <v>10</v>
      </c>
      <c r="G456" s="19">
        <f t="shared" si="17"/>
        <v>0.3</v>
      </c>
    </row>
    <row r="457" spans="2:8" x14ac:dyDescent="0.25">
      <c r="B457" s="33" t="s">
        <v>583</v>
      </c>
      <c r="D457" s="42" t="s">
        <v>8</v>
      </c>
      <c r="E457" s="44">
        <f t="shared" si="16"/>
        <v>2.5</v>
      </c>
      <c r="F457" s="42" t="s">
        <v>87</v>
      </c>
      <c r="G457" s="19">
        <f t="shared" si="17"/>
        <v>0.85</v>
      </c>
    </row>
    <row r="458" spans="2:8" x14ac:dyDescent="0.25">
      <c r="B458" s="33" t="s">
        <v>585</v>
      </c>
      <c r="D458" s="42" t="s">
        <v>10</v>
      </c>
      <c r="E458" s="44">
        <f t="shared" si="16"/>
        <v>1</v>
      </c>
      <c r="F458" s="42" t="s">
        <v>12</v>
      </c>
      <c r="G458" s="19">
        <f t="shared" si="17"/>
        <v>0.38</v>
      </c>
      <c r="H458" t="s">
        <v>586</v>
      </c>
    </row>
    <row r="459" spans="2:8" x14ac:dyDescent="0.25">
      <c r="B459" s="33" t="s">
        <v>587</v>
      </c>
      <c r="D459" s="42" t="s">
        <v>10</v>
      </c>
      <c r="E459" s="44">
        <f t="shared" si="16"/>
        <v>1</v>
      </c>
      <c r="F459" s="42" t="s">
        <v>12</v>
      </c>
      <c r="G459" s="19">
        <f t="shared" si="17"/>
        <v>0.38</v>
      </c>
    </row>
    <row r="460" spans="2:8" x14ac:dyDescent="0.25">
      <c r="B460" s="33" t="s">
        <v>588</v>
      </c>
      <c r="D460" s="42" t="s">
        <v>12</v>
      </c>
      <c r="E460" s="44">
        <f t="shared" si="16"/>
        <v>1.5</v>
      </c>
      <c r="F460" s="42" t="s">
        <v>12</v>
      </c>
      <c r="G460" s="19">
        <f t="shared" si="17"/>
        <v>0.38</v>
      </c>
      <c r="H460" t="s">
        <v>589</v>
      </c>
    </row>
    <row r="461" spans="2:8" ht="30" x14ac:dyDescent="0.25">
      <c r="B461" s="33" t="s">
        <v>590</v>
      </c>
      <c r="D461" s="42" t="s">
        <v>12</v>
      </c>
      <c r="E461" s="44">
        <f t="shared" ref="E461" si="18">IF(C461="",INDEX($N$8:$U$8,1,MATCH(D461,$N$7:$U$7,0)),C461)</f>
        <v>1.5</v>
      </c>
      <c r="F461" s="42" t="s">
        <v>12</v>
      </c>
      <c r="G461" s="19">
        <f t="shared" ref="G461" si="19">INDEX($N$11:$U$11,1,MATCH(F461,$N$10:$U$10,0))</f>
        <v>0.38</v>
      </c>
      <c r="H461" t="s">
        <v>589</v>
      </c>
    </row>
    <row r="462" spans="2:8" x14ac:dyDescent="0.25">
      <c r="B462" s="33" t="s">
        <v>591</v>
      </c>
      <c r="D462" s="42" t="s">
        <v>8</v>
      </c>
      <c r="E462" s="44">
        <f t="shared" si="16"/>
        <v>2.5</v>
      </c>
      <c r="F462" s="42" t="s">
        <v>10</v>
      </c>
      <c r="G462" s="19">
        <f t="shared" si="17"/>
        <v>0.3</v>
      </c>
    </row>
    <row r="463" spans="2:8" x14ac:dyDescent="0.25">
      <c r="B463" s="33" t="s">
        <v>592</v>
      </c>
      <c r="D463" s="42" t="s">
        <v>9</v>
      </c>
      <c r="E463" s="44">
        <f t="shared" si="16"/>
        <v>2</v>
      </c>
      <c r="F463" s="42" t="s">
        <v>10</v>
      </c>
      <c r="G463" s="19">
        <f t="shared" si="17"/>
        <v>0.3</v>
      </c>
    </row>
    <row r="464" spans="2:8" x14ac:dyDescent="0.25">
      <c r="B464" s="33" t="s">
        <v>594</v>
      </c>
      <c r="D464" s="42" t="s">
        <v>12</v>
      </c>
      <c r="E464" s="44">
        <f t="shared" si="16"/>
        <v>1.5</v>
      </c>
      <c r="F464" s="42" t="s">
        <v>10</v>
      </c>
      <c r="G464" s="19">
        <f t="shared" si="17"/>
        <v>0.3</v>
      </c>
    </row>
    <row r="465" spans="2:8" x14ac:dyDescent="0.25">
      <c r="B465" s="33" t="s">
        <v>595</v>
      </c>
      <c r="D465" s="42" t="s">
        <v>9</v>
      </c>
      <c r="E465" s="44">
        <f t="shared" si="16"/>
        <v>2</v>
      </c>
      <c r="F465" s="42" t="s">
        <v>17</v>
      </c>
      <c r="G465" s="19">
        <f t="shared" si="17"/>
        <v>0.23</v>
      </c>
      <c r="H465" t="s">
        <v>660</v>
      </c>
    </row>
    <row r="466" spans="2:8" x14ac:dyDescent="0.25">
      <c r="B466" s="33" t="s">
        <v>596</v>
      </c>
      <c r="D466" s="42" t="s">
        <v>8</v>
      </c>
      <c r="E466" s="44">
        <f t="shared" si="16"/>
        <v>2.5</v>
      </c>
      <c r="F466" s="42" t="s">
        <v>87</v>
      </c>
      <c r="G466" s="19">
        <f t="shared" si="17"/>
        <v>0.85</v>
      </c>
    </row>
    <row r="467" spans="2:8" x14ac:dyDescent="0.25">
      <c r="B467" s="33" t="s">
        <v>597</v>
      </c>
      <c r="D467" s="42" t="s">
        <v>12</v>
      </c>
      <c r="E467" s="44">
        <f t="shared" si="16"/>
        <v>1.5</v>
      </c>
      <c r="F467" s="42" t="s">
        <v>17</v>
      </c>
      <c r="G467" s="19">
        <f t="shared" si="17"/>
        <v>0.23</v>
      </c>
    </row>
    <row r="468" spans="2:8" x14ac:dyDescent="0.25">
      <c r="B468" s="33" t="s">
        <v>598</v>
      </c>
      <c r="D468" s="42" t="s">
        <v>178</v>
      </c>
      <c r="E468" s="44">
        <f t="shared" si="16"/>
        <v>3</v>
      </c>
      <c r="F468" s="42" t="s">
        <v>178</v>
      </c>
      <c r="G468" s="19">
        <f t="shared" si="17"/>
        <v>0.73</v>
      </c>
      <c r="H468" t="s">
        <v>599</v>
      </c>
    </row>
    <row r="469" spans="2:8" x14ac:dyDescent="0.25">
      <c r="B469" s="33" t="s">
        <v>600</v>
      </c>
      <c r="D469" s="42" t="s">
        <v>9</v>
      </c>
      <c r="E469" s="44">
        <f t="shared" si="16"/>
        <v>2</v>
      </c>
      <c r="F469" s="42" t="s">
        <v>17</v>
      </c>
      <c r="G469" s="19">
        <f t="shared" si="17"/>
        <v>0.23</v>
      </c>
    </row>
    <row r="470" spans="2:8" x14ac:dyDescent="0.25">
      <c r="B470" s="33" t="s">
        <v>601</v>
      </c>
      <c r="D470" s="42" t="s">
        <v>12</v>
      </c>
      <c r="E470" s="44">
        <f t="shared" si="16"/>
        <v>1.5</v>
      </c>
      <c r="F470" s="42" t="s">
        <v>10</v>
      </c>
      <c r="G470" s="19">
        <f t="shared" si="17"/>
        <v>0.3</v>
      </c>
    </row>
    <row r="471" spans="2:8" x14ac:dyDescent="0.25">
      <c r="B471" s="33" t="s">
        <v>602</v>
      </c>
      <c r="D471" s="42" t="s">
        <v>10</v>
      </c>
      <c r="E471" s="44">
        <f t="shared" si="16"/>
        <v>1</v>
      </c>
      <c r="F471" s="42" t="s">
        <v>12</v>
      </c>
      <c r="G471" s="19">
        <f t="shared" si="17"/>
        <v>0.38</v>
      </c>
    </row>
    <row r="472" spans="2:8" x14ac:dyDescent="0.25">
      <c r="B472" s="33" t="s">
        <v>603</v>
      </c>
      <c r="D472" s="42" t="s">
        <v>9</v>
      </c>
      <c r="E472" s="44">
        <f t="shared" si="16"/>
        <v>2</v>
      </c>
      <c r="F472" s="42" t="s">
        <v>208</v>
      </c>
      <c r="G472" s="19">
        <f t="shared" si="17"/>
        <v>0.17</v>
      </c>
    </row>
    <row r="473" spans="2:8" ht="30" x14ac:dyDescent="0.25">
      <c r="B473" s="33" t="s">
        <v>604</v>
      </c>
      <c r="D473" s="42" t="s">
        <v>9</v>
      </c>
      <c r="E473" s="44">
        <f t="shared" si="16"/>
        <v>2</v>
      </c>
      <c r="F473" s="42" t="s">
        <v>17</v>
      </c>
      <c r="G473" s="19">
        <f t="shared" si="17"/>
        <v>0.23</v>
      </c>
    </row>
    <row r="474" spans="2:8" x14ac:dyDescent="0.25">
      <c r="B474" s="33" t="s">
        <v>605</v>
      </c>
      <c r="D474" s="42" t="s">
        <v>10</v>
      </c>
      <c r="E474" s="44">
        <f t="shared" si="16"/>
        <v>1</v>
      </c>
      <c r="F474" s="42" t="s">
        <v>17</v>
      </c>
      <c r="G474" s="19">
        <f t="shared" si="17"/>
        <v>0.23</v>
      </c>
    </row>
    <row r="475" spans="2:8" x14ac:dyDescent="0.25">
      <c r="B475" s="33" t="s">
        <v>323</v>
      </c>
      <c r="D475" s="42" t="str">
        <f>D470</f>
        <v>III</v>
      </c>
      <c r="E475" s="44">
        <f t="shared" ref="E475:E480" si="20">IF(C475="",INDEX($N$8:$U$8,1,MATCH(D475,$N$7:$U$7,0)),C475)</f>
        <v>1.5</v>
      </c>
      <c r="F475" s="42" t="s">
        <v>10</v>
      </c>
      <c r="G475" s="19">
        <f t="shared" ref="G475:G476" si="21">INDEX($N$11:$U$11,1,MATCH(F475,$N$10:$U$10,0))</f>
        <v>0.3</v>
      </c>
    </row>
    <row r="476" spans="2:8" x14ac:dyDescent="0.25">
      <c r="B476" s="33" t="s">
        <v>607</v>
      </c>
      <c r="D476" s="42" t="s">
        <v>17</v>
      </c>
      <c r="E476" s="44">
        <f t="shared" si="20"/>
        <v>0.5</v>
      </c>
      <c r="F476" s="42" t="s">
        <v>12</v>
      </c>
      <c r="G476" s="19">
        <f t="shared" si="21"/>
        <v>0.38</v>
      </c>
      <c r="H476" t="s">
        <v>606</v>
      </c>
    </row>
    <row r="477" spans="2:8" x14ac:dyDescent="0.25">
      <c r="B477" s="35" t="s">
        <v>610</v>
      </c>
      <c r="D477" s="42" t="s">
        <v>12</v>
      </c>
      <c r="E477" s="42">
        <f t="shared" si="20"/>
        <v>1.5</v>
      </c>
      <c r="F477" s="42" t="s">
        <v>10</v>
      </c>
      <c r="G477" s="19">
        <f t="shared" si="17"/>
        <v>0.3</v>
      </c>
    </row>
    <row r="478" spans="2:8" x14ac:dyDescent="0.25">
      <c r="B478" s="35" t="s">
        <v>611</v>
      </c>
      <c r="D478" s="42" t="s">
        <v>10</v>
      </c>
      <c r="E478" s="42">
        <f t="shared" si="20"/>
        <v>1</v>
      </c>
      <c r="F478" s="42" t="s">
        <v>9</v>
      </c>
      <c r="G478" s="19">
        <f t="shared" si="17"/>
        <v>0.48</v>
      </c>
      <c r="H478" t="s">
        <v>614</v>
      </c>
    </row>
    <row r="479" spans="2:8" x14ac:dyDescent="0.25">
      <c r="B479" s="35" t="s">
        <v>613</v>
      </c>
      <c r="D479" s="42" t="s">
        <v>10</v>
      </c>
      <c r="E479" s="42">
        <f t="shared" si="20"/>
        <v>1</v>
      </c>
      <c r="F479" s="42" t="s">
        <v>208</v>
      </c>
      <c r="G479" s="19">
        <f t="shared" si="17"/>
        <v>0.17</v>
      </c>
      <c r="H479" t="s">
        <v>612</v>
      </c>
    </row>
    <row r="480" spans="2:8" x14ac:dyDescent="0.25">
      <c r="B480" s="35" t="s">
        <v>615</v>
      </c>
      <c r="D480" s="42" t="s">
        <v>12</v>
      </c>
      <c r="E480" s="42">
        <f t="shared" si="20"/>
        <v>1.5</v>
      </c>
      <c r="F480" s="42" t="s">
        <v>17</v>
      </c>
      <c r="G480" s="19">
        <f t="shared" si="17"/>
        <v>0.23</v>
      </c>
    </row>
    <row r="481" spans="1:8" x14ac:dyDescent="0.25">
      <c r="A481" s="27" t="s">
        <v>658</v>
      </c>
      <c r="B481" s="49" t="s">
        <v>629</v>
      </c>
      <c r="C481" s="49"/>
      <c r="D481" s="50" t="s">
        <v>10</v>
      </c>
      <c r="E481" s="50">
        <v>0.8</v>
      </c>
      <c r="F481" s="50" t="s">
        <v>10</v>
      </c>
      <c r="G481" s="51">
        <f t="shared" si="17"/>
        <v>0.3</v>
      </c>
      <c r="H481" s="27"/>
    </row>
    <row r="482" spans="1:8" x14ac:dyDescent="0.25">
      <c r="B482" s="35" t="s">
        <v>616</v>
      </c>
      <c r="D482" s="42" t="s">
        <v>12</v>
      </c>
      <c r="E482" s="42">
        <f t="shared" ref="E482:E493" si="22">IF(C482="",INDEX($N$8:$U$8,1,MATCH(D482,$N$7:$U$7,0)),C482)</f>
        <v>1.5</v>
      </c>
      <c r="F482" s="42" t="s">
        <v>10</v>
      </c>
      <c r="G482" s="19">
        <f t="shared" si="17"/>
        <v>0.3</v>
      </c>
    </row>
    <row r="483" spans="1:8" x14ac:dyDescent="0.25">
      <c r="B483" s="35" t="s">
        <v>621</v>
      </c>
      <c r="D483" s="42" t="s">
        <v>12</v>
      </c>
      <c r="E483" s="42">
        <f t="shared" si="22"/>
        <v>1.5</v>
      </c>
      <c r="F483" s="42" t="s">
        <v>17</v>
      </c>
      <c r="G483" s="19">
        <f t="shared" si="17"/>
        <v>0.23</v>
      </c>
    </row>
    <row r="484" spans="1:8" x14ac:dyDescent="0.25">
      <c r="B484" s="35" t="s">
        <v>622</v>
      </c>
      <c r="D484" s="42" t="s">
        <v>8</v>
      </c>
      <c r="E484" s="42">
        <f t="shared" si="22"/>
        <v>2.5</v>
      </c>
      <c r="F484" s="42" t="s">
        <v>17</v>
      </c>
      <c r="G484" s="19">
        <f t="shared" si="17"/>
        <v>0.23</v>
      </c>
    </row>
    <row r="485" spans="1:8" x14ac:dyDescent="0.25">
      <c r="B485" s="35" t="s">
        <v>623</v>
      </c>
      <c r="D485" s="42" t="s">
        <v>8</v>
      </c>
      <c r="E485" s="42">
        <f t="shared" si="22"/>
        <v>2.5</v>
      </c>
      <c r="F485" s="42" t="s">
        <v>17</v>
      </c>
      <c r="G485" s="19">
        <f t="shared" ref="G485" si="23">INDEX($N$11:$U$11,1,MATCH(F485,$N$10:$U$10,0))</f>
        <v>0.23</v>
      </c>
    </row>
    <row r="486" spans="1:8" x14ac:dyDescent="0.25">
      <c r="B486" s="35" t="s">
        <v>619</v>
      </c>
      <c r="D486" s="42" t="s">
        <v>12</v>
      </c>
      <c r="E486" s="42">
        <f t="shared" si="22"/>
        <v>1.5</v>
      </c>
      <c r="F486" s="42" t="s">
        <v>10</v>
      </c>
      <c r="G486" s="19">
        <f t="shared" si="17"/>
        <v>0.3</v>
      </c>
      <c r="H486" t="s">
        <v>620</v>
      </c>
    </row>
    <row r="487" spans="1:8" x14ac:dyDescent="0.25">
      <c r="B487" s="35" t="s">
        <v>624</v>
      </c>
      <c r="D487" s="42" t="s">
        <v>9</v>
      </c>
      <c r="E487" s="42">
        <f t="shared" si="22"/>
        <v>2</v>
      </c>
      <c r="F487" s="42" t="s">
        <v>10</v>
      </c>
      <c r="G487" s="19">
        <f t="shared" si="17"/>
        <v>0.3</v>
      </c>
    </row>
    <row r="488" spans="1:8" x14ac:dyDescent="0.25">
      <c r="B488" s="35" t="s">
        <v>625</v>
      </c>
      <c r="D488" s="42" t="s">
        <v>12</v>
      </c>
      <c r="E488" s="42">
        <f t="shared" si="22"/>
        <v>1.5</v>
      </c>
      <c r="F488" s="42" t="s">
        <v>17</v>
      </c>
      <c r="G488" s="19">
        <f t="shared" si="17"/>
        <v>0.23</v>
      </c>
    </row>
    <row r="489" spans="1:8" x14ac:dyDescent="0.25">
      <c r="A489" s="27" t="s">
        <v>658</v>
      </c>
      <c r="B489" s="49" t="s">
        <v>626</v>
      </c>
      <c r="C489" s="49"/>
      <c r="D489" s="50" t="s">
        <v>12</v>
      </c>
      <c r="E489" s="50">
        <v>1</v>
      </c>
      <c r="F489" s="50" t="s">
        <v>9</v>
      </c>
      <c r="G489" s="51">
        <f t="shared" si="17"/>
        <v>0.48</v>
      </c>
    </row>
    <row r="490" spans="1:8" x14ac:dyDescent="0.25">
      <c r="B490" s="35" t="s">
        <v>627</v>
      </c>
      <c r="D490" s="42" t="s">
        <v>9</v>
      </c>
      <c r="E490" s="42">
        <f t="shared" si="22"/>
        <v>2</v>
      </c>
      <c r="F490" s="42" t="s">
        <v>178</v>
      </c>
      <c r="G490" s="19">
        <f t="shared" si="17"/>
        <v>0.73</v>
      </c>
    </row>
    <row r="491" spans="1:8" x14ac:dyDescent="0.25">
      <c r="A491" s="27" t="s">
        <v>658</v>
      </c>
      <c r="B491" s="49" t="s">
        <v>628</v>
      </c>
      <c r="C491" s="49"/>
      <c r="D491" s="50" t="s">
        <v>10</v>
      </c>
      <c r="E491" s="50">
        <v>0.6</v>
      </c>
      <c r="F491" s="50" t="s">
        <v>12</v>
      </c>
      <c r="G491" s="51">
        <f t="shared" si="17"/>
        <v>0.38</v>
      </c>
    </row>
    <row r="492" spans="1:8" x14ac:dyDescent="0.25">
      <c r="B492" s="35" t="s">
        <v>195</v>
      </c>
      <c r="D492" s="42" t="s">
        <v>17</v>
      </c>
      <c r="E492" s="42">
        <f t="shared" si="22"/>
        <v>0.5</v>
      </c>
      <c r="F492" s="42" t="s">
        <v>9</v>
      </c>
      <c r="G492" s="19">
        <f t="shared" si="17"/>
        <v>0.48</v>
      </c>
      <c r="H492" t="s">
        <v>631</v>
      </c>
    </row>
    <row r="493" spans="1:8" x14ac:dyDescent="0.25">
      <c r="B493" s="35" t="s">
        <v>632</v>
      </c>
      <c r="D493" s="42" t="s">
        <v>8</v>
      </c>
      <c r="E493" s="42">
        <f t="shared" si="22"/>
        <v>2.5</v>
      </c>
      <c r="F493" s="42" t="s">
        <v>17</v>
      </c>
      <c r="G493" s="19">
        <f t="shared" si="17"/>
        <v>0.23</v>
      </c>
    </row>
    <row r="494" spans="1:8" x14ac:dyDescent="0.25">
      <c r="A494" s="27" t="s">
        <v>658</v>
      </c>
      <c r="B494" s="49" t="s">
        <v>635</v>
      </c>
      <c r="C494" s="49"/>
      <c r="D494" s="50" t="s">
        <v>9</v>
      </c>
      <c r="E494" s="50">
        <v>1.4</v>
      </c>
      <c r="F494" s="50" t="s">
        <v>12</v>
      </c>
      <c r="G494" s="51">
        <f t="shared" si="17"/>
        <v>0.38</v>
      </c>
    </row>
    <row r="495" spans="1:8" x14ac:dyDescent="0.25">
      <c r="B495" s="35" t="s">
        <v>636</v>
      </c>
      <c r="D495" s="42" t="s">
        <v>12</v>
      </c>
      <c r="E495" s="42">
        <f>IF(C495="",INDEX($N$8:$U$8,1,MATCH(D495,$N$7:$U$7,0)),C495)</f>
        <v>1.5</v>
      </c>
      <c r="F495" s="42" t="s">
        <v>10</v>
      </c>
      <c r="G495" s="19">
        <f t="shared" si="17"/>
        <v>0.3</v>
      </c>
    </row>
    <row r="496" spans="1:8" x14ac:dyDescent="0.25">
      <c r="A496" s="27" t="s">
        <v>658</v>
      </c>
      <c r="B496" s="49" t="s">
        <v>638</v>
      </c>
      <c r="C496" s="49"/>
      <c r="D496" s="50" t="s">
        <v>10</v>
      </c>
      <c r="E496" s="50">
        <v>0.6</v>
      </c>
      <c r="F496" s="50" t="s">
        <v>12</v>
      </c>
      <c r="G496" s="51">
        <v>0.38</v>
      </c>
    </row>
    <row r="497" spans="1:8" x14ac:dyDescent="0.25">
      <c r="B497" s="35" t="s">
        <v>639</v>
      </c>
      <c r="D497" s="72" t="s">
        <v>9</v>
      </c>
      <c r="E497" s="72">
        <f>IF(C497="",INDEX($N$8:$U$8,1,MATCH(D497,$N$7:$U$7,0)),C497)</f>
        <v>2</v>
      </c>
      <c r="F497" s="72" t="s">
        <v>17</v>
      </c>
      <c r="G497" s="73">
        <f>INDEX($N$11:$U$11,1,MATCH(F497,$N$10:$U$10,0))</f>
        <v>0.23</v>
      </c>
    </row>
    <row r="498" spans="1:8" x14ac:dyDescent="0.25">
      <c r="B498" s="35" t="s">
        <v>640</v>
      </c>
      <c r="D498" s="72" t="s">
        <v>9</v>
      </c>
      <c r="E498" s="72">
        <f t="shared" ref="E498:E520" si="24">IF(C498="",INDEX($N$8:$U$8,1,MATCH(D498,$N$7:$U$7,0)),C498)</f>
        <v>2</v>
      </c>
      <c r="F498" s="72" t="s">
        <v>17</v>
      </c>
      <c r="G498" s="73">
        <f t="shared" ref="G498:G510" si="25">INDEX($N$11:$U$11,1,MATCH(F498,$N$10:$U$10,0))</f>
        <v>0.23</v>
      </c>
    </row>
    <row r="499" spans="1:8" x14ac:dyDescent="0.25">
      <c r="B499" s="35" t="s">
        <v>641</v>
      </c>
      <c r="D499" s="72" t="s">
        <v>12</v>
      </c>
      <c r="E499" s="72">
        <f t="shared" si="24"/>
        <v>1.5</v>
      </c>
      <c r="F499" s="72" t="s">
        <v>12</v>
      </c>
      <c r="G499" s="73">
        <f t="shared" si="25"/>
        <v>0.38</v>
      </c>
      <c r="H499" t="s">
        <v>396</v>
      </c>
    </row>
    <row r="500" spans="1:8" x14ac:dyDescent="0.25">
      <c r="A500" s="27" t="s">
        <v>658</v>
      </c>
      <c r="B500" s="49" t="s">
        <v>642</v>
      </c>
      <c r="C500" s="49"/>
      <c r="D500" s="50" t="s">
        <v>12</v>
      </c>
      <c r="E500" s="50">
        <v>0.78</v>
      </c>
      <c r="F500" s="50" t="s">
        <v>12</v>
      </c>
      <c r="G500" s="51">
        <f t="shared" si="25"/>
        <v>0.38</v>
      </c>
    </row>
    <row r="501" spans="1:8" x14ac:dyDescent="0.25">
      <c r="A501" s="27" t="s">
        <v>658</v>
      </c>
      <c r="B501" s="49" t="s">
        <v>643</v>
      </c>
      <c r="C501" s="49"/>
      <c r="D501" s="50" t="s">
        <v>10</v>
      </c>
      <c r="E501" s="50">
        <v>0.6</v>
      </c>
      <c r="F501" s="50" t="s">
        <v>12</v>
      </c>
      <c r="G501" s="51">
        <f t="shared" si="25"/>
        <v>0.38</v>
      </c>
    </row>
    <row r="502" spans="1:8" x14ac:dyDescent="0.25">
      <c r="B502" s="35" t="s">
        <v>644</v>
      </c>
      <c r="D502" s="72" t="s">
        <v>12</v>
      </c>
      <c r="E502" s="72">
        <f t="shared" si="24"/>
        <v>1.5</v>
      </c>
      <c r="F502" s="72" t="s">
        <v>10</v>
      </c>
      <c r="G502" s="73">
        <f t="shared" si="25"/>
        <v>0.3</v>
      </c>
    </row>
    <row r="503" spans="1:8" x14ac:dyDescent="0.25">
      <c r="B503" s="35" t="s">
        <v>645</v>
      </c>
      <c r="D503" s="72" t="s">
        <v>9</v>
      </c>
      <c r="E503" s="72">
        <f t="shared" si="24"/>
        <v>2</v>
      </c>
      <c r="F503" s="72" t="s">
        <v>17</v>
      </c>
      <c r="G503" s="73">
        <f t="shared" si="25"/>
        <v>0.23</v>
      </c>
    </row>
    <row r="504" spans="1:8" x14ac:dyDescent="0.25">
      <c r="B504" s="35" t="s">
        <v>646</v>
      </c>
      <c r="D504" s="72" t="s">
        <v>12</v>
      </c>
      <c r="E504" s="72">
        <f t="shared" si="24"/>
        <v>1.5</v>
      </c>
      <c r="F504" s="72" t="s">
        <v>10</v>
      </c>
      <c r="G504" s="73">
        <f t="shared" si="25"/>
        <v>0.3</v>
      </c>
    </row>
    <row r="505" spans="1:8" x14ac:dyDescent="0.25">
      <c r="B505" s="35" t="s">
        <v>647</v>
      </c>
      <c r="D505" s="72" t="s">
        <v>12</v>
      </c>
      <c r="E505" s="72">
        <f t="shared" si="24"/>
        <v>1.5</v>
      </c>
      <c r="F505" s="72" t="s">
        <v>10</v>
      </c>
      <c r="G505" s="73">
        <f t="shared" si="25"/>
        <v>0.3</v>
      </c>
    </row>
    <row r="506" spans="1:8" x14ac:dyDescent="0.25">
      <c r="A506" s="27" t="s">
        <v>658</v>
      </c>
      <c r="B506" s="49" t="s">
        <v>648</v>
      </c>
      <c r="C506" s="49"/>
      <c r="D506" s="50" t="s">
        <v>10</v>
      </c>
      <c r="E506" s="50">
        <v>0.8</v>
      </c>
      <c r="F506" s="50" t="s">
        <v>12</v>
      </c>
      <c r="G506" s="51">
        <f t="shared" si="25"/>
        <v>0.38</v>
      </c>
    </row>
    <row r="507" spans="1:8" x14ac:dyDescent="0.25">
      <c r="A507" s="27" t="s">
        <v>658</v>
      </c>
      <c r="B507" s="49" t="s">
        <v>649</v>
      </c>
      <c r="C507" s="49"/>
      <c r="D507" s="50" t="s">
        <v>12</v>
      </c>
      <c r="E507" s="50">
        <v>0.85</v>
      </c>
      <c r="F507" s="50" t="s">
        <v>9</v>
      </c>
      <c r="G507" s="51">
        <f t="shared" si="25"/>
        <v>0.48</v>
      </c>
    </row>
    <row r="508" spans="1:8" x14ac:dyDescent="0.25">
      <c r="B508" s="35" t="s">
        <v>650</v>
      </c>
      <c r="D508" s="72" t="s">
        <v>9</v>
      </c>
      <c r="E508" s="72">
        <f t="shared" si="24"/>
        <v>2</v>
      </c>
      <c r="F508" s="72" t="s">
        <v>17</v>
      </c>
      <c r="G508" s="73">
        <f t="shared" si="25"/>
        <v>0.23</v>
      </c>
    </row>
    <row r="509" spans="1:8" x14ac:dyDescent="0.25">
      <c r="B509" s="35" t="s">
        <v>651</v>
      </c>
      <c r="D509" s="72" t="s">
        <v>17</v>
      </c>
      <c r="E509" s="72">
        <f t="shared" si="24"/>
        <v>0.5</v>
      </c>
      <c r="F509" s="72" t="s">
        <v>10</v>
      </c>
      <c r="G509" s="73">
        <f t="shared" si="25"/>
        <v>0.3</v>
      </c>
    </row>
    <row r="510" spans="1:8" x14ac:dyDescent="0.25">
      <c r="B510" s="35" t="s">
        <v>652</v>
      </c>
      <c r="D510" s="72" t="s">
        <v>12</v>
      </c>
      <c r="E510" s="72">
        <f t="shared" si="24"/>
        <v>1.5</v>
      </c>
      <c r="F510" s="72" t="s">
        <v>12</v>
      </c>
      <c r="G510" s="73">
        <f t="shared" si="25"/>
        <v>0.38</v>
      </c>
    </row>
    <row r="511" spans="1:8" x14ac:dyDescent="0.25">
      <c r="A511" s="27" t="s">
        <v>658</v>
      </c>
      <c r="B511" s="49" t="s">
        <v>653</v>
      </c>
      <c r="C511" s="49"/>
      <c r="D511" s="50" t="s">
        <v>12</v>
      </c>
      <c r="E511" s="72">
        <v>1.1499999999999999</v>
      </c>
      <c r="F511" s="50" t="s">
        <v>9</v>
      </c>
      <c r="G511" s="51">
        <f t="shared" si="17"/>
        <v>0.48</v>
      </c>
    </row>
    <row r="512" spans="1:8" x14ac:dyDescent="0.25">
      <c r="B512" s="35" t="s">
        <v>654</v>
      </c>
      <c r="D512" s="42" t="s">
        <v>9</v>
      </c>
      <c r="E512" s="72">
        <f t="shared" si="24"/>
        <v>2</v>
      </c>
      <c r="F512" s="42" t="s">
        <v>17</v>
      </c>
      <c r="G512" s="19">
        <f t="shared" si="17"/>
        <v>0.23</v>
      </c>
    </row>
    <row r="513" spans="1:8" x14ac:dyDescent="0.25">
      <c r="B513" s="35" t="s">
        <v>655</v>
      </c>
      <c r="D513" s="42" t="s">
        <v>9</v>
      </c>
      <c r="E513" s="42">
        <f t="shared" si="24"/>
        <v>2</v>
      </c>
      <c r="F513" s="42" t="s">
        <v>17</v>
      </c>
      <c r="G513" s="19">
        <f t="shared" si="17"/>
        <v>0.23</v>
      </c>
    </row>
    <row r="514" spans="1:8" x14ac:dyDescent="0.25">
      <c r="B514" s="35" t="s">
        <v>656</v>
      </c>
      <c r="D514" s="42" t="s">
        <v>12</v>
      </c>
      <c r="E514" s="42">
        <f t="shared" si="24"/>
        <v>1.5</v>
      </c>
      <c r="F514" s="42" t="s">
        <v>10</v>
      </c>
      <c r="G514" s="19">
        <f t="shared" si="17"/>
        <v>0.3</v>
      </c>
    </row>
    <row r="515" spans="1:8" x14ac:dyDescent="0.25">
      <c r="B515" s="35" t="s">
        <v>562</v>
      </c>
      <c r="D515" s="42" t="s">
        <v>9</v>
      </c>
      <c r="E515" s="42">
        <f t="shared" si="24"/>
        <v>2</v>
      </c>
      <c r="F515" s="42" t="s">
        <v>17</v>
      </c>
      <c r="G515" s="19">
        <f t="shared" si="17"/>
        <v>0.23</v>
      </c>
    </row>
    <row r="516" spans="1:8" x14ac:dyDescent="0.25">
      <c r="B516" s="35" t="s">
        <v>661</v>
      </c>
      <c r="D516" s="42" t="s">
        <v>12</v>
      </c>
      <c r="E516" s="42">
        <f t="shared" si="24"/>
        <v>1.5</v>
      </c>
      <c r="F516" s="42" t="s">
        <v>10</v>
      </c>
      <c r="G516" s="19">
        <f t="shared" si="17"/>
        <v>0.3</v>
      </c>
    </row>
    <row r="517" spans="1:8" x14ac:dyDescent="0.25">
      <c r="B517" s="35" t="s">
        <v>662</v>
      </c>
      <c r="D517" s="42" t="s">
        <v>17</v>
      </c>
      <c r="E517" s="42">
        <f t="shared" si="24"/>
        <v>0.5</v>
      </c>
      <c r="F517" s="42" t="s">
        <v>10</v>
      </c>
      <c r="G517" s="19">
        <f t="shared" si="17"/>
        <v>0.3</v>
      </c>
    </row>
    <row r="518" spans="1:8" x14ac:dyDescent="0.25">
      <c r="B518" s="35" t="s">
        <v>663</v>
      </c>
      <c r="D518" s="42" t="s">
        <v>8</v>
      </c>
      <c r="E518" s="42">
        <f t="shared" si="24"/>
        <v>2.5</v>
      </c>
      <c r="F518" s="42" t="s">
        <v>10</v>
      </c>
      <c r="G518" s="19">
        <f t="shared" si="17"/>
        <v>0.3</v>
      </c>
    </row>
    <row r="519" spans="1:8" x14ac:dyDescent="0.25">
      <c r="A519" s="27" t="s">
        <v>658</v>
      </c>
      <c r="B519" s="49" t="s">
        <v>664</v>
      </c>
      <c r="C519" s="49"/>
      <c r="D519" s="50" t="s">
        <v>10</v>
      </c>
      <c r="E519" s="50">
        <v>0.6</v>
      </c>
      <c r="F519" s="50" t="s">
        <v>12</v>
      </c>
      <c r="G519" s="51">
        <f t="shared" si="17"/>
        <v>0.38</v>
      </c>
    </row>
    <row r="520" spans="1:8" x14ac:dyDescent="0.25">
      <c r="B520" s="35" t="s">
        <v>665</v>
      </c>
      <c r="D520" s="42" t="s">
        <v>12</v>
      </c>
      <c r="E520" s="42">
        <f t="shared" si="24"/>
        <v>1.5</v>
      </c>
      <c r="F520" s="42" t="s">
        <v>17</v>
      </c>
      <c r="G520" s="19">
        <f t="shared" ref="G520:G542" si="26">INDEX($N$11:$U$11,1,MATCH(F520,$N$10:$U$10,0))</f>
        <v>0.23</v>
      </c>
    </row>
    <row r="521" spans="1:8" x14ac:dyDescent="0.25">
      <c r="B521" s="35" t="s">
        <v>666</v>
      </c>
      <c r="D521" s="42" t="s">
        <v>9</v>
      </c>
      <c r="E521" s="42">
        <f t="shared" ref="E521:E585" si="27">IF(C521="",INDEX($N$8:$U$8,1,MATCH(D521,$N$7:$U$7,0)),C521)</f>
        <v>2</v>
      </c>
      <c r="F521" s="42" t="s">
        <v>12</v>
      </c>
      <c r="G521" s="19">
        <f t="shared" ref="G521:G532" si="28">INDEX($N$11:$U$11,1,MATCH(F521,$N$10:$U$10,0))</f>
        <v>0.38</v>
      </c>
    </row>
    <row r="522" spans="1:8" x14ac:dyDescent="0.25">
      <c r="B522" s="35" t="s">
        <v>667</v>
      </c>
      <c r="D522" s="42" t="s">
        <v>12</v>
      </c>
      <c r="E522" s="42">
        <f t="shared" si="27"/>
        <v>1.5</v>
      </c>
      <c r="F522" s="42" t="s">
        <v>17</v>
      </c>
      <c r="G522" s="19">
        <f t="shared" si="28"/>
        <v>0.23</v>
      </c>
    </row>
    <row r="523" spans="1:8" x14ac:dyDescent="0.25">
      <c r="B523" s="35" t="s">
        <v>668</v>
      </c>
      <c r="D523" s="42" t="s">
        <v>12</v>
      </c>
      <c r="E523" s="42">
        <f t="shared" si="27"/>
        <v>1.5</v>
      </c>
      <c r="F523" s="42" t="s">
        <v>17</v>
      </c>
      <c r="G523" s="19">
        <f t="shared" si="28"/>
        <v>0.23</v>
      </c>
    </row>
    <row r="524" spans="1:8" x14ac:dyDescent="0.25">
      <c r="B524" s="35" t="s">
        <v>669</v>
      </c>
      <c r="D524" s="42" t="s">
        <v>9</v>
      </c>
      <c r="E524" s="42">
        <f t="shared" si="27"/>
        <v>2</v>
      </c>
      <c r="F524" s="42" t="s">
        <v>17</v>
      </c>
      <c r="G524" s="19">
        <f t="shared" si="28"/>
        <v>0.23</v>
      </c>
      <c r="H524" t="s">
        <v>670</v>
      </c>
    </row>
    <row r="525" spans="1:8" x14ac:dyDescent="0.25">
      <c r="B525" s="35" t="s">
        <v>671</v>
      </c>
      <c r="D525" s="42" t="s">
        <v>12</v>
      </c>
      <c r="E525" s="42">
        <f t="shared" si="27"/>
        <v>1.5</v>
      </c>
      <c r="F525" s="42" t="s">
        <v>10</v>
      </c>
      <c r="G525" s="19">
        <f t="shared" si="28"/>
        <v>0.3</v>
      </c>
    </row>
    <row r="526" spans="1:8" x14ac:dyDescent="0.25">
      <c r="B526" s="35" t="s">
        <v>672</v>
      </c>
      <c r="D526" s="42" t="s">
        <v>9</v>
      </c>
      <c r="E526" s="42">
        <f t="shared" si="27"/>
        <v>2</v>
      </c>
      <c r="F526" s="42" t="s">
        <v>12</v>
      </c>
      <c r="G526" s="19">
        <f t="shared" si="28"/>
        <v>0.38</v>
      </c>
    </row>
    <row r="527" spans="1:8" x14ac:dyDescent="0.25">
      <c r="B527" s="35" t="s">
        <v>673</v>
      </c>
      <c r="D527" s="42" t="s">
        <v>8</v>
      </c>
      <c r="E527" s="42">
        <f t="shared" si="27"/>
        <v>2.5</v>
      </c>
      <c r="F527" s="42" t="s">
        <v>17</v>
      </c>
      <c r="G527" s="19">
        <f t="shared" si="28"/>
        <v>0.23</v>
      </c>
    </row>
    <row r="528" spans="1:8" x14ac:dyDescent="0.25">
      <c r="B528" s="35" t="s">
        <v>674</v>
      </c>
      <c r="D528" s="42" t="s">
        <v>9</v>
      </c>
      <c r="E528" s="42">
        <f t="shared" si="27"/>
        <v>2</v>
      </c>
      <c r="F528" s="42" t="s">
        <v>12</v>
      </c>
      <c r="G528" s="19">
        <f t="shared" si="28"/>
        <v>0.38</v>
      </c>
    </row>
    <row r="529" spans="1:8" x14ac:dyDescent="0.25">
      <c r="B529" s="35" t="s">
        <v>675</v>
      </c>
      <c r="D529" s="42" t="s">
        <v>9</v>
      </c>
      <c r="E529" s="42">
        <f t="shared" si="27"/>
        <v>2</v>
      </c>
      <c r="F529" s="42" t="s">
        <v>17</v>
      </c>
      <c r="G529" s="19">
        <f t="shared" si="28"/>
        <v>0.23</v>
      </c>
    </row>
    <row r="530" spans="1:8" x14ac:dyDescent="0.25">
      <c r="B530" s="35" t="s">
        <v>676</v>
      </c>
      <c r="D530" s="42" t="s">
        <v>12</v>
      </c>
      <c r="E530" s="42">
        <f t="shared" si="27"/>
        <v>1.5</v>
      </c>
      <c r="F530" s="42" t="s">
        <v>17</v>
      </c>
      <c r="G530" s="19">
        <f t="shared" si="28"/>
        <v>0.23</v>
      </c>
    </row>
    <row r="531" spans="1:8" x14ac:dyDescent="0.25">
      <c r="B531" s="35" t="s">
        <v>677</v>
      </c>
      <c r="D531" s="42" t="s">
        <v>12</v>
      </c>
      <c r="E531" s="42">
        <f t="shared" si="27"/>
        <v>1.5</v>
      </c>
      <c r="F531" s="42" t="s">
        <v>10</v>
      </c>
      <c r="G531" s="19">
        <f t="shared" si="28"/>
        <v>0.3</v>
      </c>
    </row>
    <row r="532" spans="1:8" x14ac:dyDescent="0.25">
      <c r="B532" s="35" t="s">
        <v>678</v>
      </c>
      <c r="D532" s="42" t="s">
        <v>10</v>
      </c>
      <c r="E532" s="42">
        <f t="shared" si="27"/>
        <v>1</v>
      </c>
      <c r="F532" s="42" t="s">
        <v>12</v>
      </c>
      <c r="G532" s="19">
        <f t="shared" si="28"/>
        <v>0.38</v>
      </c>
    </row>
    <row r="533" spans="1:8" x14ac:dyDescent="0.25">
      <c r="B533" s="35" t="s">
        <v>679</v>
      </c>
      <c r="D533" s="42" t="s">
        <v>9</v>
      </c>
      <c r="E533" s="42">
        <f t="shared" si="27"/>
        <v>2</v>
      </c>
      <c r="F533" s="42" t="s">
        <v>10</v>
      </c>
      <c r="G533" s="19">
        <f t="shared" si="26"/>
        <v>0.3</v>
      </c>
    </row>
    <row r="534" spans="1:8" x14ac:dyDescent="0.25">
      <c r="B534" s="35" t="s">
        <v>680</v>
      </c>
      <c r="D534" s="42" t="s">
        <v>9</v>
      </c>
      <c r="E534" s="42">
        <f t="shared" si="27"/>
        <v>2</v>
      </c>
      <c r="F534" s="42" t="s">
        <v>17</v>
      </c>
      <c r="G534" s="19">
        <f t="shared" si="26"/>
        <v>0.23</v>
      </c>
      <c r="H534" t="s">
        <v>154</v>
      </c>
    </row>
    <row r="535" spans="1:8" x14ac:dyDescent="0.25">
      <c r="B535" s="35" t="s">
        <v>682</v>
      </c>
      <c r="D535" s="42" t="s">
        <v>10</v>
      </c>
      <c r="E535" s="42">
        <f t="shared" si="27"/>
        <v>1</v>
      </c>
      <c r="F535" s="42" t="s">
        <v>17</v>
      </c>
      <c r="G535" s="19">
        <f t="shared" si="26"/>
        <v>0.23</v>
      </c>
      <c r="H535" t="s">
        <v>681</v>
      </c>
    </row>
    <row r="536" spans="1:8" x14ac:dyDescent="0.25">
      <c r="B536" s="35" t="s">
        <v>683</v>
      </c>
      <c r="D536" s="42" t="s">
        <v>10</v>
      </c>
      <c r="E536" s="42">
        <f t="shared" si="27"/>
        <v>1</v>
      </c>
      <c r="F536" s="42" t="s">
        <v>17</v>
      </c>
      <c r="G536" s="19">
        <f t="shared" si="26"/>
        <v>0.23</v>
      </c>
    </row>
    <row r="537" spans="1:8" x14ac:dyDescent="0.25">
      <c r="B537" s="35" t="s">
        <v>684</v>
      </c>
      <c r="D537" s="42" t="s">
        <v>12</v>
      </c>
      <c r="E537" s="42">
        <f t="shared" si="27"/>
        <v>1.5</v>
      </c>
      <c r="F537" s="42" t="s">
        <v>10</v>
      </c>
      <c r="G537" s="19">
        <f t="shared" si="26"/>
        <v>0.3</v>
      </c>
    </row>
    <row r="538" spans="1:8" x14ac:dyDescent="0.25">
      <c r="B538" s="35" t="s">
        <v>685</v>
      </c>
      <c r="D538" s="42" t="s">
        <v>8</v>
      </c>
      <c r="E538" s="42">
        <f t="shared" si="27"/>
        <v>2.5</v>
      </c>
      <c r="F538" s="42" t="s">
        <v>10</v>
      </c>
      <c r="G538" s="19">
        <f t="shared" si="26"/>
        <v>0.3</v>
      </c>
    </row>
    <row r="539" spans="1:8" x14ac:dyDescent="0.25">
      <c r="B539" s="35" t="s">
        <v>686</v>
      </c>
      <c r="D539" s="42" t="s">
        <v>10</v>
      </c>
      <c r="E539" s="42">
        <f t="shared" si="27"/>
        <v>1</v>
      </c>
      <c r="F539" s="42" t="s">
        <v>12</v>
      </c>
      <c r="G539" s="19">
        <f t="shared" si="26"/>
        <v>0.38</v>
      </c>
    </row>
    <row r="540" spans="1:8" x14ac:dyDescent="0.25">
      <c r="B540" s="35" t="s">
        <v>687</v>
      </c>
      <c r="D540" s="42" t="s">
        <v>12</v>
      </c>
      <c r="E540" s="42">
        <f t="shared" si="27"/>
        <v>1.5</v>
      </c>
      <c r="F540" s="42" t="s">
        <v>10</v>
      </c>
      <c r="G540" s="19">
        <f t="shared" si="26"/>
        <v>0.3</v>
      </c>
    </row>
    <row r="541" spans="1:8" x14ac:dyDescent="0.25">
      <c r="B541" s="35" t="s">
        <v>688</v>
      </c>
      <c r="D541" s="42" t="s">
        <v>9</v>
      </c>
      <c r="E541" s="42">
        <f t="shared" si="27"/>
        <v>2</v>
      </c>
      <c r="F541" s="42" t="s">
        <v>10</v>
      </c>
      <c r="G541" s="19">
        <f t="shared" si="26"/>
        <v>0.3</v>
      </c>
    </row>
    <row r="542" spans="1:8" x14ac:dyDescent="0.25">
      <c r="A542" s="27" t="s">
        <v>658</v>
      </c>
      <c r="B542" s="49" t="s">
        <v>689</v>
      </c>
      <c r="C542" s="49"/>
      <c r="D542" s="50" t="s">
        <v>17</v>
      </c>
      <c r="E542" s="50">
        <v>0.4</v>
      </c>
      <c r="F542" s="50" t="s">
        <v>12</v>
      </c>
      <c r="G542" s="51">
        <f t="shared" si="26"/>
        <v>0.38</v>
      </c>
    </row>
    <row r="543" spans="1:8" x14ac:dyDescent="0.25">
      <c r="B543" s="35" t="s">
        <v>690</v>
      </c>
      <c r="D543" s="42" t="s">
        <v>9</v>
      </c>
      <c r="E543" s="42">
        <f t="shared" si="27"/>
        <v>2</v>
      </c>
      <c r="F543" s="42" t="s">
        <v>17</v>
      </c>
      <c r="G543" s="19">
        <f t="shared" ref="G543:G583" si="29">INDEX($N$11:$U$11,1,MATCH(F543,$N$10:$U$10,0))</f>
        <v>0.23</v>
      </c>
      <c r="H543" t="s">
        <v>351</v>
      </c>
    </row>
    <row r="544" spans="1:8" x14ac:dyDescent="0.25">
      <c r="B544" s="35" t="s">
        <v>691</v>
      </c>
      <c r="D544" s="42" t="s">
        <v>10</v>
      </c>
      <c r="E544" s="42">
        <f t="shared" si="27"/>
        <v>1</v>
      </c>
      <c r="F544" s="42" t="s">
        <v>12</v>
      </c>
      <c r="G544" s="19">
        <f t="shared" si="29"/>
        <v>0.38</v>
      </c>
      <c r="H544" t="s">
        <v>245</v>
      </c>
    </row>
    <row r="545" spans="1:8" x14ac:dyDescent="0.25">
      <c r="B545" s="35" t="s">
        <v>692</v>
      </c>
      <c r="D545" s="42" t="s">
        <v>9</v>
      </c>
      <c r="E545" s="42">
        <f t="shared" si="27"/>
        <v>2</v>
      </c>
      <c r="F545" s="42" t="s">
        <v>17</v>
      </c>
      <c r="G545" s="19">
        <f t="shared" si="29"/>
        <v>0.23</v>
      </c>
    </row>
    <row r="546" spans="1:8" x14ac:dyDescent="0.25">
      <c r="B546" s="35" t="s">
        <v>693</v>
      </c>
      <c r="D546" s="42" t="s">
        <v>12</v>
      </c>
      <c r="E546" s="42">
        <f t="shared" si="27"/>
        <v>1.5</v>
      </c>
      <c r="F546" s="42" t="s">
        <v>17</v>
      </c>
      <c r="G546" s="19">
        <f t="shared" si="29"/>
        <v>0.23</v>
      </c>
      <c r="H546" t="s">
        <v>495</v>
      </c>
    </row>
    <row r="547" spans="1:8" x14ac:dyDescent="0.25">
      <c r="B547" s="35" t="s">
        <v>694</v>
      </c>
      <c r="D547" s="42" t="s">
        <v>10</v>
      </c>
      <c r="E547" s="42">
        <f t="shared" si="27"/>
        <v>1</v>
      </c>
      <c r="F547" s="42" t="s">
        <v>12</v>
      </c>
      <c r="G547" s="19">
        <f t="shared" si="29"/>
        <v>0.38</v>
      </c>
    </row>
    <row r="548" spans="1:8" x14ac:dyDescent="0.25">
      <c r="B548" s="35" t="s">
        <v>695</v>
      </c>
      <c r="D548" s="42" t="s">
        <v>9</v>
      </c>
      <c r="E548" s="42">
        <f t="shared" si="27"/>
        <v>2</v>
      </c>
      <c r="F548" s="42" t="s">
        <v>12</v>
      </c>
      <c r="G548" s="19">
        <f t="shared" si="29"/>
        <v>0.38</v>
      </c>
    </row>
    <row r="549" spans="1:8" x14ac:dyDescent="0.25">
      <c r="B549" s="35" t="s">
        <v>696</v>
      </c>
      <c r="D549" s="42" t="s">
        <v>9</v>
      </c>
      <c r="E549" s="42">
        <f t="shared" si="27"/>
        <v>2</v>
      </c>
      <c r="F549" s="42" t="s">
        <v>12</v>
      </c>
      <c r="G549" s="19">
        <f t="shared" si="29"/>
        <v>0.38</v>
      </c>
    </row>
    <row r="550" spans="1:8" x14ac:dyDescent="0.25">
      <c r="B550" s="35" t="s">
        <v>697</v>
      </c>
      <c r="D550" s="42" t="s">
        <v>12</v>
      </c>
      <c r="E550" s="42">
        <f t="shared" si="27"/>
        <v>1.5</v>
      </c>
      <c r="F550" s="42" t="s">
        <v>17</v>
      </c>
      <c r="G550" s="19">
        <f t="shared" si="29"/>
        <v>0.23</v>
      </c>
    </row>
    <row r="551" spans="1:8" x14ac:dyDescent="0.25">
      <c r="A551" s="27" t="s">
        <v>658</v>
      </c>
      <c r="B551" s="49" t="s">
        <v>699</v>
      </c>
      <c r="C551" s="49"/>
      <c r="D551" s="50" t="s">
        <v>10</v>
      </c>
      <c r="E551" s="50">
        <v>0.6</v>
      </c>
      <c r="F551" s="50" t="s">
        <v>12</v>
      </c>
      <c r="G551" s="51">
        <f t="shared" si="29"/>
        <v>0.38</v>
      </c>
    </row>
    <row r="552" spans="1:8" x14ac:dyDescent="0.25">
      <c r="B552" s="35" t="s">
        <v>700</v>
      </c>
      <c r="D552" s="42" t="s">
        <v>9</v>
      </c>
      <c r="E552" s="42">
        <f t="shared" si="27"/>
        <v>2</v>
      </c>
      <c r="F552" s="42" t="s">
        <v>17</v>
      </c>
      <c r="G552" s="19">
        <f t="shared" si="29"/>
        <v>0.23</v>
      </c>
    </row>
    <row r="553" spans="1:8" x14ac:dyDescent="0.25">
      <c r="B553" s="35" t="s">
        <v>701</v>
      </c>
      <c r="D553" s="42" t="s">
        <v>12</v>
      </c>
      <c r="E553" s="42">
        <f t="shared" si="27"/>
        <v>1.5</v>
      </c>
      <c r="F553" s="42" t="s">
        <v>12</v>
      </c>
      <c r="G553" s="19">
        <f t="shared" si="29"/>
        <v>0.38</v>
      </c>
      <c r="H553" t="s">
        <v>396</v>
      </c>
    </row>
    <row r="554" spans="1:8" x14ac:dyDescent="0.25">
      <c r="A554" s="27" t="s">
        <v>658</v>
      </c>
      <c r="B554" s="49" t="s">
        <v>703</v>
      </c>
      <c r="C554" s="49"/>
      <c r="D554" s="50" t="s">
        <v>9</v>
      </c>
      <c r="E554" s="42">
        <v>1.5</v>
      </c>
      <c r="F554" s="50" t="s">
        <v>12</v>
      </c>
      <c r="G554" s="51">
        <f t="shared" si="29"/>
        <v>0.38</v>
      </c>
    </row>
    <row r="555" spans="1:8" x14ac:dyDescent="0.25">
      <c r="B555" s="35" t="s">
        <v>704</v>
      </c>
      <c r="D555" s="42" t="s">
        <v>12</v>
      </c>
      <c r="E555" s="42">
        <f t="shared" si="27"/>
        <v>1.5</v>
      </c>
      <c r="F555" s="42" t="s">
        <v>10</v>
      </c>
      <c r="G555" s="19">
        <f t="shared" si="29"/>
        <v>0.3</v>
      </c>
      <c r="H555" t="s">
        <v>705</v>
      </c>
    </row>
    <row r="556" spans="1:8" x14ac:dyDescent="0.25">
      <c r="B556" s="35" t="s">
        <v>706</v>
      </c>
      <c r="D556" s="42" t="s">
        <v>12</v>
      </c>
      <c r="E556" s="42">
        <f t="shared" si="27"/>
        <v>1.5</v>
      </c>
      <c r="F556" s="42" t="s">
        <v>10</v>
      </c>
      <c r="G556" s="19">
        <f t="shared" si="29"/>
        <v>0.3</v>
      </c>
    </row>
    <row r="557" spans="1:8" x14ac:dyDescent="0.25">
      <c r="B557" s="35" t="s">
        <v>707</v>
      </c>
      <c r="D557" s="42" t="s">
        <v>8</v>
      </c>
      <c r="E557" s="42">
        <f t="shared" si="27"/>
        <v>2.5</v>
      </c>
      <c r="F557" s="42" t="s">
        <v>10</v>
      </c>
      <c r="G557" s="19">
        <f t="shared" si="29"/>
        <v>0.3</v>
      </c>
      <c r="H557" t="s">
        <v>495</v>
      </c>
    </row>
    <row r="558" spans="1:8" x14ac:dyDescent="0.25">
      <c r="B558" s="35" t="s">
        <v>708</v>
      </c>
      <c r="D558" s="42" t="s">
        <v>8</v>
      </c>
      <c r="E558" s="42">
        <f t="shared" si="27"/>
        <v>2.5</v>
      </c>
      <c r="F558" s="42" t="s">
        <v>17</v>
      </c>
      <c r="G558" s="19">
        <f t="shared" si="29"/>
        <v>0.23</v>
      </c>
    </row>
    <row r="559" spans="1:8" x14ac:dyDescent="0.25">
      <c r="B559" s="35" t="s">
        <v>709</v>
      </c>
      <c r="D559" s="42" t="s">
        <v>12</v>
      </c>
      <c r="E559" s="42">
        <f t="shared" si="27"/>
        <v>1.5</v>
      </c>
      <c r="F559" s="42" t="s">
        <v>17</v>
      </c>
      <c r="G559" s="19">
        <f t="shared" si="29"/>
        <v>0.23</v>
      </c>
    </row>
    <row r="560" spans="1:8" x14ac:dyDescent="0.25">
      <c r="A560" s="27" t="s">
        <v>658</v>
      </c>
      <c r="B560" s="49" t="s">
        <v>710</v>
      </c>
      <c r="C560" s="49"/>
      <c r="D560" s="50" t="s">
        <v>10</v>
      </c>
      <c r="E560" s="50">
        <v>0.6</v>
      </c>
      <c r="F560" s="50" t="s">
        <v>10</v>
      </c>
      <c r="G560" s="51">
        <f t="shared" si="29"/>
        <v>0.3</v>
      </c>
    </row>
    <row r="561" spans="1:7" x14ac:dyDescent="0.25">
      <c r="B561" s="35" t="s">
        <v>711</v>
      </c>
      <c r="D561" s="42" t="s">
        <v>9</v>
      </c>
      <c r="E561" s="42">
        <f t="shared" si="27"/>
        <v>2</v>
      </c>
      <c r="F561" s="42" t="s">
        <v>12</v>
      </c>
      <c r="G561" s="19">
        <f t="shared" si="29"/>
        <v>0.38</v>
      </c>
    </row>
    <row r="562" spans="1:7" x14ac:dyDescent="0.25">
      <c r="B562" s="35" t="s">
        <v>712</v>
      </c>
      <c r="D562" s="42" t="s">
        <v>12</v>
      </c>
      <c r="E562" s="42">
        <f t="shared" si="27"/>
        <v>1.5</v>
      </c>
      <c r="F562" s="42" t="s">
        <v>17</v>
      </c>
      <c r="G562" s="19">
        <f t="shared" si="29"/>
        <v>0.23</v>
      </c>
    </row>
    <row r="563" spans="1:7" x14ac:dyDescent="0.25">
      <c r="B563" s="35" t="s">
        <v>713</v>
      </c>
      <c r="D563" s="42" t="s">
        <v>12</v>
      </c>
      <c r="E563" s="42">
        <f t="shared" si="27"/>
        <v>1.5</v>
      </c>
      <c r="F563" s="42" t="s">
        <v>10</v>
      </c>
      <c r="G563" s="19">
        <f t="shared" si="29"/>
        <v>0.3</v>
      </c>
    </row>
    <row r="564" spans="1:7" x14ac:dyDescent="0.25">
      <c r="A564" s="113"/>
      <c r="B564" s="30" t="s">
        <v>714</v>
      </c>
      <c r="C564" s="113"/>
      <c r="D564" s="42" t="s">
        <v>8</v>
      </c>
      <c r="E564" s="42">
        <f t="shared" si="27"/>
        <v>2.5</v>
      </c>
      <c r="F564" s="42" t="s">
        <v>17</v>
      </c>
      <c r="G564" s="19">
        <f t="shared" si="29"/>
        <v>0.23</v>
      </c>
    </row>
    <row r="565" spans="1:7" ht="15.75" thickBot="1" x14ac:dyDescent="0.3">
      <c r="A565" s="101"/>
      <c r="B565" s="30" t="s">
        <v>722</v>
      </c>
      <c r="C565" s="84"/>
      <c r="D565" s="115" t="s">
        <v>10</v>
      </c>
      <c r="E565" s="42">
        <f t="shared" si="27"/>
        <v>1</v>
      </c>
      <c r="F565" s="42" t="s">
        <v>12</v>
      </c>
      <c r="G565" s="116">
        <f t="shared" si="29"/>
        <v>0.38</v>
      </c>
    </row>
    <row r="566" spans="1:7" ht="15.75" thickBot="1" x14ac:dyDescent="0.3">
      <c r="A566" s="105"/>
      <c r="B566" s="100" t="s">
        <v>552</v>
      </c>
      <c r="C566" s="114">
        <v>0.9</v>
      </c>
      <c r="D566" s="74" t="s">
        <v>10</v>
      </c>
      <c r="E566" s="98">
        <f t="shared" si="27"/>
        <v>0.9</v>
      </c>
      <c r="F566" s="95" t="s">
        <v>12</v>
      </c>
      <c r="G566" s="99">
        <f t="shared" si="29"/>
        <v>0.38</v>
      </c>
    </row>
    <row r="567" spans="1:7" ht="15.75" thickBot="1" x14ac:dyDescent="0.3">
      <c r="A567" s="111"/>
      <c r="B567" s="100" t="s">
        <v>524</v>
      </c>
      <c r="C567" s="97">
        <v>1</v>
      </c>
      <c r="D567" s="95" t="s">
        <v>10</v>
      </c>
      <c r="E567" s="90">
        <f t="shared" si="27"/>
        <v>1</v>
      </c>
      <c r="F567" s="95" t="s">
        <v>12</v>
      </c>
      <c r="G567" s="99">
        <f t="shared" si="29"/>
        <v>0.38</v>
      </c>
    </row>
    <row r="568" spans="1:7" ht="15.75" thickBot="1" x14ac:dyDescent="0.3">
      <c r="A568" s="112"/>
      <c r="B568" s="100" t="s">
        <v>715</v>
      </c>
      <c r="C568" s="97">
        <v>1.05</v>
      </c>
      <c r="D568" s="95" t="s">
        <v>10</v>
      </c>
      <c r="E568" s="90">
        <f t="shared" si="27"/>
        <v>1.05</v>
      </c>
      <c r="F568" s="95" t="s">
        <v>12</v>
      </c>
      <c r="G568" s="99">
        <f t="shared" si="29"/>
        <v>0.38</v>
      </c>
    </row>
    <row r="569" spans="1:7" ht="15.75" thickBot="1" x14ac:dyDescent="0.3">
      <c r="A569" s="112"/>
      <c r="B569" s="100" t="s">
        <v>716</v>
      </c>
      <c r="C569" s="97">
        <v>1.1000000000000001</v>
      </c>
      <c r="D569" s="95" t="s">
        <v>10</v>
      </c>
      <c r="E569" s="90">
        <f t="shared" si="27"/>
        <v>1.1000000000000001</v>
      </c>
      <c r="F569" s="95" t="s">
        <v>12</v>
      </c>
      <c r="G569" s="99">
        <f t="shared" si="29"/>
        <v>0.38</v>
      </c>
    </row>
    <row r="570" spans="1:7" ht="15.75" thickBot="1" x14ac:dyDescent="0.3">
      <c r="A570" s="105"/>
      <c r="B570" s="105" t="s">
        <v>717</v>
      </c>
      <c r="C570" s="38">
        <v>1.1499999999999999</v>
      </c>
      <c r="D570" s="102" t="s">
        <v>10</v>
      </c>
      <c r="E570" s="103">
        <f t="shared" si="27"/>
        <v>1.1499999999999999</v>
      </c>
      <c r="F570" s="96" t="s">
        <v>12</v>
      </c>
      <c r="G570" s="104">
        <f t="shared" si="29"/>
        <v>0.38</v>
      </c>
    </row>
    <row r="571" spans="1:7" ht="15.75" thickBot="1" x14ac:dyDescent="0.3">
      <c r="A571" s="111"/>
      <c r="B571" s="100" t="s">
        <v>451</v>
      </c>
      <c r="C571" s="38">
        <v>0.75</v>
      </c>
      <c r="D571" s="95" t="s">
        <v>10</v>
      </c>
      <c r="E571" s="90">
        <f t="shared" si="27"/>
        <v>0.75</v>
      </c>
      <c r="F571" s="95" t="s">
        <v>12</v>
      </c>
      <c r="G571" s="99">
        <f t="shared" si="29"/>
        <v>0.38</v>
      </c>
    </row>
    <row r="572" spans="1:7" ht="15.75" thickBot="1" x14ac:dyDescent="0.3">
      <c r="A572" s="111"/>
      <c r="B572" s="100" t="s">
        <v>718</v>
      </c>
      <c r="C572" s="97">
        <v>0.5</v>
      </c>
      <c r="D572" s="95" t="s">
        <v>17</v>
      </c>
      <c r="E572" s="90">
        <f t="shared" si="27"/>
        <v>0.5</v>
      </c>
      <c r="F572" s="95" t="s">
        <v>12</v>
      </c>
      <c r="G572" s="99">
        <f t="shared" si="29"/>
        <v>0.38</v>
      </c>
    </row>
    <row r="573" spans="1:7" ht="15.75" thickBot="1" x14ac:dyDescent="0.3">
      <c r="A573" s="111"/>
      <c r="B573" s="107" t="s">
        <v>504</v>
      </c>
      <c r="C573" s="38">
        <v>0.45</v>
      </c>
      <c r="D573" s="108" t="s">
        <v>10</v>
      </c>
      <c r="E573" s="109">
        <f t="shared" si="27"/>
        <v>0.45</v>
      </c>
      <c r="F573" s="108" t="s">
        <v>12</v>
      </c>
      <c r="G573" s="110">
        <f t="shared" si="29"/>
        <v>0.38</v>
      </c>
    </row>
    <row r="574" spans="1:7" ht="15.75" thickBot="1" x14ac:dyDescent="0.3">
      <c r="A574" s="111"/>
      <c r="B574" s="100" t="s">
        <v>719</v>
      </c>
      <c r="C574" s="97">
        <v>0.5</v>
      </c>
      <c r="D574" s="95" t="s">
        <v>17</v>
      </c>
      <c r="E574" s="90">
        <f t="shared" si="27"/>
        <v>0.5</v>
      </c>
      <c r="F574" s="95" t="s">
        <v>12</v>
      </c>
      <c r="G574" s="99">
        <f t="shared" si="29"/>
        <v>0.38</v>
      </c>
    </row>
    <row r="575" spans="1:7" ht="15.75" thickBot="1" x14ac:dyDescent="0.3">
      <c r="A575" s="111"/>
      <c r="B575" s="100" t="s">
        <v>694</v>
      </c>
      <c r="C575" s="97">
        <v>0.95</v>
      </c>
      <c r="D575" s="95" t="s">
        <v>10</v>
      </c>
      <c r="E575" s="90">
        <f t="shared" si="27"/>
        <v>0.95</v>
      </c>
      <c r="F575" s="95" t="s">
        <v>12</v>
      </c>
      <c r="G575" s="99">
        <f t="shared" si="29"/>
        <v>0.38</v>
      </c>
    </row>
    <row r="576" spans="1:7" ht="15.75" thickBot="1" x14ac:dyDescent="0.3">
      <c r="A576" s="111"/>
      <c r="B576" s="106" t="s">
        <v>720</v>
      </c>
      <c r="C576" s="97">
        <v>0.5</v>
      </c>
      <c r="D576" s="94" t="s">
        <v>17</v>
      </c>
      <c r="E576" s="87">
        <f t="shared" si="27"/>
        <v>0.5</v>
      </c>
      <c r="F576" s="94" t="s">
        <v>12</v>
      </c>
      <c r="G576" s="88">
        <f t="shared" si="29"/>
        <v>0.38</v>
      </c>
    </row>
    <row r="577" spans="1:8" ht="15.75" thickBot="1" x14ac:dyDescent="0.3">
      <c r="A577" s="112"/>
      <c r="B577" s="92" t="s">
        <v>721</v>
      </c>
      <c r="C577" s="38">
        <v>0.5</v>
      </c>
      <c r="D577" s="93" t="s">
        <v>17</v>
      </c>
      <c r="E577" s="89">
        <f t="shared" si="27"/>
        <v>0.5</v>
      </c>
      <c r="F577" s="95" t="s">
        <v>12</v>
      </c>
      <c r="G577" s="91">
        <f t="shared" si="29"/>
        <v>0.38</v>
      </c>
    </row>
    <row r="578" spans="1:8" x14ac:dyDescent="0.25">
      <c r="B578" s="35" t="s">
        <v>723</v>
      </c>
      <c r="D578" s="42" t="s">
        <v>9</v>
      </c>
      <c r="E578" s="42">
        <f t="shared" si="27"/>
        <v>2</v>
      </c>
      <c r="F578" s="86" t="s">
        <v>208</v>
      </c>
      <c r="G578" s="85">
        <f t="shared" si="29"/>
        <v>0.17</v>
      </c>
    </row>
    <row r="579" spans="1:8" x14ac:dyDescent="0.25">
      <c r="B579" s="35" t="s">
        <v>724</v>
      </c>
      <c r="D579" s="42" t="s">
        <v>12</v>
      </c>
      <c r="E579" s="42">
        <f t="shared" si="27"/>
        <v>1.5</v>
      </c>
      <c r="F579" s="42" t="s">
        <v>10</v>
      </c>
      <c r="G579" s="19">
        <f t="shared" si="29"/>
        <v>0.3</v>
      </c>
      <c r="H579" t="s">
        <v>725</v>
      </c>
    </row>
    <row r="580" spans="1:8" x14ac:dyDescent="0.25">
      <c r="B580" s="35" t="s">
        <v>726</v>
      </c>
      <c r="D580" s="42" t="s">
        <v>9</v>
      </c>
      <c r="E580" s="42">
        <f t="shared" si="27"/>
        <v>2</v>
      </c>
      <c r="F580" s="42" t="s">
        <v>17</v>
      </c>
      <c r="G580" s="19">
        <f t="shared" si="29"/>
        <v>0.23</v>
      </c>
      <c r="H580" t="s">
        <v>727</v>
      </c>
    </row>
    <row r="581" spans="1:8" x14ac:dyDescent="0.25">
      <c r="B581" s="35" t="s">
        <v>728</v>
      </c>
      <c r="D581" s="42" t="s">
        <v>10</v>
      </c>
      <c r="E581" s="42">
        <f t="shared" si="27"/>
        <v>1</v>
      </c>
      <c r="F581" s="42" t="s">
        <v>10</v>
      </c>
      <c r="G581" s="19">
        <f t="shared" si="29"/>
        <v>0.3</v>
      </c>
    </row>
    <row r="582" spans="1:8" x14ac:dyDescent="0.25">
      <c r="E582" s="42" t="e">
        <f t="shared" si="27"/>
        <v>#N/A</v>
      </c>
      <c r="G582" s="19"/>
    </row>
    <row r="583" spans="1:8" x14ac:dyDescent="0.25">
      <c r="B583" s="35" t="s">
        <v>713</v>
      </c>
      <c r="D583" s="42" t="s">
        <v>12</v>
      </c>
      <c r="E583" s="42">
        <f t="shared" si="27"/>
        <v>1.5</v>
      </c>
      <c r="F583" s="42" t="s">
        <v>10</v>
      </c>
      <c r="G583" s="19">
        <f t="shared" si="29"/>
        <v>0.3</v>
      </c>
    </row>
    <row r="584" spans="1:8" x14ac:dyDescent="0.25">
      <c r="B584" s="35" t="s">
        <v>729</v>
      </c>
      <c r="D584" s="42" t="s">
        <v>12</v>
      </c>
      <c r="E584" s="42">
        <f t="shared" si="27"/>
        <v>1.5</v>
      </c>
      <c r="F584" s="42" t="s">
        <v>17</v>
      </c>
      <c r="G584" s="19">
        <f t="shared" ref="G584:G627" si="30">INDEX($N$11:$U$11,1,MATCH(F584,$N$10:$U$10,0))</f>
        <v>0.23</v>
      </c>
    </row>
    <row r="585" spans="1:8" x14ac:dyDescent="0.25">
      <c r="B585" s="35" t="s">
        <v>730</v>
      </c>
      <c r="D585" s="42" t="s">
        <v>9</v>
      </c>
      <c r="E585" s="42">
        <f t="shared" si="27"/>
        <v>2</v>
      </c>
      <c r="F585" s="42" t="s">
        <v>12</v>
      </c>
      <c r="G585" s="19">
        <f t="shared" si="30"/>
        <v>0.38</v>
      </c>
    </row>
    <row r="586" spans="1:8" x14ac:dyDescent="0.25">
      <c r="B586" s="35" t="s">
        <v>731</v>
      </c>
      <c r="D586" s="42" t="s">
        <v>12</v>
      </c>
      <c r="E586" s="42">
        <f t="shared" ref="E586:E609" si="31">IF(C586="",INDEX($N$8:$U$8,1,MATCH(D586,$N$7:$U$7,0)),C586)</f>
        <v>1.5</v>
      </c>
      <c r="F586" s="42" t="s">
        <v>10</v>
      </c>
      <c r="G586" s="19">
        <f t="shared" si="30"/>
        <v>0.3</v>
      </c>
    </row>
    <row r="587" spans="1:8" x14ac:dyDescent="0.25">
      <c r="B587" s="35" t="s">
        <v>732</v>
      </c>
      <c r="D587" s="42" t="s">
        <v>12</v>
      </c>
      <c r="E587" s="42">
        <f t="shared" si="31"/>
        <v>1.5</v>
      </c>
      <c r="F587" s="42" t="s">
        <v>10</v>
      </c>
      <c r="G587" s="19">
        <f t="shared" si="30"/>
        <v>0.3</v>
      </c>
    </row>
    <row r="588" spans="1:8" x14ac:dyDescent="0.25">
      <c r="B588" s="35" t="s">
        <v>733</v>
      </c>
      <c r="D588" s="42" t="s">
        <v>178</v>
      </c>
      <c r="E588" s="42">
        <v>3.2</v>
      </c>
      <c r="F588" s="42" t="s">
        <v>8</v>
      </c>
      <c r="G588" s="19">
        <f t="shared" si="30"/>
        <v>0.6</v>
      </c>
    </row>
    <row r="589" spans="1:8" x14ac:dyDescent="0.25">
      <c r="B589" s="35" t="s">
        <v>734</v>
      </c>
      <c r="D589" s="42" t="s">
        <v>12</v>
      </c>
      <c r="E589" s="42">
        <f t="shared" si="31"/>
        <v>1.5</v>
      </c>
      <c r="F589" s="42" t="s">
        <v>17</v>
      </c>
      <c r="G589" s="19">
        <f t="shared" si="30"/>
        <v>0.23</v>
      </c>
    </row>
    <row r="590" spans="1:8" x14ac:dyDescent="0.25">
      <c r="B590" s="35" t="s">
        <v>735</v>
      </c>
      <c r="D590" s="42" t="s">
        <v>12</v>
      </c>
      <c r="E590" s="42">
        <f t="shared" si="31"/>
        <v>1.5</v>
      </c>
      <c r="F590" s="42" t="s">
        <v>17</v>
      </c>
      <c r="G590" s="19">
        <f t="shared" si="30"/>
        <v>0.23</v>
      </c>
    </row>
    <row r="591" spans="1:8" x14ac:dyDescent="0.25">
      <c r="A591" s="27" t="s">
        <v>658</v>
      </c>
      <c r="B591" s="49" t="s">
        <v>737</v>
      </c>
      <c r="C591" s="49"/>
      <c r="D591" s="50" t="s">
        <v>12</v>
      </c>
      <c r="E591" s="50">
        <v>1</v>
      </c>
      <c r="F591" s="50" t="s">
        <v>12</v>
      </c>
      <c r="G591" s="51">
        <f t="shared" si="30"/>
        <v>0.38</v>
      </c>
    </row>
    <row r="592" spans="1:8" x14ac:dyDescent="0.25">
      <c r="B592" s="35" t="s">
        <v>738</v>
      </c>
      <c r="D592" s="42" t="s">
        <v>12</v>
      </c>
      <c r="E592" s="42">
        <f t="shared" si="31"/>
        <v>1.5</v>
      </c>
      <c r="F592" s="42" t="s">
        <v>10</v>
      </c>
      <c r="G592" s="19">
        <f t="shared" si="30"/>
        <v>0.3</v>
      </c>
    </row>
    <row r="593" spans="1:9" x14ac:dyDescent="0.25">
      <c r="B593" s="35" t="s">
        <v>739</v>
      </c>
      <c r="D593" s="42" t="s">
        <v>12</v>
      </c>
      <c r="E593" s="42">
        <f t="shared" si="31"/>
        <v>1.5</v>
      </c>
      <c r="F593" s="42" t="s">
        <v>17</v>
      </c>
      <c r="G593" s="19">
        <f t="shared" si="30"/>
        <v>0.23</v>
      </c>
    </row>
    <row r="594" spans="1:9" x14ac:dyDescent="0.25">
      <c r="B594" s="35" t="s">
        <v>740</v>
      </c>
      <c r="D594" s="42" t="s">
        <v>12</v>
      </c>
      <c r="E594" s="42">
        <f t="shared" si="31"/>
        <v>1.5</v>
      </c>
      <c r="F594" s="42" t="s">
        <v>17</v>
      </c>
      <c r="G594" s="19">
        <f t="shared" si="30"/>
        <v>0.23</v>
      </c>
      <c r="H594" t="s">
        <v>495</v>
      </c>
    </row>
    <row r="595" spans="1:9" x14ac:dyDescent="0.25">
      <c r="A595" s="27" t="s">
        <v>658</v>
      </c>
      <c r="B595" s="49" t="s">
        <v>741</v>
      </c>
      <c r="C595" s="49"/>
      <c r="D595" s="50" t="s">
        <v>12</v>
      </c>
      <c r="E595" s="50">
        <v>1.2</v>
      </c>
      <c r="F595" s="50" t="s">
        <v>12</v>
      </c>
      <c r="G595" s="51">
        <f t="shared" si="30"/>
        <v>0.38</v>
      </c>
      <c r="H595" s="27"/>
    </row>
    <row r="596" spans="1:9" x14ac:dyDescent="0.25">
      <c r="B596" s="35" t="s">
        <v>742</v>
      </c>
      <c r="D596" s="42" t="s">
        <v>8</v>
      </c>
      <c r="E596" s="42">
        <f t="shared" si="31"/>
        <v>2.5</v>
      </c>
      <c r="F596" s="42" t="s">
        <v>17</v>
      </c>
      <c r="G596" s="19">
        <f t="shared" si="30"/>
        <v>0.23</v>
      </c>
      <c r="H596" t="s">
        <v>744</v>
      </c>
      <c r="I596" s="83" t="s">
        <v>743</v>
      </c>
    </row>
    <row r="597" spans="1:9" x14ac:dyDescent="0.25">
      <c r="B597" s="35" t="s">
        <v>746</v>
      </c>
      <c r="D597" s="42" t="s">
        <v>10</v>
      </c>
      <c r="E597" s="42">
        <f t="shared" si="31"/>
        <v>1</v>
      </c>
      <c r="F597" s="42" t="s">
        <v>12</v>
      </c>
      <c r="G597" s="19">
        <f t="shared" si="30"/>
        <v>0.38</v>
      </c>
      <c r="H597" t="s">
        <v>747</v>
      </c>
    </row>
    <row r="598" spans="1:9" x14ac:dyDescent="0.25">
      <c r="B598" s="35" t="s">
        <v>748</v>
      </c>
      <c r="D598" s="42" t="s">
        <v>8</v>
      </c>
      <c r="E598" s="42">
        <f t="shared" si="31"/>
        <v>2.5</v>
      </c>
      <c r="F598" s="42" t="s">
        <v>17</v>
      </c>
      <c r="G598" s="19">
        <f t="shared" si="30"/>
        <v>0.23</v>
      </c>
      <c r="H598" t="s">
        <v>495</v>
      </c>
    </row>
    <row r="599" spans="1:9" x14ac:dyDescent="0.25">
      <c r="B599" s="35" t="s">
        <v>749</v>
      </c>
      <c r="D599" s="42" t="s">
        <v>9</v>
      </c>
      <c r="E599" s="42">
        <f t="shared" si="31"/>
        <v>2</v>
      </c>
      <c r="F599" s="42" t="s">
        <v>10</v>
      </c>
      <c r="G599" s="19">
        <f t="shared" si="30"/>
        <v>0.3</v>
      </c>
    </row>
    <row r="600" spans="1:9" x14ac:dyDescent="0.25">
      <c r="B600" s="35" t="s">
        <v>750</v>
      </c>
      <c r="D600" s="42" t="s">
        <v>12</v>
      </c>
      <c r="E600" s="42">
        <f t="shared" si="31"/>
        <v>1.5</v>
      </c>
      <c r="F600" s="42" t="s">
        <v>10</v>
      </c>
      <c r="G600" s="19">
        <f t="shared" si="30"/>
        <v>0.3</v>
      </c>
    </row>
    <row r="601" spans="1:9" x14ac:dyDescent="0.25">
      <c r="B601" s="35" t="s">
        <v>751</v>
      </c>
      <c r="D601" s="42" t="s">
        <v>12</v>
      </c>
      <c r="E601" s="42">
        <f t="shared" si="31"/>
        <v>1.5</v>
      </c>
      <c r="F601" s="42" t="s">
        <v>12</v>
      </c>
      <c r="G601" s="19">
        <f t="shared" si="30"/>
        <v>0.38</v>
      </c>
      <c r="H601" t="s">
        <v>396</v>
      </c>
    </row>
    <row r="602" spans="1:9" x14ac:dyDescent="0.25">
      <c r="B602" s="35" t="s">
        <v>752</v>
      </c>
      <c r="D602" s="42" t="s">
        <v>12</v>
      </c>
      <c r="E602" s="42">
        <f t="shared" si="31"/>
        <v>1.5</v>
      </c>
      <c r="F602" s="42" t="s">
        <v>10</v>
      </c>
      <c r="G602" s="19">
        <f t="shared" si="30"/>
        <v>0.3</v>
      </c>
    </row>
    <row r="603" spans="1:9" x14ac:dyDescent="0.25">
      <c r="B603" s="35" t="s">
        <v>753</v>
      </c>
      <c r="D603" s="42" t="s">
        <v>12</v>
      </c>
      <c r="E603" s="42">
        <f t="shared" si="31"/>
        <v>1.5</v>
      </c>
      <c r="F603" s="42" t="s">
        <v>10</v>
      </c>
      <c r="G603" s="19">
        <f t="shared" si="30"/>
        <v>0.3</v>
      </c>
    </row>
    <row r="604" spans="1:9" x14ac:dyDescent="0.25">
      <c r="B604" s="35" t="s">
        <v>754</v>
      </c>
      <c r="D604" s="42" t="s">
        <v>12</v>
      </c>
      <c r="E604" s="42">
        <f t="shared" si="31"/>
        <v>1.5</v>
      </c>
      <c r="F604" s="42" t="s">
        <v>17</v>
      </c>
      <c r="G604" s="19">
        <f t="shared" si="30"/>
        <v>0.23</v>
      </c>
    </row>
    <row r="605" spans="1:9" x14ac:dyDescent="0.25">
      <c r="B605" s="35" t="s">
        <v>755</v>
      </c>
      <c r="D605" s="42" t="s">
        <v>12</v>
      </c>
      <c r="E605" s="42">
        <f t="shared" si="31"/>
        <v>1.5</v>
      </c>
      <c r="F605" s="42" t="s">
        <v>10</v>
      </c>
      <c r="G605" s="19">
        <f t="shared" si="30"/>
        <v>0.3</v>
      </c>
      <c r="H605" t="s">
        <v>756</v>
      </c>
    </row>
    <row r="606" spans="1:9" x14ac:dyDescent="0.25">
      <c r="B606" s="35" t="s">
        <v>757</v>
      </c>
      <c r="D606" s="42" t="s">
        <v>12</v>
      </c>
      <c r="E606" s="42">
        <f t="shared" si="31"/>
        <v>1.5</v>
      </c>
      <c r="F606" s="42" t="s">
        <v>10</v>
      </c>
      <c r="G606" s="19">
        <f t="shared" si="30"/>
        <v>0.3</v>
      </c>
      <c r="H606" t="str">
        <f>H605</f>
        <v>чел. Обл.</v>
      </c>
    </row>
    <row r="607" spans="1:9" x14ac:dyDescent="0.25">
      <c r="B607" s="35" t="s">
        <v>758</v>
      </c>
      <c r="D607" s="42" t="s">
        <v>12</v>
      </c>
      <c r="E607" s="42">
        <f t="shared" si="31"/>
        <v>1.5</v>
      </c>
      <c r="F607" s="42" t="s">
        <v>12</v>
      </c>
      <c r="G607" s="19">
        <f t="shared" si="30"/>
        <v>0.38</v>
      </c>
      <c r="H607" t="s">
        <v>759</v>
      </c>
    </row>
    <row r="608" spans="1:9" x14ac:dyDescent="0.25">
      <c r="B608" s="35" t="s">
        <v>760</v>
      </c>
      <c r="D608" s="42" t="s">
        <v>17</v>
      </c>
      <c r="E608" s="42">
        <f t="shared" si="31"/>
        <v>0.5</v>
      </c>
      <c r="F608" s="42" t="s">
        <v>8</v>
      </c>
      <c r="G608" s="19">
        <f t="shared" si="30"/>
        <v>0.6</v>
      </c>
    </row>
    <row r="609" spans="2:7" x14ac:dyDescent="0.25">
      <c r="B609" s="35" t="s">
        <v>761</v>
      </c>
      <c r="D609" s="42" t="s">
        <v>10</v>
      </c>
      <c r="E609" s="42">
        <f t="shared" si="31"/>
        <v>1</v>
      </c>
      <c r="F609" s="42" t="s">
        <v>8</v>
      </c>
      <c r="G609" s="19">
        <f t="shared" si="30"/>
        <v>0.6</v>
      </c>
    </row>
    <row r="610" spans="2:7" x14ac:dyDescent="0.25">
      <c r="G610" s="19" t="e">
        <f t="shared" si="30"/>
        <v>#N/A</v>
      </c>
    </row>
    <row r="611" spans="2:7" x14ac:dyDescent="0.25">
      <c r="G611" s="19" t="e">
        <f t="shared" si="30"/>
        <v>#N/A</v>
      </c>
    </row>
    <row r="612" spans="2:7" x14ac:dyDescent="0.25">
      <c r="G612" s="19" t="e">
        <f t="shared" si="30"/>
        <v>#N/A</v>
      </c>
    </row>
    <row r="613" spans="2:7" x14ac:dyDescent="0.25">
      <c r="G613" s="19" t="e">
        <f t="shared" si="30"/>
        <v>#N/A</v>
      </c>
    </row>
    <row r="614" spans="2:7" x14ac:dyDescent="0.25">
      <c r="G614" s="19" t="e">
        <f t="shared" si="30"/>
        <v>#N/A</v>
      </c>
    </row>
    <row r="615" spans="2:7" x14ac:dyDescent="0.25">
      <c r="G615" s="19" t="e">
        <f t="shared" si="30"/>
        <v>#N/A</v>
      </c>
    </row>
    <row r="616" spans="2:7" x14ac:dyDescent="0.25">
      <c r="G616" s="19" t="e">
        <f t="shared" si="30"/>
        <v>#N/A</v>
      </c>
    </row>
    <row r="617" spans="2:7" x14ac:dyDescent="0.25">
      <c r="G617" s="19" t="e">
        <f t="shared" si="30"/>
        <v>#N/A</v>
      </c>
    </row>
    <row r="618" spans="2:7" x14ac:dyDescent="0.25">
      <c r="G618" s="19" t="e">
        <f t="shared" si="30"/>
        <v>#N/A</v>
      </c>
    </row>
    <row r="619" spans="2:7" x14ac:dyDescent="0.25">
      <c r="G619" s="19" t="e">
        <f t="shared" si="30"/>
        <v>#N/A</v>
      </c>
    </row>
    <row r="620" spans="2:7" x14ac:dyDescent="0.25">
      <c r="G620" s="19" t="e">
        <f t="shared" si="30"/>
        <v>#N/A</v>
      </c>
    </row>
    <row r="621" spans="2:7" x14ac:dyDescent="0.25">
      <c r="G621" s="19" t="e">
        <f t="shared" si="30"/>
        <v>#N/A</v>
      </c>
    </row>
    <row r="622" spans="2:7" x14ac:dyDescent="0.25">
      <c r="G622" s="19" t="e">
        <f t="shared" si="30"/>
        <v>#N/A</v>
      </c>
    </row>
    <row r="623" spans="2:7" x14ac:dyDescent="0.25">
      <c r="G623" s="19" t="e">
        <f t="shared" si="30"/>
        <v>#N/A</v>
      </c>
    </row>
    <row r="624" spans="2:7" x14ac:dyDescent="0.25">
      <c r="G624" s="19" t="e">
        <f t="shared" si="30"/>
        <v>#N/A</v>
      </c>
    </row>
    <row r="625" spans="7:7" x14ac:dyDescent="0.25">
      <c r="G625" s="19" t="e">
        <f t="shared" si="30"/>
        <v>#N/A</v>
      </c>
    </row>
    <row r="626" spans="7:7" x14ac:dyDescent="0.25">
      <c r="G626" s="19" t="e">
        <f t="shared" si="30"/>
        <v>#N/A</v>
      </c>
    </row>
    <row r="627" spans="7:7" x14ac:dyDescent="0.25">
      <c r="G627" s="19" t="e">
        <f t="shared" si="30"/>
        <v>#N/A</v>
      </c>
    </row>
  </sheetData>
  <mergeCells count="9">
    <mergeCell ref="L8:M8"/>
    <mergeCell ref="L10:M10"/>
    <mergeCell ref="L11:M11"/>
    <mergeCell ref="C1:G1"/>
    <mergeCell ref="A1:A2"/>
    <mergeCell ref="B1:B2"/>
    <mergeCell ref="L4:M4"/>
    <mergeCell ref="L5:M5"/>
    <mergeCell ref="L7:M7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topLeftCell="A52" workbookViewId="0">
      <selection activeCell="C80" sqref="C80"/>
    </sheetView>
  </sheetViews>
  <sheetFormatPr defaultRowHeight="15" x14ac:dyDescent="0.25"/>
  <cols>
    <col min="2" max="2" width="22.85546875" customWidth="1"/>
    <col min="3" max="3" width="10.5703125" style="30" customWidth="1"/>
    <col min="4" max="4" width="17" style="30" customWidth="1"/>
    <col min="5" max="5" width="17.140625" style="30" customWidth="1"/>
    <col min="6" max="6" width="15.7109375" style="30" customWidth="1"/>
    <col min="7" max="7" width="9.140625" style="30"/>
    <col min="8" max="8" width="10.85546875" style="67" customWidth="1"/>
    <col min="9" max="9" width="17.42578125" style="30" customWidth="1"/>
  </cols>
  <sheetData>
    <row r="1" spans="1:22" ht="16.5" customHeight="1" thickBot="1" x14ac:dyDescent="0.3">
      <c r="A1" s="133" t="s">
        <v>0</v>
      </c>
      <c r="B1" s="123" t="s">
        <v>1</v>
      </c>
      <c r="C1" s="54"/>
      <c r="D1" s="59" t="s">
        <v>212</v>
      </c>
      <c r="E1" s="59" t="s">
        <v>212</v>
      </c>
      <c r="F1" s="59" t="s">
        <v>213</v>
      </c>
      <c r="G1" s="59"/>
      <c r="H1" s="135" t="s">
        <v>212</v>
      </c>
      <c r="I1" s="135"/>
    </row>
    <row r="2" spans="1:22" ht="63" thickBot="1" x14ac:dyDescent="0.3">
      <c r="A2" s="134"/>
      <c r="B2" s="124"/>
      <c r="C2" s="1" t="s">
        <v>3</v>
      </c>
      <c r="D2" s="1" t="s">
        <v>211</v>
      </c>
      <c r="E2" s="1" t="s">
        <v>209</v>
      </c>
      <c r="F2" s="1" t="s">
        <v>210</v>
      </c>
      <c r="G2" s="2" t="s">
        <v>6</v>
      </c>
      <c r="H2" s="63" t="s">
        <v>4</v>
      </c>
      <c r="I2" s="1" t="s">
        <v>209</v>
      </c>
    </row>
    <row r="3" spans="1:22" ht="15.75" thickBot="1" x14ac:dyDescent="0.3">
      <c r="A3" s="47">
        <f>A6</f>
        <v>45931</v>
      </c>
      <c r="B3" s="52" t="s">
        <v>515</v>
      </c>
      <c r="C3" s="55" t="s">
        <v>12</v>
      </c>
      <c r="D3" s="60"/>
      <c r="E3" s="60">
        <f t="shared" ref="E3:E22" si="0">INDEX($O$8:$V$8,1,MATCH(C3,$O$7:$V$7,0))</f>
        <v>1.5</v>
      </c>
      <c r="F3" s="60">
        <f t="shared" ref="F3:F22" si="1">2*E3</f>
        <v>3</v>
      </c>
      <c r="G3" s="55" t="s">
        <v>9</v>
      </c>
      <c r="H3" s="64">
        <f t="shared" ref="H3:H22" si="2">INDEX($O$11:$V$11,1,MATCH(G3,$O$10:$V$10,0))</f>
        <v>0.48</v>
      </c>
      <c r="I3" s="25">
        <f>INDEX($O$14:$V$14,1,MATCH(G3,$O$13:$V$13,0))</f>
        <v>0.77</v>
      </c>
    </row>
    <row r="4" spans="1:22" ht="15.75" thickBot="1" x14ac:dyDescent="0.3">
      <c r="A4" s="47"/>
      <c r="B4" s="52"/>
      <c r="C4" s="55"/>
      <c r="D4" s="60"/>
      <c r="E4" s="60"/>
      <c r="F4" s="60"/>
      <c r="G4" s="55"/>
      <c r="H4" s="64"/>
      <c r="I4" s="25"/>
      <c r="M4" s="125" t="s">
        <v>3</v>
      </c>
      <c r="N4" s="126"/>
      <c r="O4" s="5" t="s">
        <v>17</v>
      </c>
      <c r="P4" s="5" t="s">
        <v>10</v>
      </c>
      <c r="Q4" s="5" t="s">
        <v>12</v>
      </c>
      <c r="R4" s="5" t="s">
        <v>9</v>
      </c>
      <c r="S4" s="6" t="s">
        <v>8</v>
      </c>
      <c r="T4" s="6" t="s">
        <v>178</v>
      </c>
      <c r="U4" s="6" t="s">
        <v>87</v>
      </c>
      <c r="V4" s="7" t="s">
        <v>122</v>
      </c>
    </row>
    <row r="5" spans="1:22" ht="15.75" thickBot="1" x14ac:dyDescent="0.3">
      <c r="A5" s="47"/>
      <c r="B5" s="52"/>
      <c r="C5" s="55" t="s">
        <v>12</v>
      </c>
      <c r="D5" s="60"/>
      <c r="E5" s="60">
        <f t="shared" si="0"/>
        <v>1.5</v>
      </c>
      <c r="F5" s="60">
        <f t="shared" si="1"/>
        <v>3</v>
      </c>
      <c r="G5" s="55" t="s">
        <v>9</v>
      </c>
      <c r="H5" s="64">
        <f t="shared" si="2"/>
        <v>0.48</v>
      </c>
      <c r="I5" s="25">
        <v>0.77</v>
      </c>
      <c r="J5" t="s">
        <v>505</v>
      </c>
      <c r="M5" s="127" t="s">
        <v>205</v>
      </c>
      <c r="N5" s="128"/>
      <c r="O5" s="8">
        <v>0.8</v>
      </c>
      <c r="P5" s="8">
        <v>1.2</v>
      </c>
      <c r="Q5" s="8">
        <v>1.8</v>
      </c>
      <c r="R5" s="8">
        <v>2.4</v>
      </c>
      <c r="S5" s="9">
        <v>3.2</v>
      </c>
      <c r="T5" s="9">
        <v>4</v>
      </c>
      <c r="U5" s="10">
        <v>4.8</v>
      </c>
      <c r="V5" s="11">
        <v>5.6</v>
      </c>
    </row>
    <row r="6" spans="1:22" ht="15.75" thickBot="1" x14ac:dyDescent="0.3">
      <c r="A6" s="47">
        <v>45931</v>
      </c>
      <c r="B6" s="52" t="s">
        <v>183</v>
      </c>
      <c r="C6" s="55" t="s">
        <v>17</v>
      </c>
      <c r="D6" s="60"/>
      <c r="E6" s="60">
        <f t="shared" si="0"/>
        <v>0.8</v>
      </c>
      <c r="F6" s="60">
        <f t="shared" si="1"/>
        <v>1.6</v>
      </c>
      <c r="G6" s="55" t="s">
        <v>9</v>
      </c>
      <c r="H6" s="64">
        <f t="shared" si="2"/>
        <v>0.48</v>
      </c>
      <c r="I6" s="25">
        <f t="shared" ref="I6:I22" si="3">INDEX($O$14:$W$14,1,MATCH(G6,$O$13:$V$13,0))</f>
        <v>0.77</v>
      </c>
    </row>
    <row r="7" spans="1:22" ht="16.5" thickTop="1" thickBot="1" x14ac:dyDescent="0.3">
      <c r="A7" s="3">
        <v>1</v>
      </c>
      <c r="B7" s="53" t="s">
        <v>184</v>
      </c>
      <c r="C7" s="56" t="s">
        <v>12</v>
      </c>
      <c r="D7" s="61">
        <f t="shared" ref="D7:D22" si="4">INDEX($O$5:$V$5,1,MATCH(C7,$O$4:$V$4,0))</f>
        <v>1.8</v>
      </c>
      <c r="E7" s="61">
        <f t="shared" si="0"/>
        <v>1.5</v>
      </c>
      <c r="F7" s="61">
        <f t="shared" si="1"/>
        <v>3</v>
      </c>
      <c r="G7" s="56" t="s">
        <v>12</v>
      </c>
      <c r="H7" s="65">
        <f t="shared" si="2"/>
        <v>0.38</v>
      </c>
      <c r="I7" s="4">
        <f t="shared" si="3"/>
        <v>0.56000000000000005</v>
      </c>
      <c r="M7" s="131" t="s">
        <v>3</v>
      </c>
      <c r="N7" s="132"/>
      <c r="O7" s="21" t="s">
        <v>17</v>
      </c>
      <c r="P7" s="21" t="s">
        <v>10</v>
      </c>
      <c r="Q7" s="21" t="s">
        <v>12</v>
      </c>
      <c r="R7" s="21" t="s">
        <v>9</v>
      </c>
      <c r="S7" s="21" t="s">
        <v>8</v>
      </c>
      <c r="T7" s="21" t="s">
        <v>178</v>
      </c>
      <c r="U7" s="21" t="s">
        <v>87</v>
      </c>
      <c r="V7" s="21" t="s">
        <v>122</v>
      </c>
    </row>
    <row r="8" spans="1:22" ht="15.75" thickBot="1" x14ac:dyDescent="0.3">
      <c r="A8" s="3">
        <v>1</v>
      </c>
      <c r="B8" s="53" t="s">
        <v>185</v>
      </c>
      <c r="C8" s="56" t="s">
        <v>9</v>
      </c>
      <c r="D8" s="61">
        <f t="shared" si="4"/>
        <v>2.4</v>
      </c>
      <c r="E8" s="61">
        <f t="shared" si="0"/>
        <v>1.8</v>
      </c>
      <c r="F8" s="61">
        <f t="shared" si="1"/>
        <v>3.6</v>
      </c>
      <c r="G8" s="56" t="s">
        <v>8</v>
      </c>
      <c r="H8" s="65">
        <f t="shared" si="2"/>
        <v>0.6</v>
      </c>
      <c r="I8" s="4">
        <f t="shared" si="3"/>
        <v>1</v>
      </c>
      <c r="M8" s="129" t="s">
        <v>205</v>
      </c>
      <c r="N8" s="130"/>
      <c r="O8" s="23">
        <v>0.8</v>
      </c>
      <c r="P8" s="23">
        <v>1.2</v>
      </c>
      <c r="Q8" s="23">
        <v>1.5</v>
      </c>
      <c r="R8" s="23">
        <v>1.8</v>
      </c>
      <c r="S8" s="23">
        <v>2.4</v>
      </c>
      <c r="T8" s="23">
        <v>3.2</v>
      </c>
      <c r="U8" s="24">
        <v>4</v>
      </c>
      <c r="V8" s="24">
        <v>4.8</v>
      </c>
    </row>
    <row r="9" spans="1:22" ht="15.75" thickBot="1" x14ac:dyDescent="0.3">
      <c r="A9" s="3">
        <v>1</v>
      </c>
      <c r="B9" s="53"/>
      <c r="C9" s="56" t="s">
        <v>12</v>
      </c>
      <c r="D9" s="61">
        <v>2.14</v>
      </c>
      <c r="E9" s="61">
        <f t="shared" si="0"/>
        <v>1.5</v>
      </c>
      <c r="F9" s="61">
        <f>2*E9</f>
        <v>3</v>
      </c>
      <c r="G9" s="56" t="s">
        <v>12</v>
      </c>
      <c r="H9" s="65">
        <f t="shared" si="2"/>
        <v>0.38</v>
      </c>
      <c r="I9" s="4">
        <f t="shared" si="3"/>
        <v>0.56000000000000005</v>
      </c>
      <c r="J9" t="s">
        <v>512</v>
      </c>
      <c r="M9" t="s">
        <v>207</v>
      </c>
    </row>
    <row r="10" spans="1:22" ht="16.5" thickTop="1" thickBot="1" x14ac:dyDescent="0.3">
      <c r="A10" s="3"/>
      <c r="B10" s="53"/>
      <c r="C10" s="56"/>
      <c r="D10" s="61"/>
      <c r="E10" s="61"/>
      <c r="F10" s="61"/>
      <c r="G10" s="56"/>
      <c r="H10" s="65"/>
      <c r="I10" s="4"/>
      <c r="M10" s="119" t="s">
        <v>6</v>
      </c>
      <c r="N10" s="120"/>
      <c r="O10" s="12" t="s">
        <v>208</v>
      </c>
      <c r="P10" s="12" t="s">
        <v>17</v>
      </c>
      <c r="Q10" s="12" t="s">
        <v>10</v>
      </c>
      <c r="R10" s="12" t="s">
        <v>12</v>
      </c>
      <c r="S10" s="12" t="s">
        <v>9</v>
      </c>
      <c r="T10" s="13" t="s">
        <v>8</v>
      </c>
      <c r="U10" s="13" t="s">
        <v>178</v>
      </c>
      <c r="V10" s="13" t="s">
        <v>87</v>
      </c>
    </row>
    <row r="11" spans="1:22" ht="15.75" thickBot="1" x14ac:dyDescent="0.3">
      <c r="A11" s="3">
        <v>1</v>
      </c>
      <c r="B11" s="53" t="s">
        <v>188</v>
      </c>
      <c r="C11" s="56" t="s">
        <v>17</v>
      </c>
      <c r="D11" s="61">
        <f t="shared" si="4"/>
        <v>0.8</v>
      </c>
      <c r="E11" s="61">
        <f t="shared" si="0"/>
        <v>0.8</v>
      </c>
      <c r="F11" s="61">
        <f t="shared" si="1"/>
        <v>1.6</v>
      </c>
      <c r="G11" s="56"/>
      <c r="H11" s="65" t="e">
        <f t="shared" si="2"/>
        <v>#N/A</v>
      </c>
      <c r="I11" s="4" t="e">
        <f t="shared" si="3"/>
        <v>#N/A</v>
      </c>
      <c r="M11" s="117" t="s">
        <v>205</v>
      </c>
      <c r="N11" s="118"/>
      <c r="O11" s="15">
        <v>0.17</v>
      </c>
      <c r="P11" s="15">
        <v>0.23</v>
      </c>
      <c r="Q11" s="15">
        <v>0.3</v>
      </c>
      <c r="R11" s="15">
        <v>0.38</v>
      </c>
      <c r="S11" s="16">
        <v>0.48</v>
      </c>
      <c r="T11" s="16">
        <v>0.6</v>
      </c>
      <c r="U11" s="17">
        <v>0.73</v>
      </c>
      <c r="V11" s="17">
        <v>0.85</v>
      </c>
    </row>
    <row r="12" spans="1:22" ht="15.75" thickBot="1" x14ac:dyDescent="0.3">
      <c r="B12" s="53"/>
      <c r="C12" s="56"/>
      <c r="D12" s="61" t="e">
        <f t="shared" si="4"/>
        <v>#N/A</v>
      </c>
      <c r="E12" s="61" t="e">
        <f t="shared" si="0"/>
        <v>#N/A</v>
      </c>
      <c r="F12" s="61" t="e">
        <f t="shared" si="1"/>
        <v>#N/A</v>
      </c>
      <c r="G12" s="56" t="s">
        <v>12</v>
      </c>
      <c r="H12" s="65"/>
      <c r="I12" s="4">
        <f t="shared" si="3"/>
        <v>0.56000000000000005</v>
      </c>
    </row>
    <row r="13" spans="1:22" ht="16.5" thickTop="1" thickBot="1" x14ac:dyDescent="0.3">
      <c r="B13" s="53" t="s">
        <v>190</v>
      </c>
      <c r="C13" s="56" t="s">
        <v>17</v>
      </c>
      <c r="D13" s="61">
        <f t="shared" si="4"/>
        <v>0.8</v>
      </c>
      <c r="E13" s="61">
        <f t="shared" si="0"/>
        <v>0.8</v>
      </c>
      <c r="F13" s="61">
        <f t="shared" si="1"/>
        <v>1.6</v>
      </c>
      <c r="G13" s="56" t="s">
        <v>12</v>
      </c>
      <c r="H13" s="65">
        <f t="shared" si="2"/>
        <v>0.38</v>
      </c>
      <c r="I13" s="4">
        <f t="shared" si="3"/>
        <v>0.56000000000000005</v>
      </c>
      <c r="J13" t="s">
        <v>572</v>
      </c>
      <c r="M13" s="131" t="s">
        <v>6</v>
      </c>
      <c r="N13" s="132"/>
      <c r="O13" s="21" t="s">
        <v>17</v>
      </c>
      <c r="P13" s="21" t="s">
        <v>10</v>
      </c>
      <c r="Q13" s="21" t="s">
        <v>12</v>
      </c>
      <c r="R13" s="21" t="s">
        <v>9</v>
      </c>
      <c r="S13" s="21" t="s">
        <v>8</v>
      </c>
      <c r="T13" s="21" t="s">
        <v>178</v>
      </c>
      <c r="U13" s="21" t="s">
        <v>87</v>
      </c>
      <c r="V13" s="22" t="s">
        <v>122</v>
      </c>
    </row>
    <row r="14" spans="1:22" ht="15.75" thickBot="1" x14ac:dyDescent="0.3">
      <c r="A14" s="26">
        <v>45931</v>
      </c>
      <c r="B14" s="52" t="s">
        <v>192</v>
      </c>
      <c r="C14" s="55" t="s">
        <v>9</v>
      </c>
      <c r="D14" s="60"/>
      <c r="E14" s="60">
        <f>INDEX($O$8:$V$8,1,MATCH(C14,$O$7:$V$7,0))*0+1.8</f>
        <v>1.8</v>
      </c>
      <c r="F14" s="60">
        <f t="shared" si="1"/>
        <v>3.6</v>
      </c>
      <c r="G14" s="55" t="s">
        <v>9</v>
      </c>
      <c r="H14" s="64">
        <f t="shared" si="2"/>
        <v>0.48</v>
      </c>
      <c r="I14" s="25">
        <f t="shared" si="3"/>
        <v>0.77</v>
      </c>
      <c r="M14" s="129" t="s">
        <v>205</v>
      </c>
      <c r="N14" s="130"/>
      <c r="O14" s="23">
        <v>0.25</v>
      </c>
      <c r="P14" s="23">
        <v>0.39</v>
      </c>
      <c r="Q14" s="23">
        <v>0.56000000000000005</v>
      </c>
      <c r="R14" s="23">
        <v>0.77</v>
      </c>
      <c r="S14" s="23">
        <v>1</v>
      </c>
      <c r="T14" s="23">
        <v>1.26</v>
      </c>
      <c r="U14" s="24">
        <v>1.56</v>
      </c>
      <c r="V14" s="24">
        <v>2.25</v>
      </c>
    </row>
    <row r="15" spans="1:22" ht="15.75" thickBot="1" x14ac:dyDescent="0.3">
      <c r="B15" s="53"/>
      <c r="C15" s="57" t="s">
        <v>12</v>
      </c>
      <c r="D15" s="61">
        <f t="shared" si="4"/>
        <v>1.8</v>
      </c>
      <c r="E15" s="61">
        <f t="shared" si="0"/>
        <v>1.5</v>
      </c>
      <c r="F15" s="61">
        <f t="shared" si="1"/>
        <v>3</v>
      </c>
      <c r="G15" s="57" t="s">
        <v>12</v>
      </c>
      <c r="H15" s="65">
        <f t="shared" si="2"/>
        <v>0.38</v>
      </c>
      <c r="I15" s="4">
        <f t="shared" si="3"/>
        <v>0.56000000000000005</v>
      </c>
    </row>
    <row r="16" spans="1:22" ht="15.75" thickBot="1" x14ac:dyDescent="0.3">
      <c r="B16" s="53" t="s">
        <v>191</v>
      </c>
      <c r="C16" s="57" t="s">
        <v>10</v>
      </c>
      <c r="D16" s="61">
        <f t="shared" si="4"/>
        <v>1.2</v>
      </c>
      <c r="E16" s="61">
        <f t="shared" si="0"/>
        <v>1.2</v>
      </c>
      <c r="F16" s="61">
        <f t="shared" si="1"/>
        <v>2.4</v>
      </c>
      <c r="G16" s="57" t="s">
        <v>10</v>
      </c>
      <c r="H16" s="65">
        <f t="shared" si="2"/>
        <v>0.3</v>
      </c>
      <c r="I16" s="4">
        <f t="shared" si="3"/>
        <v>0.39</v>
      </c>
      <c r="J16" t="s">
        <v>497</v>
      </c>
    </row>
    <row r="17" spans="2:10" ht="15.75" thickBot="1" x14ac:dyDescent="0.3">
      <c r="B17" s="53"/>
      <c r="C17" s="57"/>
      <c r="D17" s="61" t="e">
        <f t="shared" si="4"/>
        <v>#N/A</v>
      </c>
      <c r="E17" s="61" t="e">
        <f t="shared" si="0"/>
        <v>#N/A</v>
      </c>
      <c r="F17" s="61" t="e">
        <f t="shared" si="1"/>
        <v>#N/A</v>
      </c>
      <c r="G17" s="57"/>
      <c r="H17" s="65" t="e">
        <f t="shared" si="2"/>
        <v>#N/A</v>
      </c>
      <c r="I17" s="4" t="e">
        <f t="shared" si="3"/>
        <v>#N/A</v>
      </c>
    </row>
    <row r="18" spans="2:10" ht="15.75" thickBot="1" x14ac:dyDescent="0.3">
      <c r="B18" s="53"/>
      <c r="C18" s="57"/>
      <c r="D18" s="61" t="e">
        <f t="shared" si="4"/>
        <v>#N/A</v>
      </c>
      <c r="E18" s="61" t="e">
        <f t="shared" si="0"/>
        <v>#N/A</v>
      </c>
      <c r="F18" s="61" t="e">
        <f t="shared" si="1"/>
        <v>#N/A</v>
      </c>
      <c r="G18" s="57"/>
      <c r="H18" s="65" t="e">
        <f t="shared" si="2"/>
        <v>#N/A</v>
      </c>
      <c r="I18" s="4" t="e">
        <f t="shared" si="3"/>
        <v>#N/A</v>
      </c>
    </row>
    <row r="19" spans="2:10" ht="15.75" thickBot="1" x14ac:dyDescent="0.3">
      <c r="B19" s="53" t="s">
        <v>215</v>
      </c>
      <c r="C19" s="57" t="s">
        <v>12</v>
      </c>
      <c r="D19" s="61">
        <f t="shared" si="4"/>
        <v>1.8</v>
      </c>
      <c r="E19" s="61">
        <f t="shared" si="0"/>
        <v>1.5</v>
      </c>
      <c r="F19" s="61">
        <f t="shared" si="1"/>
        <v>3</v>
      </c>
      <c r="G19" s="57" t="s">
        <v>12</v>
      </c>
      <c r="H19" s="65">
        <f t="shared" si="2"/>
        <v>0.38</v>
      </c>
      <c r="I19" s="4">
        <f t="shared" si="3"/>
        <v>0.56000000000000005</v>
      </c>
    </row>
    <row r="20" spans="2:10" ht="15.75" thickBot="1" x14ac:dyDescent="0.3">
      <c r="B20" s="53" t="s">
        <v>216</v>
      </c>
      <c r="C20" s="57" t="s">
        <v>10</v>
      </c>
      <c r="D20" s="61">
        <f t="shared" si="4"/>
        <v>1.2</v>
      </c>
      <c r="E20" s="61">
        <f t="shared" si="0"/>
        <v>1.2</v>
      </c>
      <c r="F20" s="61">
        <f t="shared" si="1"/>
        <v>2.4</v>
      </c>
      <c r="G20" s="57"/>
      <c r="H20" s="65" t="e">
        <f t="shared" si="2"/>
        <v>#N/A</v>
      </c>
      <c r="I20" s="4" t="e">
        <f t="shared" si="3"/>
        <v>#N/A</v>
      </c>
    </row>
    <row r="21" spans="2:10" ht="15.75" thickBot="1" x14ac:dyDescent="0.3">
      <c r="B21" s="53" t="s">
        <v>217</v>
      </c>
      <c r="C21" s="57" t="s">
        <v>9</v>
      </c>
      <c r="D21" s="61"/>
      <c r="E21" s="61">
        <f t="shared" si="0"/>
        <v>1.8</v>
      </c>
      <c r="F21" s="61">
        <f t="shared" si="1"/>
        <v>3.6</v>
      </c>
      <c r="G21" s="57" t="s">
        <v>12</v>
      </c>
      <c r="H21" s="65">
        <f t="shared" si="2"/>
        <v>0.38</v>
      </c>
      <c r="I21" s="4">
        <f t="shared" si="3"/>
        <v>0.56000000000000005</v>
      </c>
    </row>
    <row r="22" spans="2:10" ht="15.75" thickBot="1" x14ac:dyDescent="0.3">
      <c r="B22" s="53" t="s">
        <v>218</v>
      </c>
      <c r="C22" s="57" t="s">
        <v>10</v>
      </c>
      <c r="D22" s="61">
        <f t="shared" si="4"/>
        <v>1.2</v>
      </c>
      <c r="E22" s="61">
        <f t="shared" si="0"/>
        <v>1.2</v>
      </c>
      <c r="F22" s="61">
        <f t="shared" si="1"/>
        <v>2.4</v>
      </c>
      <c r="G22" s="57" t="s">
        <v>10</v>
      </c>
      <c r="H22" s="65">
        <f t="shared" si="2"/>
        <v>0.3</v>
      </c>
      <c r="I22" s="4">
        <f t="shared" si="3"/>
        <v>0.39</v>
      </c>
    </row>
    <row r="23" spans="2:10" ht="15.75" thickBot="1" x14ac:dyDescent="0.3">
      <c r="B23" s="53"/>
      <c r="C23" s="57"/>
      <c r="D23" s="61"/>
      <c r="E23" s="61"/>
      <c r="F23" s="61"/>
      <c r="G23" s="57"/>
      <c r="H23" s="65"/>
      <c r="I23" s="4"/>
    </row>
    <row r="24" spans="2:10" ht="15.75" thickBot="1" x14ac:dyDescent="0.3">
      <c r="B24" s="53" t="s">
        <v>220</v>
      </c>
      <c r="C24" s="57" t="s">
        <v>8</v>
      </c>
      <c r="D24" s="61">
        <f t="shared" ref="D24:D45" si="5">INDEX($O$5:$V$5,1,MATCH(C24,$O$4:$V$4,0))</f>
        <v>3.2</v>
      </c>
      <c r="E24" s="61">
        <f t="shared" ref="E24:E45" si="6">INDEX($O$8:$V$8,1,MATCH(C24,$O$7:$V$7,0))</f>
        <v>2.4</v>
      </c>
      <c r="F24" s="61">
        <f t="shared" ref="F24:F45" si="7">2*E24</f>
        <v>4.8</v>
      </c>
      <c r="G24" s="57" t="s">
        <v>8</v>
      </c>
      <c r="H24" s="65">
        <f t="shared" ref="H24:H45" si="8">INDEX($O$11:$V$11,1,MATCH(G24,$O$10:$V$10,0))</f>
        <v>0.6</v>
      </c>
      <c r="I24" s="4">
        <f t="shared" ref="I24:I45" si="9">INDEX($O$14:$W$14,1,MATCH(G24,$O$13:$V$13,0))</f>
        <v>1</v>
      </c>
    </row>
    <row r="25" spans="2:10" ht="15.75" thickBot="1" x14ac:dyDescent="0.3">
      <c r="B25" s="53"/>
      <c r="C25" s="57"/>
      <c r="D25" s="61"/>
      <c r="E25" s="61"/>
      <c r="F25" s="61"/>
      <c r="G25" s="57"/>
      <c r="H25" s="65"/>
      <c r="I25" s="4"/>
    </row>
    <row r="26" spans="2:10" ht="15.75" thickBot="1" x14ac:dyDescent="0.3">
      <c r="B26" s="53" t="s">
        <v>385</v>
      </c>
      <c r="C26" s="56" t="s">
        <v>17</v>
      </c>
      <c r="D26" s="61">
        <f t="shared" si="5"/>
        <v>0.8</v>
      </c>
      <c r="E26" s="61">
        <f t="shared" si="6"/>
        <v>0.8</v>
      </c>
      <c r="F26" s="61">
        <f t="shared" si="7"/>
        <v>1.6</v>
      </c>
      <c r="G26" s="57" t="s">
        <v>12</v>
      </c>
      <c r="H26" s="65">
        <f t="shared" si="8"/>
        <v>0.38</v>
      </c>
      <c r="I26" s="4">
        <f t="shared" si="9"/>
        <v>0.56000000000000005</v>
      </c>
      <c r="J26" t="s">
        <v>507</v>
      </c>
    </row>
    <row r="27" spans="2:10" ht="15.75" thickBot="1" x14ac:dyDescent="0.3">
      <c r="B27" s="53"/>
      <c r="C27" s="57">
        <v>0</v>
      </c>
      <c r="D27" s="61" t="e">
        <f t="shared" si="5"/>
        <v>#N/A</v>
      </c>
      <c r="E27" s="61" t="e">
        <f t="shared" si="6"/>
        <v>#N/A</v>
      </c>
      <c r="F27" s="61" t="e">
        <f t="shared" si="7"/>
        <v>#N/A</v>
      </c>
      <c r="G27" s="57">
        <v>0</v>
      </c>
      <c r="H27" s="65" t="e">
        <f t="shared" si="8"/>
        <v>#N/A</v>
      </c>
      <c r="I27" s="4" t="e">
        <f t="shared" si="9"/>
        <v>#N/A</v>
      </c>
    </row>
    <row r="28" spans="2:10" ht="15.75" thickBot="1" x14ac:dyDescent="0.3">
      <c r="B28" s="53" t="s">
        <v>196</v>
      </c>
      <c r="C28" s="57" t="s">
        <v>12</v>
      </c>
      <c r="D28" s="61">
        <f t="shared" si="5"/>
        <v>1.8</v>
      </c>
      <c r="E28" s="61">
        <f t="shared" si="6"/>
        <v>1.5</v>
      </c>
      <c r="F28" s="61">
        <f t="shared" si="7"/>
        <v>3</v>
      </c>
      <c r="G28" s="30" t="s">
        <v>9</v>
      </c>
      <c r="H28" s="65">
        <f t="shared" si="8"/>
        <v>0.48</v>
      </c>
      <c r="I28" s="4">
        <f t="shared" si="9"/>
        <v>0.77</v>
      </c>
      <c r="J28" t="s">
        <v>507</v>
      </c>
    </row>
    <row r="29" spans="2:10" ht="15.75" thickBot="1" x14ac:dyDescent="0.3">
      <c r="B29" s="53" t="s">
        <v>221</v>
      </c>
      <c r="C29" s="57" t="s">
        <v>9</v>
      </c>
      <c r="D29" s="61">
        <f t="shared" si="5"/>
        <v>2.4</v>
      </c>
      <c r="E29" s="61">
        <f t="shared" si="6"/>
        <v>1.8</v>
      </c>
      <c r="F29" s="61">
        <f t="shared" si="7"/>
        <v>3.6</v>
      </c>
      <c r="H29" s="65" t="e">
        <f t="shared" si="8"/>
        <v>#N/A</v>
      </c>
      <c r="I29" s="4" t="e">
        <f t="shared" si="9"/>
        <v>#N/A</v>
      </c>
    </row>
    <row r="30" spans="2:10" ht="15.75" thickBot="1" x14ac:dyDescent="0.3">
      <c r="B30" s="53" t="s">
        <v>195</v>
      </c>
      <c r="C30" s="57" t="s">
        <v>17</v>
      </c>
      <c r="D30" s="61">
        <f t="shared" si="5"/>
        <v>0.8</v>
      </c>
      <c r="E30" s="61">
        <f t="shared" si="6"/>
        <v>0.8</v>
      </c>
      <c r="F30" s="61">
        <f t="shared" si="7"/>
        <v>1.6</v>
      </c>
      <c r="G30" s="57" t="s">
        <v>17</v>
      </c>
      <c r="H30" s="65">
        <f t="shared" si="8"/>
        <v>0.23</v>
      </c>
      <c r="I30" s="4">
        <f t="shared" si="9"/>
        <v>0.25</v>
      </c>
    </row>
    <row r="31" spans="2:10" ht="15.75" thickBot="1" x14ac:dyDescent="0.3">
      <c r="B31" s="53" t="s">
        <v>198</v>
      </c>
      <c r="C31" s="57" t="s">
        <v>87</v>
      </c>
      <c r="D31" s="61">
        <f t="shared" si="5"/>
        <v>4.8</v>
      </c>
      <c r="E31" s="61">
        <f t="shared" si="6"/>
        <v>4</v>
      </c>
      <c r="F31" s="61">
        <f t="shared" si="7"/>
        <v>8</v>
      </c>
      <c r="G31" s="57" t="s">
        <v>87</v>
      </c>
      <c r="H31" s="65">
        <f t="shared" si="8"/>
        <v>0.85</v>
      </c>
      <c r="I31" s="4">
        <f t="shared" si="9"/>
        <v>1.56</v>
      </c>
    </row>
    <row r="32" spans="2:10" ht="15.75" thickBot="1" x14ac:dyDescent="0.3">
      <c r="B32" s="53" t="s">
        <v>214</v>
      </c>
      <c r="C32" s="57" t="s">
        <v>12</v>
      </c>
      <c r="D32" s="61">
        <f t="shared" si="5"/>
        <v>1.8</v>
      </c>
      <c r="E32" s="61">
        <f t="shared" si="6"/>
        <v>1.5</v>
      </c>
      <c r="F32" s="61">
        <f t="shared" si="7"/>
        <v>3</v>
      </c>
      <c r="G32" s="57" t="s">
        <v>12</v>
      </c>
      <c r="H32" s="65">
        <f t="shared" si="8"/>
        <v>0.38</v>
      </c>
      <c r="I32" s="4">
        <f t="shared" si="9"/>
        <v>0.56000000000000005</v>
      </c>
    </row>
    <row r="33" spans="1:12" ht="15.75" thickBot="1" x14ac:dyDescent="0.3">
      <c r="B33" s="53"/>
      <c r="C33" s="57"/>
      <c r="D33" s="61"/>
      <c r="E33" s="61"/>
      <c r="F33" s="61"/>
      <c r="H33" s="65"/>
      <c r="I33" s="4"/>
    </row>
    <row r="34" spans="1:12" ht="15.75" thickBot="1" x14ac:dyDescent="0.3">
      <c r="B34" s="53" t="s">
        <v>265</v>
      </c>
      <c r="C34" s="57" t="s">
        <v>10</v>
      </c>
      <c r="D34" s="61">
        <f t="shared" si="5"/>
        <v>1.2</v>
      </c>
      <c r="E34" s="61">
        <f t="shared" si="6"/>
        <v>1.2</v>
      </c>
      <c r="F34" s="61">
        <f t="shared" si="7"/>
        <v>2.4</v>
      </c>
      <c r="G34" s="57" t="s">
        <v>10</v>
      </c>
      <c r="H34" s="65">
        <f t="shared" si="8"/>
        <v>0.3</v>
      </c>
      <c r="I34" s="4">
        <f t="shared" si="9"/>
        <v>0.39</v>
      </c>
      <c r="J34" t="s">
        <v>507</v>
      </c>
    </row>
    <row r="35" spans="1:12" ht="15.75" thickBot="1" x14ac:dyDescent="0.3">
      <c r="B35" s="53" t="s">
        <v>200</v>
      </c>
      <c r="C35" s="57" t="s">
        <v>8</v>
      </c>
      <c r="D35" s="61">
        <f t="shared" si="5"/>
        <v>3.2</v>
      </c>
      <c r="E35" s="61">
        <f t="shared" si="6"/>
        <v>2.4</v>
      </c>
      <c r="F35" s="61">
        <f t="shared" si="7"/>
        <v>4.8</v>
      </c>
      <c r="G35" s="57" t="s">
        <v>8</v>
      </c>
      <c r="H35" s="65">
        <f t="shared" si="8"/>
        <v>0.6</v>
      </c>
      <c r="I35" s="4">
        <f t="shared" si="9"/>
        <v>1</v>
      </c>
    </row>
    <row r="36" spans="1:12" ht="15.75" thickBot="1" x14ac:dyDescent="0.3">
      <c r="B36" s="53"/>
      <c r="C36" s="57"/>
      <c r="D36" s="61" t="e">
        <f t="shared" si="5"/>
        <v>#N/A</v>
      </c>
      <c r="E36" s="61" t="e">
        <f t="shared" si="6"/>
        <v>#N/A</v>
      </c>
      <c r="F36" s="61" t="e">
        <f t="shared" si="7"/>
        <v>#N/A</v>
      </c>
      <c r="G36" s="57"/>
      <c r="H36" s="65" t="e">
        <f t="shared" si="8"/>
        <v>#N/A</v>
      </c>
      <c r="I36" s="4" t="e">
        <f t="shared" si="9"/>
        <v>#N/A</v>
      </c>
    </row>
    <row r="37" spans="1:12" ht="15.75" thickBot="1" x14ac:dyDescent="0.3">
      <c r="B37" s="53" t="s">
        <v>201</v>
      </c>
      <c r="C37" s="57" t="s">
        <v>10</v>
      </c>
      <c r="D37" s="61">
        <f t="shared" si="5"/>
        <v>1.2</v>
      </c>
      <c r="E37" s="61">
        <f t="shared" si="6"/>
        <v>1.2</v>
      </c>
      <c r="F37" s="61">
        <f t="shared" si="7"/>
        <v>2.4</v>
      </c>
      <c r="G37" s="57" t="s">
        <v>10</v>
      </c>
      <c r="H37" s="65">
        <f t="shared" si="8"/>
        <v>0.3</v>
      </c>
      <c r="I37" s="4">
        <f t="shared" si="9"/>
        <v>0.39</v>
      </c>
    </row>
    <row r="38" spans="1:12" ht="15.75" thickBot="1" x14ac:dyDescent="0.3">
      <c r="B38" s="53"/>
      <c r="C38" s="57"/>
      <c r="D38" s="61"/>
      <c r="E38" s="61"/>
      <c r="F38" s="61"/>
      <c r="G38" s="57"/>
      <c r="H38" s="65"/>
      <c r="I38" s="4"/>
    </row>
    <row r="39" spans="1:12" ht="15.75" thickBot="1" x14ac:dyDescent="0.3">
      <c r="B39" s="53"/>
      <c r="C39" s="57"/>
      <c r="D39" s="61" t="e">
        <f t="shared" si="5"/>
        <v>#N/A</v>
      </c>
      <c r="E39" s="61" t="e">
        <f t="shared" si="6"/>
        <v>#N/A</v>
      </c>
      <c r="F39" s="61" t="e">
        <f t="shared" si="7"/>
        <v>#N/A</v>
      </c>
      <c r="G39" s="57"/>
      <c r="H39" s="65" t="e">
        <f t="shared" si="8"/>
        <v>#N/A</v>
      </c>
      <c r="I39" s="4" t="e">
        <f t="shared" si="9"/>
        <v>#N/A</v>
      </c>
    </row>
    <row r="40" spans="1:12" ht="15.75" thickBot="1" x14ac:dyDescent="0.3">
      <c r="B40" s="53"/>
      <c r="C40" s="57"/>
      <c r="D40" s="61"/>
      <c r="E40" s="61"/>
      <c r="F40" s="61"/>
      <c r="G40" s="57"/>
      <c r="H40" s="65"/>
      <c r="I40" s="4"/>
    </row>
    <row r="41" spans="1:12" ht="15.75" thickBot="1" x14ac:dyDescent="0.3">
      <c r="B41" s="53"/>
      <c r="C41" s="57"/>
      <c r="D41" s="61"/>
      <c r="E41" s="61"/>
      <c r="F41" s="61"/>
      <c r="G41" s="57"/>
      <c r="H41" s="65"/>
      <c r="I41" s="4"/>
    </row>
    <row r="42" spans="1:12" ht="15.75" thickBot="1" x14ac:dyDescent="0.3">
      <c r="B42" s="53"/>
      <c r="C42" s="57"/>
      <c r="D42" s="61" t="e">
        <f t="shared" si="5"/>
        <v>#N/A</v>
      </c>
      <c r="E42" s="61" t="e">
        <f t="shared" si="6"/>
        <v>#N/A</v>
      </c>
      <c r="F42" s="61" t="e">
        <f t="shared" si="7"/>
        <v>#N/A</v>
      </c>
      <c r="G42" s="57"/>
      <c r="H42" s="65" t="e">
        <f t="shared" si="8"/>
        <v>#N/A</v>
      </c>
      <c r="I42" s="4" t="e">
        <f t="shared" si="9"/>
        <v>#N/A</v>
      </c>
    </row>
    <row r="43" spans="1:12" ht="15.75" thickBot="1" x14ac:dyDescent="0.3">
      <c r="B43" s="53"/>
      <c r="C43" s="57" t="s">
        <v>9</v>
      </c>
      <c r="D43" s="61">
        <f t="shared" si="5"/>
        <v>2.4</v>
      </c>
      <c r="E43" s="61">
        <f t="shared" si="6"/>
        <v>1.8</v>
      </c>
      <c r="F43" s="61">
        <f t="shared" si="7"/>
        <v>3.6</v>
      </c>
      <c r="G43" s="57" t="s">
        <v>9</v>
      </c>
      <c r="H43" s="65">
        <f t="shared" si="8"/>
        <v>0.48</v>
      </c>
      <c r="I43" s="4">
        <f t="shared" si="9"/>
        <v>0.77</v>
      </c>
    </row>
    <row r="44" spans="1:12" ht="15.75" thickBot="1" x14ac:dyDescent="0.3">
      <c r="B44" s="53"/>
      <c r="C44" s="57"/>
      <c r="D44" s="61"/>
      <c r="E44" s="61"/>
      <c r="F44" s="61"/>
      <c r="G44" s="57"/>
      <c r="H44" s="65"/>
      <c r="I44" s="4"/>
    </row>
    <row r="45" spans="1:12" ht="15.75" thickBot="1" x14ac:dyDescent="0.3">
      <c r="B45" s="53"/>
      <c r="C45" s="57" t="s">
        <v>10</v>
      </c>
      <c r="D45" s="61">
        <f t="shared" si="5"/>
        <v>1.2</v>
      </c>
      <c r="E45" s="61">
        <f t="shared" si="6"/>
        <v>1.2</v>
      </c>
      <c r="F45" s="61">
        <f t="shared" si="7"/>
        <v>2.4</v>
      </c>
      <c r="G45" s="57" t="s">
        <v>10</v>
      </c>
      <c r="H45" s="65">
        <f t="shared" si="8"/>
        <v>0.3</v>
      </c>
      <c r="I45" s="4">
        <f t="shared" si="9"/>
        <v>0.39</v>
      </c>
    </row>
    <row r="46" spans="1:12" ht="15.75" thickBot="1" x14ac:dyDescent="0.3">
      <c r="A46" s="28">
        <f>A47</f>
        <v>45931</v>
      </c>
      <c r="B46" s="52" t="s">
        <v>608</v>
      </c>
      <c r="C46" s="58" t="s">
        <v>17</v>
      </c>
      <c r="D46" s="60"/>
      <c r="E46" s="60">
        <f t="shared" ref="E46" si="10">INDEX($O$8:$V$8,1,MATCH(C46,$O$7:$V$7,0))</f>
        <v>0.8</v>
      </c>
      <c r="F46" s="60">
        <f t="shared" ref="F46" si="11">2*E46</f>
        <v>1.6</v>
      </c>
      <c r="G46" s="58" t="s">
        <v>9</v>
      </c>
      <c r="H46" s="64">
        <f t="shared" ref="H46" si="12">INDEX($O$11:$V$11,1,MATCH(G46,$O$10:$V$10,0))</f>
        <v>0.48</v>
      </c>
      <c r="I46" s="25">
        <f t="shared" ref="I46" si="13">INDEX($O$14:$W$14,1,MATCH(G46,$O$13:$V$13,0))</f>
        <v>0.77</v>
      </c>
      <c r="J46" t="s">
        <v>609</v>
      </c>
    </row>
    <row r="47" spans="1:12" ht="15.75" thickBot="1" x14ac:dyDescent="0.3">
      <c r="A47" s="28">
        <v>45931</v>
      </c>
      <c r="B47" s="52" t="s">
        <v>239</v>
      </c>
      <c r="C47" s="58" t="s">
        <v>12</v>
      </c>
      <c r="D47" s="60"/>
      <c r="E47" s="60">
        <f t="shared" ref="E47:E52" si="14">INDEX($O$8:$V$8,1,MATCH(C47,$O$7:$V$7,0))</f>
        <v>1.5</v>
      </c>
      <c r="F47" s="60">
        <f t="shared" ref="F47:F52" si="15">2*E47</f>
        <v>3</v>
      </c>
      <c r="G47" s="58" t="s">
        <v>9</v>
      </c>
      <c r="H47" s="64">
        <f t="shared" ref="H47:H52" si="16">INDEX($O$11:$V$11,1,MATCH(G47,$O$10:$V$10,0))</f>
        <v>0.48</v>
      </c>
      <c r="I47" s="25">
        <f t="shared" ref="I47:I52" si="17">INDEX($O$14:$W$14,1,MATCH(G47,$O$13:$V$13,0))</f>
        <v>0.77</v>
      </c>
      <c r="J47" s="48"/>
      <c r="L47" s="20" t="s">
        <v>506</v>
      </c>
    </row>
    <row r="48" spans="1:12" ht="15.75" thickBot="1" x14ac:dyDescent="0.3">
      <c r="B48" s="53" t="s">
        <v>204</v>
      </c>
      <c r="C48" s="57" t="s">
        <v>12</v>
      </c>
      <c r="D48" s="61">
        <f t="shared" ref="D48:D52" si="18">INDEX($O$5:$V$5,1,MATCH(C48,$O$4:$V$4,0))</f>
        <v>1.8</v>
      </c>
      <c r="E48" s="61">
        <f t="shared" si="14"/>
        <v>1.5</v>
      </c>
      <c r="F48" s="61">
        <f t="shared" si="15"/>
        <v>3</v>
      </c>
      <c r="H48" s="65" t="e">
        <f t="shared" si="16"/>
        <v>#N/A</v>
      </c>
      <c r="I48" s="4" t="e">
        <f t="shared" si="17"/>
        <v>#N/A</v>
      </c>
    </row>
    <row r="49" spans="1:10" ht="15.75" thickBot="1" x14ac:dyDescent="0.3">
      <c r="B49" s="53" t="s">
        <v>264</v>
      </c>
      <c r="C49" s="57" t="s">
        <v>12</v>
      </c>
      <c r="D49" s="61">
        <f t="shared" si="18"/>
        <v>1.8</v>
      </c>
      <c r="E49" s="61">
        <f t="shared" si="14"/>
        <v>1.5</v>
      </c>
      <c r="F49" s="61">
        <f t="shared" si="15"/>
        <v>3</v>
      </c>
      <c r="G49" s="57" t="s">
        <v>8</v>
      </c>
      <c r="H49" s="65">
        <f t="shared" si="16"/>
        <v>0.6</v>
      </c>
      <c r="I49" s="4">
        <f t="shared" si="17"/>
        <v>1</v>
      </c>
    </row>
    <row r="50" spans="1:10" ht="15.75" thickBot="1" x14ac:dyDescent="0.3">
      <c r="B50" s="53" t="s">
        <v>279</v>
      </c>
      <c r="C50" s="57" t="str">
        <f>C30</f>
        <v>I</v>
      </c>
      <c r="D50" s="61">
        <f t="shared" si="18"/>
        <v>0.8</v>
      </c>
      <c r="E50" s="61">
        <f t="shared" si="14"/>
        <v>0.8</v>
      </c>
      <c r="F50" s="61">
        <f t="shared" si="15"/>
        <v>1.6</v>
      </c>
      <c r="G50" s="30" t="str">
        <f>G49</f>
        <v>V</v>
      </c>
      <c r="H50" s="65">
        <f t="shared" si="16"/>
        <v>0.6</v>
      </c>
      <c r="I50" s="4">
        <f t="shared" si="17"/>
        <v>1</v>
      </c>
    </row>
    <row r="51" spans="1:10" ht="15.75" thickBot="1" x14ac:dyDescent="0.3">
      <c r="A51" s="28">
        <f>A47</f>
        <v>45931</v>
      </c>
      <c r="B51" s="52" t="s">
        <v>301</v>
      </c>
      <c r="C51" s="58" t="s">
        <v>12</v>
      </c>
      <c r="D51" s="60"/>
      <c r="E51" s="60">
        <f t="shared" si="14"/>
        <v>1.5</v>
      </c>
      <c r="F51" s="60">
        <f t="shared" si="15"/>
        <v>3</v>
      </c>
      <c r="G51" s="51" t="s">
        <v>9</v>
      </c>
      <c r="H51" s="64">
        <f t="shared" si="16"/>
        <v>0.48</v>
      </c>
      <c r="I51" s="25">
        <f t="shared" si="17"/>
        <v>0.77</v>
      </c>
    </row>
    <row r="52" spans="1:10" ht="15.75" thickBot="1" x14ac:dyDescent="0.3">
      <c r="B52" s="53" t="s">
        <v>348</v>
      </c>
      <c r="C52" s="57" t="s">
        <v>9</v>
      </c>
      <c r="D52" s="61">
        <f t="shared" si="18"/>
        <v>2.4</v>
      </c>
      <c r="E52" s="61">
        <f t="shared" si="14"/>
        <v>1.8</v>
      </c>
      <c r="F52" s="61">
        <f t="shared" si="15"/>
        <v>3.6</v>
      </c>
      <c r="G52" s="30" t="s">
        <v>87</v>
      </c>
      <c r="H52" s="65">
        <f t="shared" si="16"/>
        <v>0.85</v>
      </c>
      <c r="I52" s="4">
        <f t="shared" si="17"/>
        <v>1.56</v>
      </c>
    </row>
    <row r="53" spans="1:10" ht="15.75" thickBot="1" x14ac:dyDescent="0.3">
      <c r="B53" s="53" t="s">
        <v>461</v>
      </c>
      <c r="C53" s="57" t="s">
        <v>10</v>
      </c>
      <c r="D53" s="61">
        <f t="shared" ref="D53" si="19">INDEX($O$5:$V$5,1,MATCH(C53,$O$4:$V$4,0))</f>
        <v>1.2</v>
      </c>
      <c r="E53" s="61">
        <f t="shared" ref="E53" si="20">INDEX($O$8:$V$8,1,MATCH(C53,$O$7:$V$7,0))</f>
        <v>1.2</v>
      </c>
      <c r="F53" s="61">
        <f t="shared" ref="F53" si="21">2*E53</f>
        <v>2.4</v>
      </c>
      <c r="G53" s="30" t="s">
        <v>12</v>
      </c>
      <c r="H53" s="65">
        <f t="shared" ref="H53" si="22">INDEX($O$11:$V$11,1,MATCH(G53,$O$10:$V$10,0))</f>
        <v>0.38</v>
      </c>
      <c r="I53" s="4">
        <f t="shared" ref="I53" si="23">INDEX($O$14:$W$14,1,MATCH(G53,$O$13:$V$13,0))</f>
        <v>0.56000000000000005</v>
      </c>
      <c r="J53" t="s">
        <v>507</v>
      </c>
    </row>
    <row r="54" spans="1:10" ht="15.75" thickBot="1" x14ac:dyDescent="0.3">
      <c r="B54" s="53" t="s">
        <v>474</v>
      </c>
      <c r="C54" s="57" t="s">
        <v>17</v>
      </c>
      <c r="D54" s="61">
        <f t="shared" ref="D54" si="24">INDEX($O$5:$V$5,1,MATCH(C54,$O$4:$V$4,0))</f>
        <v>0.8</v>
      </c>
      <c r="E54" s="61">
        <f t="shared" ref="E54" si="25">INDEX($O$8:$V$8,1,MATCH(C54,$O$7:$V$7,0))</f>
        <v>0.8</v>
      </c>
      <c r="F54" s="61">
        <f t="shared" ref="F54" si="26">2*E54</f>
        <v>1.6</v>
      </c>
      <c r="G54" s="30" t="s">
        <v>9</v>
      </c>
      <c r="H54" s="65">
        <f t="shared" ref="H54" si="27">INDEX($O$11:$V$11,1,MATCH(G54,$O$10:$V$10,0))</f>
        <v>0.48</v>
      </c>
      <c r="I54" s="4">
        <f t="shared" ref="I54" si="28">INDEX($O$14:$W$14,1,MATCH(G54,$O$13:$V$13,0))</f>
        <v>0.77</v>
      </c>
    </row>
    <row r="55" spans="1:10" ht="15.75" thickBot="1" x14ac:dyDescent="0.3">
      <c r="A55" s="28">
        <v>45931</v>
      </c>
      <c r="B55" s="52" t="s">
        <v>618</v>
      </c>
      <c r="C55" s="58" t="s">
        <v>9</v>
      </c>
      <c r="D55" s="60"/>
      <c r="E55" s="60">
        <f t="shared" ref="E55" si="29">INDEX($O$8:$V$8,1,MATCH(C55,$O$7:$V$7,0))</f>
        <v>1.8</v>
      </c>
      <c r="F55" s="60">
        <f t="shared" ref="F55" si="30">2*E55</f>
        <v>3.6</v>
      </c>
      <c r="G55" s="51" t="s">
        <v>9</v>
      </c>
      <c r="H55" s="64">
        <f t="shared" ref="H55" si="31">INDEX($O$11:$V$11,1,MATCH(G55,$O$10:$V$10,0))</f>
        <v>0.48</v>
      </c>
      <c r="I55" s="25">
        <f t="shared" ref="I55" si="32">INDEX($O$14:$W$14,1,MATCH(G55,$O$13:$V$13,0))</f>
        <v>0.77</v>
      </c>
    </row>
    <row r="56" spans="1:10" ht="15.75" thickBot="1" x14ac:dyDescent="0.3">
      <c r="B56" s="53" t="s">
        <v>227</v>
      </c>
      <c r="C56" s="57" t="s">
        <v>12</v>
      </c>
      <c r="D56" s="61">
        <f t="shared" ref="D56" si="33">INDEX($O$5:$V$5,1,MATCH(C56,$O$4:$V$4,0))</f>
        <v>1.8</v>
      </c>
      <c r="E56" s="61">
        <f t="shared" ref="E56" si="34">INDEX($O$8:$V$8,1,MATCH(C56,$O$7:$V$7,0))</f>
        <v>1.5</v>
      </c>
      <c r="F56" s="61">
        <f t="shared" ref="F56" si="35">2*E56</f>
        <v>3</v>
      </c>
      <c r="G56" s="30" t="s">
        <v>9</v>
      </c>
      <c r="H56" s="65">
        <f t="shared" ref="H56" si="36">INDEX($O$11:$V$11,1,MATCH(G56,$O$10:$V$10,0))</f>
        <v>0.48</v>
      </c>
      <c r="I56" s="4">
        <f t="shared" ref="I56" si="37">INDEX($O$14:$W$14,1,MATCH(G56,$O$13:$V$13,0))</f>
        <v>0.77</v>
      </c>
      <c r="J56" t="s">
        <v>497</v>
      </c>
    </row>
    <row r="57" spans="1:10" ht="15.75" thickBot="1" x14ac:dyDescent="0.3">
      <c r="A57" s="28">
        <f>A55</f>
        <v>45931</v>
      </c>
      <c r="B57" s="52" t="s">
        <v>617</v>
      </c>
      <c r="C57" s="58" t="s">
        <v>9</v>
      </c>
      <c r="D57" s="60"/>
      <c r="E57" s="60">
        <f t="shared" ref="E57" si="38">INDEX($O$8:$V$8,1,MATCH(C57,$O$7:$V$7,0))</f>
        <v>1.8</v>
      </c>
      <c r="F57" s="60">
        <f t="shared" ref="F57" si="39">2*E57</f>
        <v>3.6</v>
      </c>
      <c r="G57" s="30" t="s">
        <v>12</v>
      </c>
      <c r="H57" s="64">
        <f t="shared" ref="H57" si="40">INDEX($O$11:$V$11,1,MATCH(G57,$O$10:$V$10,0))</f>
        <v>0.38</v>
      </c>
      <c r="I57" s="25">
        <f t="shared" ref="I57" si="41">INDEX($O$14:$W$14,1,MATCH(G57,$O$13:$V$13,0))</f>
        <v>0.56000000000000005</v>
      </c>
      <c r="J57" t="s">
        <v>497</v>
      </c>
    </row>
    <row r="58" spans="1:10" ht="15.75" thickBot="1" x14ac:dyDescent="0.3">
      <c r="B58" s="53" t="s">
        <v>509</v>
      </c>
      <c r="C58" s="57" t="s">
        <v>9</v>
      </c>
      <c r="D58" s="61">
        <f t="shared" ref="D58" si="42">INDEX($O$5:$V$5,1,MATCH(C58,$O$4:$V$4,0))</f>
        <v>2.4</v>
      </c>
      <c r="E58" s="61">
        <f t="shared" ref="E58" si="43">INDEX($O$8:$V$8,1,MATCH(C58,$O$7:$V$7,0))</f>
        <v>1.8</v>
      </c>
      <c r="F58" s="61">
        <f t="shared" ref="F58" si="44">2*E58</f>
        <v>3.6</v>
      </c>
      <c r="G58" s="30" t="s">
        <v>12</v>
      </c>
      <c r="H58" s="65">
        <f t="shared" ref="H58" si="45">INDEX($O$11:$V$11,1,MATCH(G58,$O$10:$V$10,0))</f>
        <v>0.38</v>
      </c>
      <c r="I58" s="4">
        <f t="shared" ref="I58" si="46">INDEX($O$14:$W$14,1,MATCH(G58,$O$13:$V$13,0))</f>
        <v>0.56000000000000005</v>
      </c>
      <c r="J58" t="s">
        <v>497</v>
      </c>
    </row>
    <row r="59" spans="1:10" ht="15.75" thickBot="1" x14ac:dyDescent="0.3">
      <c r="A59" s="28">
        <v>45931</v>
      </c>
      <c r="B59" s="52" t="s">
        <v>510</v>
      </c>
      <c r="C59" s="58" t="s">
        <v>17</v>
      </c>
      <c r="D59" s="60"/>
      <c r="E59" s="60">
        <f t="shared" ref="E59" si="47">INDEX($O$8:$V$8,1,MATCH(C59,$O$7:$V$7,0))</f>
        <v>0.8</v>
      </c>
      <c r="F59" s="60">
        <f t="shared" ref="F59" si="48">2*E59</f>
        <v>1.6</v>
      </c>
      <c r="G59" s="51" t="s">
        <v>12</v>
      </c>
      <c r="H59" s="64">
        <f t="shared" ref="H59" si="49">INDEX($O$11:$V$11,1,MATCH(G59,$O$10:$V$10,0))</f>
        <v>0.38</v>
      </c>
      <c r="I59" s="25">
        <f t="shared" ref="I59" si="50">INDEX($O$14:$W$14,1,MATCH(G59,$O$13:$V$13,0))</f>
        <v>0.56000000000000005</v>
      </c>
      <c r="J59" t="s">
        <v>497</v>
      </c>
    </row>
    <row r="60" spans="1:10" ht="15.75" thickBot="1" x14ac:dyDescent="0.3">
      <c r="A60" s="28">
        <v>46082</v>
      </c>
      <c r="B60" s="52" t="s">
        <v>186</v>
      </c>
      <c r="C60" s="58" t="s">
        <v>12</v>
      </c>
      <c r="D60" s="60"/>
      <c r="E60" s="60">
        <f t="shared" ref="E60:E63" si="51">INDEX($O$8:$V$8,1,MATCH(C60,$O$7:$V$7,0))</f>
        <v>1.5</v>
      </c>
      <c r="F60" s="60">
        <f t="shared" ref="F60:F63" si="52">2*E60</f>
        <v>3</v>
      </c>
      <c r="G60" s="51" t="s">
        <v>12</v>
      </c>
      <c r="H60" s="64">
        <f t="shared" ref="H60:H63" si="53">INDEX($O$11:$V$11,1,MATCH(G60,$O$10:$V$10,0))</f>
        <v>0.38</v>
      </c>
      <c r="I60" s="25">
        <f t="shared" ref="I60:I63" si="54">INDEX($O$14:$W$14,1,MATCH(G60,$O$13:$V$13,0))</f>
        <v>0.56000000000000005</v>
      </c>
      <c r="J60" t="s">
        <v>512</v>
      </c>
    </row>
    <row r="61" spans="1:10" x14ac:dyDescent="0.25">
      <c r="B61" s="53" t="s">
        <v>513</v>
      </c>
      <c r="C61" s="57" t="s">
        <v>10</v>
      </c>
      <c r="D61" s="62">
        <f t="shared" ref="D61:D63" si="55">INDEX($O$5:$V$5,1,MATCH(C61,$O$4:$V$4,0))</f>
        <v>1.2</v>
      </c>
      <c r="E61" s="62">
        <f t="shared" si="51"/>
        <v>1.2</v>
      </c>
      <c r="F61" s="62">
        <f t="shared" si="52"/>
        <v>2.4</v>
      </c>
      <c r="G61" s="30" t="s">
        <v>10</v>
      </c>
      <c r="H61" s="66">
        <f t="shared" si="53"/>
        <v>0.3</v>
      </c>
      <c r="I61" s="19">
        <f t="shared" si="54"/>
        <v>0.39</v>
      </c>
      <c r="J61" t="s">
        <v>512</v>
      </c>
    </row>
    <row r="62" spans="1:10" x14ac:dyDescent="0.25">
      <c r="B62" s="53" t="s">
        <v>531</v>
      </c>
      <c r="C62" s="57" t="s">
        <v>10</v>
      </c>
      <c r="D62" s="62">
        <f t="shared" si="55"/>
        <v>1.2</v>
      </c>
      <c r="E62" s="62">
        <f t="shared" si="51"/>
        <v>1.2</v>
      </c>
      <c r="F62" s="62">
        <f t="shared" si="52"/>
        <v>2.4</v>
      </c>
      <c r="G62" s="30" t="s">
        <v>12</v>
      </c>
      <c r="H62" s="66">
        <f t="shared" si="53"/>
        <v>0.38</v>
      </c>
      <c r="I62" s="19">
        <f t="shared" si="54"/>
        <v>0.56000000000000005</v>
      </c>
      <c r="J62" t="s">
        <v>497</v>
      </c>
    </row>
    <row r="63" spans="1:10" x14ac:dyDescent="0.25">
      <c r="B63" s="53" t="s">
        <v>533</v>
      </c>
      <c r="C63" s="57" t="s">
        <v>17</v>
      </c>
      <c r="D63" s="62">
        <f t="shared" si="55"/>
        <v>0.8</v>
      </c>
      <c r="E63" s="62">
        <f t="shared" si="51"/>
        <v>0.8</v>
      </c>
      <c r="F63" s="62">
        <f t="shared" si="52"/>
        <v>1.6</v>
      </c>
      <c r="G63" s="30" t="s">
        <v>12</v>
      </c>
      <c r="H63" s="66">
        <f t="shared" si="53"/>
        <v>0.38</v>
      </c>
      <c r="I63" s="19">
        <f t="shared" si="54"/>
        <v>0.56000000000000005</v>
      </c>
      <c r="J63" t="s">
        <v>534</v>
      </c>
    </row>
    <row r="64" spans="1:10" x14ac:dyDescent="0.25">
      <c r="B64" s="53" t="s">
        <v>474</v>
      </c>
      <c r="C64" s="57" t="s">
        <v>17</v>
      </c>
      <c r="D64" s="62">
        <f t="shared" ref="D64" si="56">INDEX($O$5:$V$5,1,MATCH(C64,$O$4:$V$4,0))</f>
        <v>0.8</v>
      </c>
      <c r="E64" s="62">
        <f t="shared" ref="E64" si="57">INDEX($O$8:$V$8,1,MATCH(C64,$O$7:$V$7,0))</f>
        <v>0.8</v>
      </c>
      <c r="F64" s="62">
        <f t="shared" ref="F64" si="58">2*E64</f>
        <v>1.6</v>
      </c>
      <c r="G64" s="30" t="s">
        <v>9</v>
      </c>
      <c r="H64" s="66">
        <f t="shared" ref="H64" si="59">INDEX($O$11:$V$11,1,MATCH(G64,$O$10:$V$10,0))</f>
        <v>0.48</v>
      </c>
      <c r="I64" s="19">
        <f t="shared" ref="I64" si="60">INDEX($O$14:$W$14,1,MATCH(G64,$O$13:$V$13,0))</f>
        <v>0.77</v>
      </c>
      <c r="J64" t="s">
        <v>534</v>
      </c>
    </row>
    <row r="65" spans="1:11" x14ac:dyDescent="0.25">
      <c r="B65" s="53" t="s">
        <v>537</v>
      </c>
      <c r="C65" s="57" t="s">
        <v>17</v>
      </c>
      <c r="D65" s="62">
        <f t="shared" ref="D65" si="61">INDEX($O$5:$V$5,1,MATCH(C65,$O$4:$V$4,0))</f>
        <v>0.8</v>
      </c>
      <c r="E65" s="62">
        <f t="shared" ref="E65" si="62">INDEX($O$8:$V$8,1,MATCH(C65,$O$7:$V$7,0))</f>
        <v>0.8</v>
      </c>
      <c r="F65" s="62">
        <f t="shared" ref="F65" si="63">2*E65</f>
        <v>1.6</v>
      </c>
      <c r="G65" s="30" t="s">
        <v>12</v>
      </c>
      <c r="H65" s="66">
        <f t="shared" ref="H65" si="64">INDEX($O$11:$V$11,1,MATCH(G65,$O$10:$V$10,0))</f>
        <v>0.38</v>
      </c>
      <c r="I65" s="19">
        <f t="shared" ref="I65" si="65">INDEX($O$14:$W$14,1,MATCH(G65,$O$13:$V$13,0))</f>
        <v>0.56000000000000005</v>
      </c>
      <c r="J65" t="s">
        <v>534</v>
      </c>
    </row>
    <row r="66" spans="1:11" x14ac:dyDescent="0.25">
      <c r="B66" s="53" t="s">
        <v>336</v>
      </c>
      <c r="C66" s="57" t="s">
        <v>12</v>
      </c>
      <c r="D66" s="62">
        <f t="shared" ref="D66" si="66">INDEX($O$5:$V$5,1,MATCH(C66,$O$4:$V$4,0))</f>
        <v>1.8</v>
      </c>
      <c r="E66" s="62">
        <f t="shared" ref="E66" si="67">INDEX($O$8:$V$8,1,MATCH(C66,$O$7:$V$7,0))</f>
        <v>1.5</v>
      </c>
      <c r="F66" s="62">
        <f t="shared" ref="F66" si="68">2*E66</f>
        <v>3</v>
      </c>
      <c r="G66" s="30" t="s">
        <v>12</v>
      </c>
      <c r="H66" s="66">
        <f t="shared" ref="H66" si="69">INDEX($O$11:$V$11,1,MATCH(G66,$O$10:$V$10,0))</f>
        <v>0.38</v>
      </c>
      <c r="I66" s="19">
        <f t="shared" ref="I66" si="70">INDEX($O$14:$W$14,1,MATCH(G66,$O$13:$V$13,0))</f>
        <v>0.56000000000000005</v>
      </c>
      <c r="J66" t="s">
        <v>512</v>
      </c>
    </row>
    <row r="67" spans="1:11" x14ac:dyDescent="0.25">
      <c r="B67" s="53" t="s">
        <v>546</v>
      </c>
      <c r="C67" s="57" t="s">
        <v>17</v>
      </c>
      <c r="D67" s="62">
        <f t="shared" ref="D67" si="71">INDEX($O$5:$V$5,1,MATCH(C67,$O$4:$V$4,0))</f>
        <v>0.8</v>
      </c>
      <c r="E67" s="62">
        <f t="shared" ref="E67" si="72">INDEX($O$8:$V$8,1,MATCH(C67,$O$7:$V$7,0))</f>
        <v>0.8</v>
      </c>
      <c r="F67" s="62">
        <f t="shared" ref="F67" si="73">2*E67</f>
        <v>1.6</v>
      </c>
      <c r="G67" s="30" t="s">
        <v>9</v>
      </c>
      <c r="H67" s="66">
        <f t="shared" ref="H67" si="74">INDEX($O$11:$V$11,1,MATCH(G67,$O$10:$V$10,0))</f>
        <v>0.48</v>
      </c>
      <c r="I67" s="19">
        <f t="shared" ref="I67" si="75">INDEX($O$14:$W$14,1,MATCH(G67,$O$13:$V$13,0))</f>
        <v>0.77</v>
      </c>
      <c r="J67" t="s">
        <v>516</v>
      </c>
    </row>
    <row r="68" spans="1:11" x14ac:dyDescent="0.25">
      <c r="B68" s="53" t="s">
        <v>551</v>
      </c>
      <c r="C68" s="57" t="s">
        <v>12</v>
      </c>
      <c r="D68" s="62">
        <f t="shared" ref="D68" si="76">INDEX($O$5:$V$5,1,MATCH(C68,$O$4:$V$4,0))</f>
        <v>1.8</v>
      </c>
      <c r="E68" s="62">
        <f t="shared" ref="E68" si="77">INDEX($O$8:$V$8,1,MATCH(C68,$O$7:$V$7,0))</f>
        <v>1.5</v>
      </c>
      <c r="F68" s="62">
        <f t="shared" ref="F68" si="78">2*E68</f>
        <v>3</v>
      </c>
      <c r="G68" s="30" t="s">
        <v>12</v>
      </c>
      <c r="H68" s="66">
        <f t="shared" ref="H68" si="79">INDEX($O$11:$V$11,1,MATCH(G68,$O$10:$V$10,0))</f>
        <v>0.38</v>
      </c>
      <c r="I68" s="19">
        <f t="shared" ref="I68" si="80">INDEX($O$14:$W$14,1,MATCH(G68,$O$13:$V$13,0))</f>
        <v>0.56000000000000005</v>
      </c>
      <c r="J68" t="s">
        <v>550</v>
      </c>
    </row>
    <row r="69" spans="1:11" x14ac:dyDescent="0.25">
      <c r="B69" s="53"/>
      <c r="C69" s="57"/>
      <c r="D69" s="62" t="e">
        <f t="shared" ref="D69" si="81">INDEX($O$5:$V$5,1,MATCH(C69,$O$4:$V$4,0))</f>
        <v>#N/A</v>
      </c>
      <c r="E69" s="62" t="e">
        <f t="shared" ref="E69" si="82">INDEX($O$8:$V$8,1,MATCH(C69,$O$7:$V$7,0))</f>
        <v>#N/A</v>
      </c>
      <c r="F69" s="62" t="e">
        <f t="shared" ref="F69" si="83">2*E69</f>
        <v>#N/A</v>
      </c>
      <c r="H69" s="66" t="e">
        <f t="shared" ref="H69" si="84">INDEX($O$11:$V$11,1,MATCH(G69,$O$10:$V$10,0))</f>
        <v>#N/A</v>
      </c>
      <c r="I69" s="19" t="e">
        <f t="shared" ref="I69" si="85">INDEX($O$14:$W$14,1,MATCH(G69,$O$13:$V$13,0))</f>
        <v>#N/A</v>
      </c>
    </row>
    <row r="70" spans="1:11" x14ac:dyDescent="0.25">
      <c r="B70" s="53" t="s">
        <v>578</v>
      </c>
      <c r="C70" s="57" t="s">
        <v>12</v>
      </c>
      <c r="D70" s="62">
        <f t="shared" ref="D70:D71" si="86">INDEX($O$5:$V$5,1,MATCH(C70,$O$4:$V$4,0))</f>
        <v>1.8</v>
      </c>
      <c r="E70" s="62">
        <f t="shared" ref="E70" si="87">INDEX($O$8:$V$8,1,MATCH(C70,$O$7:$V$7,0))</f>
        <v>1.5</v>
      </c>
      <c r="F70" s="62">
        <f t="shared" ref="F70" si="88">2*E70</f>
        <v>3</v>
      </c>
      <c r="G70" s="30" t="s">
        <v>12</v>
      </c>
      <c r="H70" s="66">
        <f t="shared" ref="H70" si="89">INDEX($O$11:$V$11,1,MATCH(G70,$O$10:$V$10,0))</f>
        <v>0.38</v>
      </c>
      <c r="I70" s="19">
        <f t="shared" ref="I70" si="90">INDEX($O$14:$W$14,1,MATCH(G70,$O$13:$V$13,0))</f>
        <v>0.56000000000000005</v>
      </c>
      <c r="J70" t="s">
        <v>579</v>
      </c>
    </row>
    <row r="71" spans="1:11" x14ac:dyDescent="0.25">
      <c r="B71" s="53" t="s">
        <v>555</v>
      </c>
      <c r="C71" s="57" t="s">
        <v>12</v>
      </c>
      <c r="D71" s="62">
        <f t="shared" si="86"/>
        <v>1.8</v>
      </c>
      <c r="E71" s="62">
        <f t="shared" ref="E71" si="91">INDEX($O$8:$V$8,1,MATCH(C71,$O$7:$V$7,0))</f>
        <v>1.5</v>
      </c>
      <c r="F71" s="62">
        <f t="shared" ref="F71" si="92">2*E71</f>
        <v>3</v>
      </c>
      <c r="G71" s="30" t="s">
        <v>9</v>
      </c>
      <c r="H71" s="66">
        <f t="shared" ref="H71" si="93">INDEX($O$11:$V$11,1,MATCH(G71,$O$10:$V$10,0))</f>
        <v>0.48</v>
      </c>
      <c r="I71" s="19">
        <f t="shared" ref="I71" si="94">INDEX($O$14:$W$14,1,MATCH(G71,$O$13:$V$13,0))</f>
        <v>0.77</v>
      </c>
      <c r="J71" t="s">
        <v>512</v>
      </c>
    </row>
    <row r="72" spans="1:11" x14ac:dyDescent="0.25">
      <c r="B72" s="53" t="s">
        <v>570</v>
      </c>
      <c r="C72" s="57" t="s">
        <v>9</v>
      </c>
      <c r="D72" s="62">
        <f t="shared" ref="D72" si="95">INDEX($O$5:$V$5,1,MATCH(C72,$O$4:$V$4,0))</f>
        <v>2.4</v>
      </c>
      <c r="E72" s="62">
        <f t="shared" ref="E72" si="96">INDEX($O$8:$V$8,1,MATCH(C72,$O$7:$V$7,0))</f>
        <v>1.8</v>
      </c>
      <c r="F72" s="62">
        <f t="shared" ref="F72" si="97">2*E72</f>
        <v>3.6</v>
      </c>
      <c r="G72" s="30" t="s">
        <v>9</v>
      </c>
      <c r="H72" s="66">
        <f t="shared" ref="H72" si="98">INDEX($O$11:$V$11,1,MATCH(G72,$O$10:$V$10,0))</f>
        <v>0.48</v>
      </c>
      <c r="I72" s="19">
        <f t="shared" ref="I72" si="99">INDEX($O$14:$W$14,1,MATCH(G72,$O$13:$V$13,0))</f>
        <v>0.77</v>
      </c>
    </row>
    <row r="73" spans="1:11" x14ac:dyDescent="0.25">
      <c r="B73" s="53" t="s">
        <v>423</v>
      </c>
      <c r="C73" s="57" t="s">
        <v>12</v>
      </c>
      <c r="D73" s="62">
        <f t="shared" ref="D73" si="100">INDEX($O$5:$V$5,1,MATCH(C73,$O$4:$V$4,0))</f>
        <v>1.8</v>
      </c>
      <c r="E73" s="62">
        <f t="shared" ref="E73" si="101">INDEX($O$8:$V$8,1,MATCH(C73,$O$7:$V$7,0))</f>
        <v>1.5</v>
      </c>
      <c r="F73" s="62">
        <f t="shared" ref="F73" si="102">2*E73</f>
        <v>3</v>
      </c>
      <c r="G73" s="30" t="s">
        <v>9</v>
      </c>
      <c r="H73" s="66">
        <f t="shared" ref="H73" si="103">INDEX($O$11:$V$11,1,MATCH(G73,$O$10:$V$10,0))</f>
        <v>0.48</v>
      </c>
      <c r="I73" s="19">
        <f t="shared" ref="I73" si="104">INDEX($O$14:$W$14,1,MATCH(G73,$O$13:$V$13,0))</f>
        <v>0.77</v>
      </c>
    </row>
    <row r="74" spans="1:11" x14ac:dyDescent="0.25">
      <c r="B74" s="53" t="s">
        <v>584</v>
      </c>
      <c r="C74" s="57" t="s">
        <v>10</v>
      </c>
      <c r="D74" s="62">
        <f t="shared" ref="D74" si="105">INDEX($O$5:$V$5,1,MATCH(C74,$O$4:$V$4,0))</f>
        <v>1.2</v>
      </c>
      <c r="E74" s="62">
        <f t="shared" ref="E74" si="106">INDEX($O$8:$V$8,1,MATCH(C74,$O$7:$V$7,0))</f>
        <v>1.2</v>
      </c>
      <c r="F74" s="62">
        <f t="shared" ref="F74" si="107">2*E74</f>
        <v>2.4</v>
      </c>
      <c r="G74" s="30" t="s">
        <v>9</v>
      </c>
      <c r="H74" s="66">
        <f t="shared" ref="H74" si="108">INDEX($O$11:$V$11,1,MATCH(G74,$O$10:$V$10,0))</f>
        <v>0.48</v>
      </c>
      <c r="I74" s="19">
        <f t="shared" ref="I74" si="109">INDEX($O$14:$W$14,1,MATCH(G74,$O$13:$V$13,0))</f>
        <v>0.77</v>
      </c>
      <c r="J74" t="s">
        <v>505</v>
      </c>
    </row>
    <row r="75" spans="1:11" x14ac:dyDescent="0.25">
      <c r="B75" t="s">
        <v>593</v>
      </c>
      <c r="C75" s="57" t="s">
        <v>10</v>
      </c>
      <c r="D75" s="62">
        <f t="shared" ref="D75" si="110">INDEX($O$5:$V$5,1,MATCH(C75,$O$4:$V$4,0))</f>
        <v>1.2</v>
      </c>
      <c r="E75" s="62">
        <f t="shared" ref="E75" si="111">INDEX($O$8:$V$8,1,MATCH(C75,$O$7:$V$7,0))</f>
        <v>1.2</v>
      </c>
      <c r="F75" s="62">
        <f t="shared" ref="F75" si="112">2*E75</f>
        <v>2.4</v>
      </c>
      <c r="G75" s="30" t="s">
        <v>12</v>
      </c>
      <c r="H75" s="66">
        <f t="shared" ref="H75" si="113">INDEX($O$11:$V$11,1,MATCH(G75,$O$10:$V$10,0))</f>
        <v>0.38</v>
      </c>
      <c r="I75" s="19">
        <f t="shared" ref="I75" si="114">INDEX($O$14:$W$14,1,MATCH(G75,$O$13:$V$13,0))</f>
        <v>0.56000000000000005</v>
      </c>
    </row>
    <row r="76" spans="1:11" x14ac:dyDescent="0.25">
      <c r="A76" s="28">
        <v>45962</v>
      </c>
      <c r="B76" s="52" t="s">
        <v>633</v>
      </c>
      <c r="C76" s="57" t="s">
        <v>12</v>
      </c>
      <c r="D76" s="62"/>
      <c r="E76" s="62">
        <f t="shared" ref="E76" si="115">INDEX($O$8:$V$8,1,MATCH(C76,$O$7:$V$7,0))</f>
        <v>1.5</v>
      </c>
      <c r="F76" s="62">
        <f t="shared" ref="F76" si="116">2*E76</f>
        <v>3</v>
      </c>
      <c r="G76" s="30" t="s">
        <v>9</v>
      </c>
      <c r="H76" s="66">
        <f t="shared" ref="H76" si="117">INDEX($O$11:$V$11,1,MATCH(G76,$O$10:$V$10,0))</f>
        <v>0.48</v>
      </c>
      <c r="I76" s="19">
        <f t="shared" ref="I76" si="118">INDEX($O$14:$W$14,1,MATCH(G76,$O$13:$V$13,0))</f>
        <v>0.77</v>
      </c>
      <c r="J76" s="71" t="s">
        <v>634</v>
      </c>
      <c r="K76" s="70"/>
    </row>
    <row r="77" spans="1:11" x14ac:dyDescent="0.25">
      <c r="A77" s="28">
        <v>45992</v>
      </c>
      <c r="B77" s="52" t="s">
        <v>637</v>
      </c>
      <c r="C77" s="58" t="s">
        <v>12</v>
      </c>
      <c r="D77" s="68"/>
      <c r="E77" s="68">
        <f t="shared" ref="E77:E88" si="119">INDEX($O$8:$V$8,1,MATCH(C77,$O$7:$V$7,0))</f>
        <v>1.5</v>
      </c>
      <c r="F77" s="68">
        <f t="shared" ref="F77:F88" si="120">2*E77</f>
        <v>3</v>
      </c>
      <c r="G77" s="51" t="s">
        <v>9</v>
      </c>
      <c r="H77" s="69">
        <f t="shared" ref="H77:H88" si="121">INDEX($O$11:$V$11,1,MATCH(G77,$O$10:$V$10,0))</f>
        <v>0.48</v>
      </c>
      <c r="I77" s="51">
        <f t="shared" ref="I77:I88" si="122">INDEX($O$14:$W$14,1,MATCH(G77,$O$13:$V$13,0))</f>
        <v>0.77</v>
      </c>
      <c r="J77" s="71" t="s">
        <v>634</v>
      </c>
    </row>
    <row r="78" spans="1:11" x14ac:dyDescent="0.25">
      <c r="A78" s="28">
        <v>46082</v>
      </c>
      <c r="B78" s="27" t="s">
        <v>698</v>
      </c>
      <c r="C78" s="58" t="s">
        <v>12</v>
      </c>
      <c r="D78" s="68"/>
      <c r="E78" s="68">
        <f t="shared" si="119"/>
        <v>1.5</v>
      </c>
      <c r="F78" s="68">
        <f t="shared" si="120"/>
        <v>3</v>
      </c>
      <c r="G78" s="51" t="s">
        <v>9</v>
      </c>
      <c r="H78" s="69">
        <f t="shared" si="121"/>
        <v>0.48</v>
      </c>
      <c r="I78" s="51">
        <f t="shared" si="122"/>
        <v>0.77</v>
      </c>
      <c r="J78" s="71" t="s">
        <v>634</v>
      </c>
    </row>
    <row r="79" spans="1:11" x14ac:dyDescent="0.25">
      <c r="A79" s="28">
        <v>46113</v>
      </c>
      <c r="B79" s="27" t="s">
        <v>702</v>
      </c>
      <c r="C79" s="58" t="s">
        <v>12</v>
      </c>
      <c r="D79" s="68"/>
      <c r="E79" s="68">
        <f t="shared" si="119"/>
        <v>1.5</v>
      </c>
      <c r="F79" s="68">
        <f t="shared" si="120"/>
        <v>3</v>
      </c>
      <c r="G79" s="51" t="s">
        <v>12</v>
      </c>
      <c r="H79" s="69">
        <f t="shared" si="121"/>
        <v>0.38</v>
      </c>
      <c r="I79" s="51">
        <f t="shared" si="122"/>
        <v>0.56000000000000005</v>
      </c>
      <c r="J79" s="71" t="s">
        <v>634</v>
      </c>
    </row>
    <row r="80" spans="1:11" x14ac:dyDescent="0.25">
      <c r="C80" s="57"/>
      <c r="D80" s="62" t="e">
        <f t="shared" ref="D80:D88" si="123">INDEX($O$5:$V$5,1,MATCH(C80,$O$4:$V$4,0))</f>
        <v>#N/A</v>
      </c>
      <c r="E80" s="62" t="e">
        <f t="shared" si="119"/>
        <v>#N/A</v>
      </c>
      <c r="F80" s="62" t="e">
        <f t="shared" si="120"/>
        <v>#N/A</v>
      </c>
      <c r="H80" s="66" t="e">
        <f t="shared" si="121"/>
        <v>#N/A</v>
      </c>
      <c r="I80" s="19" t="e">
        <f t="shared" si="122"/>
        <v>#N/A</v>
      </c>
      <c r="J80" s="71" t="s">
        <v>736</v>
      </c>
    </row>
    <row r="81" spans="3:9" x14ac:dyDescent="0.25">
      <c r="C81" s="57"/>
      <c r="D81" s="62" t="e">
        <f t="shared" si="123"/>
        <v>#N/A</v>
      </c>
      <c r="E81" s="62" t="e">
        <f t="shared" si="119"/>
        <v>#N/A</v>
      </c>
      <c r="F81" s="62" t="e">
        <f t="shared" si="120"/>
        <v>#N/A</v>
      </c>
      <c r="H81" s="66" t="e">
        <f t="shared" si="121"/>
        <v>#N/A</v>
      </c>
      <c r="I81" s="19" t="e">
        <f t="shared" si="122"/>
        <v>#N/A</v>
      </c>
    </row>
    <row r="82" spans="3:9" x14ac:dyDescent="0.25">
      <c r="C82" s="57"/>
      <c r="D82" s="62" t="e">
        <f t="shared" si="123"/>
        <v>#N/A</v>
      </c>
      <c r="E82" s="62" t="e">
        <f t="shared" si="119"/>
        <v>#N/A</v>
      </c>
      <c r="F82" s="62" t="e">
        <f t="shared" si="120"/>
        <v>#N/A</v>
      </c>
      <c r="H82" s="66" t="e">
        <f t="shared" si="121"/>
        <v>#N/A</v>
      </c>
      <c r="I82" s="19" t="e">
        <f t="shared" si="122"/>
        <v>#N/A</v>
      </c>
    </row>
    <row r="83" spans="3:9" x14ac:dyDescent="0.25">
      <c r="C83" s="57"/>
      <c r="D83" s="62" t="e">
        <f t="shared" si="123"/>
        <v>#N/A</v>
      </c>
      <c r="E83" s="62" t="e">
        <f t="shared" si="119"/>
        <v>#N/A</v>
      </c>
      <c r="F83" s="62" t="e">
        <f t="shared" si="120"/>
        <v>#N/A</v>
      </c>
      <c r="H83" s="66" t="e">
        <f t="shared" si="121"/>
        <v>#N/A</v>
      </c>
      <c r="I83" s="19" t="e">
        <f t="shared" si="122"/>
        <v>#N/A</v>
      </c>
    </row>
    <row r="84" spans="3:9" x14ac:dyDescent="0.25">
      <c r="C84" s="57"/>
      <c r="D84" s="62" t="e">
        <f t="shared" si="123"/>
        <v>#N/A</v>
      </c>
      <c r="E84" s="62" t="e">
        <f t="shared" si="119"/>
        <v>#N/A</v>
      </c>
      <c r="F84" s="62" t="e">
        <f t="shared" si="120"/>
        <v>#N/A</v>
      </c>
      <c r="H84" s="66" t="e">
        <f t="shared" si="121"/>
        <v>#N/A</v>
      </c>
      <c r="I84" s="19" t="e">
        <f t="shared" si="122"/>
        <v>#N/A</v>
      </c>
    </row>
    <row r="85" spans="3:9" x14ac:dyDescent="0.25">
      <c r="C85" s="57"/>
      <c r="D85" s="62" t="e">
        <f t="shared" si="123"/>
        <v>#N/A</v>
      </c>
      <c r="E85" s="62" t="e">
        <f t="shared" si="119"/>
        <v>#N/A</v>
      </c>
      <c r="F85" s="62" t="e">
        <f t="shared" si="120"/>
        <v>#N/A</v>
      </c>
      <c r="H85" s="66" t="e">
        <f t="shared" si="121"/>
        <v>#N/A</v>
      </c>
      <c r="I85" s="19" t="e">
        <f t="shared" si="122"/>
        <v>#N/A</v>
      </c>
    </row>
    <row r="86" spans="3:9" x14ac:dyDescent="0.25">
      <c r="C86" s="57"/>
      <c r="D86" s="62" t="e">
        <f t="shared" si="123"/>
        <v>#N/A</v>
      </c>
      <c r="E86" s="62" t="e">
        <f t="shared" si="119"/>
        <v>#N/A</v>
      </c>
      <c r="F86" s="62" t="e">
        <f t="shared" si="120"/>
        <v>#N/A</v>
      </c>
      <c r="H86" s="66" t="e">
        <f t="shared" si="121"/>
        <v>#N/A</v>
      </c>
      <c r="I86" s="19" t="e">
        <f t="shared" si="122"/>
        <v>#N/A</v>
      </c>
    </row>
    <row r="87" spans="3:9" x14ac:dyDescent="0.25">
      <c r="C87" s="57"/>
      <c r="D87" s="62" t="e">
        <f t="shared" si="123"/>
        <v>#N/A</v>
      </c>
      <c r="E87" s="62" t="e">
        <f t="shared" si="119"/>
        <v>#N/A</v>
      </c>
      <c r="F87" s="62" t="e">
        <f t="shared" si="120"/>
        <v>#N/A</v>
      </c>
      <c r="H87" s="66" t="e">
        <f t="shared" si="121"/>
        <v>#N/A</v>
      </c>
      <c r="I87" s="19" t="e">
        <f t="shared" si="122"/>
        <v>#N/A</v>
      </c>
    </row>
    <row r="88" spans="3:9" x14ac:dyDescent="0.25">
      <c r="C88" s="57"/>
      <c r="D88" s="62" t="e">
        <f t="shared" si="123"/>
        <v>#N/A</v>
      </c>
      <c r="E88" s="62" t="e">
        <f t="shared" si="119"/>
        <v>#N/A</v>
      </c>
      <c r="F88" s="62" t="e">
        <f t="shared" si="120"/>
        <v>#N/A</v>
      </c>
      <c r="H88" s="66" t="e">
        <f t="shared" si="121"/>
        <v>#N/A</v>
      </c>
      <c r="I88" s="19" t="e">
        <f t="shared" si="122"/>
        <v>#N/A</v>
      </c>
    </row>
  </sheetData>
  <mergeCells count="11">
    <mergeCell ref="A1:A2"/>
    <mergeCell ref="B1:B2"/>
    <mergeCell ref="M4:N4"/>
    <mergeCell ref="M5:N5"/>
    <mergeCell ref="M7:N7"/>
    <mergeCell ref="H1:I1"/>
    <mergeCell ref="M8:N8"/>
    <mergeCell ref="M10:N10"/>
    <mergeCell ref="M11:N11"/>
    <mergeCell ref="M13:N13"/>
    <mergeCell ref="M14:N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 20</vt:lpstr>
      <vt:lpstr>СП РК EN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2026-09-11T04:46:57Z</dcterms:modified>
</cp:coreProperties>
</file>